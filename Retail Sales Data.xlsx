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ecdd393e148eee5/Desktop/"/>
    </mc:Choice>
  </mc:AlternateContent>
  <xr:revisionPtr revIDLastSave="885" documentId="13_ncr:1_{132F9F04-5495-4CED-A286-6995EC4F5430}" xr6:coauthVersionLast="47" xr6:coauthVersionMax="47" xr10:uidLastSave="{034A6425-CAE1-4972-BE96-DAC56CE5CAD7}"/>
  <bookViews>
    <workbookView minimized="1" xWindow="3132" yWindow="3132" windowWidth="17280" windowHeight="8880" firstSheet="2" activeTab="2" xr2:uid="{00000000-000D-0000-FFFF-FFFF00000000}"/>
  </bookViews>
  <sheets>
    <sheet name="RETAIL SALES DATA." sheetId="1" r:id="rId1"/>
    <sheet name="Unique Details" sheetId="3" r:id="rId2"/>
    <sheet name="Findings" sheetId="5" r:id="rId3"/>
    <sheet name="Custom" sheetId="6" r:id="rId4"/>
    <sheet name="South" sheetId="7" r:id="rId5"/>
    <sheet name="North" sheetId="8" r:id="rId6"/>
    <sheet name="West" sheetId="9" r:id="rId7"/>
    <sheet name="East" sheetId="10" r:id="rId8"/>
    <sheet name="Yearly,Monthly,Daily" sheetId="11" r:id="rId9"/>
    <sheet name="HyperLink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Q15" i="5"/>
  <c r="C19" i="10"/>
  <c r="D19" i="10"/>
  <c r="B19" i="10"/>
  <c r="C19" i="8"/>
  <c r="D19" i="8"/>
  <c r="B19" i="8"/>
  <c r="C19" i="7"/>
  <c r="D19" i="7"/>
  <c r="B19" i="7"/>
  <c r="N3" i="11" a="1"/>
  <c r="N3" i="11" s="1"/>
  <c r="M3" i="11" a="1"/>
  <c r="M3" i="11" s="1"/>
  <c r="L3" i="11" a="1"/>
  <c r="K3" i="11" a="1"/>
  <c r="K3" i="11" s="1"/>
  <c r="I3" i="11" a="1"/>
  <c r="I3" i="11" s="1"/>
  <c r="F3" i="11" a="1"/>
  <c r="F3" i="11" s="1"/>
  <c r="E3" i="11" a="1"/>
  <c r="E3" i="11" s="1"/>
  <c r="D3" i="11" a="1"/>
  <c r="D3" i="11" s="1"/>
  <c r="B3" i="11" a="1"/>
  <c r="B3" i="11" s="1"/>
  <c r="P38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23" i="5"/>
  <c r="O23" i="5" a="1"/>
  <c r="O23" i="5" s="1"/>
  <c r="M38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23" i="5"/>
  <c r="L23" i="5" a="1"/>
  <c r="L23" i="5" s="1"/>
  <c r="B2" i="6" l="1" a="1"/>
  <c r="P3" i="11"/>
  <c r="L3" i="11"/>
  <c r="P11" i="11"/>
  <c r="P19" i="11"/>
  <c r="P27" i="11"/>
  <c r="P35" i="11"/>
  <c r="P43" i="11"/>
  <c r="P51" i="11"/>
  <c r="P59" i="11"/>
  <c r="P67" i="11"/>
  <c r="P75" i="11"/>
  <c r="P83" i="11"/>
  <c r="P91" i="11"/>
  <c r="P99" i="11"/>
  <c r="P107" i="11"/>
  <c r="P115" i="11"/>
  <c r="P123" i="11"/>
  <c r="P131" i="11"/>
  <c r="P139" i="11"/>
  <c r="P147" i="11"/>
  <c r="P155" i="11"/>
  <c r="P163" i="11"/>
  <c r="P171" i="11"/>
  <c r="P179" i="11"/>
  <c r="P187" i="11"/>
  <c r="P195" i="11"/>
  <c r="P203" i="11"/>
  <c r="P211" i="11"/>
  <c r="P219" i="11"/>
  <c r="P227" i="11"/>
  <c r="P235" i="11"/>
  <c r="P243" i="11"/>
  <c r="P251" i="11"/>
  <c r="P259" i="11"/>
  <c r="P267" i="11"/>
  <c r="P275" i="11"/>
  <c r="P283" i="11"/>
  <c r="P291" i="11"/>
  <c r="P299" i="11"/>
  <c r="P307" i="11"/>
  <c r="P315" i="11"/>
  <c r="P323" i="11"/>
  <c r="P331" i="11"/>
  <c r="P339" i="11"/>
  <c r="P347" i="11"/>
  <c r="P355" i="11"/>
  <c r="P363" i="11"/>
  <c r="P371" i="11"/>
  <c r="P379" i="11"/>
  <c r="P387" i="11"/>
  <c r="P395" i="11"/>
  <c r="P403" i="11"/>
  <c r="P411" i="11"/>
  <c r="P419" i="11"/>
  <c r="P427" i="11"/>
  <c r="P435" i="11"/>
  <c r="P443" i="11"/>
  <c r="P451" i="11"/>
  <c r="P459" i="11"/>
  <c r="P467" i="11"/>
  <c r="P475" i="11"/>
  <c r="P483" i="11"/>
  <c r="P491" i="11"/>
  <c r="P499" i="11"/>
  <c r="P507" i="11"/>
  <c r="P515" i="11"/>
  <c r="P523" i="11"/>
  <c r="P531" i="11"/>
  <c r="P539" i="11"/>
  <c r="P547" i="11"/>
  <c r="P555" i="11"/>
  <c r="P563" i="11"/>
  <c r="P571" i="11"/>
  <c r="P579" i="11"/>
  <c r="P587" i="11"/>
  <c r="P595" i="11"/>
  <c r="P603" i="11"/>
  <c r="P611" i="11"/>
  <c r="P619" i="11"/>
  <c r="P627" i="11"/>
  <c r="P635" i="11"/>
  <c r="P643" i="11"/>
  <c r="P651" i="11"/>
  <c r="P659" i="11"/>
  <c r="P667" i="11"/>
  <c r="P675" i="11"/>
  <c r="P4" i="11"/>
  <c r="P12" i="11"/>
  <c r="P20" i="11"/>
  <c r="P28" i="11"/>
  <c r="P36" i="11"/>
  <c r="P44" i="11"/>
  <c r="P52" i="11"/>
  <c r="P60" i="11"/>
  <c r="P68" i="11"/>
  <c r="P76" i="11"/>
  <c r="P84" i="11"/>
  <c r="P92" i="11"/>
  <c r="P100" i="11"/>
  <c r="P108" i="11"/>
  <c r="P116" i="11"/>
  <c r="P124" i="11"/>
  <c r="P132" i="11"/>
  <c r="P140" i="11"/>
  <c r="P148" i="11"/>
  <c r="P156" i="11"/>
  <c r="P164" i="11"/>
  <c r="P172" i="11"/>
  <c r="P180" i="11"/>
  <c r="P188" i="11"/>
  <c r="P196" i="11"/>
  <c r="P204" i="11"/>
  <c r="P212" i="11"/>
  <c r="P220" i="11"/>
  <c r="P228" i="11"/>
  <c r="P236" i="11"/>
  <c r="P244" i="11"/>
  <c r="P252" i="11"/>
  <c r="P260" i="11"/>
  <c r="P268" i="11"/>
  <c r="P276" i="11"/>
  <c r="P284" i="11"/>
  <c r="P292" i="11"/>
  <c r="P300" i="11"/>
  <c r="P308" i="11"/>
  <c r="P316" i="11"/>
  <c r="P324" i="11"/>
  <c r="P332" i="11"/>
  <c r="P340" i="11"/>
  <c r="P348" i="11"/>
  <c r="P356" i="11"/>
  <c r="P364" i="11"/>
  <c r="P372" i="11"/>
  <c r="P380" i="11"/>
  <c r="P388" i="11"/>
  <c r="P396" i="11"/>
  <c r="P404" i="11"/>
  <c r="P412" i="11"/>
  <c r="P420" i="11"/>
  <c r="P428" i="11"/>
  <c r="P436" i="11"/>
  <c r="P444" i="11"/>
  <c r="P452" i="11"/>
  <c r="P460" i="11"/>
  <c r="P468" i="11"/>
  <c r="P476" i="11"/>
  <c r="P484" i="11"/>
  <c r="P492" i="11"/>
  <c r="P500" i="11"/>
  <c r="P508" i="11"/>
  <c r="P516" i="11"/>
  <c r="P524" i="11"/>
  <c r="P532" i="11"/>
  <c r="P540" i="11"/>
  <c r="P548" i="11"/>
  <c r="P556" i="11"/>
  <c r="P564" i="11"/>
  <c r="P572" i="11"/>
  <c r="P580" i="11"/>
  <c r="P588" i="11"/>
  <c r="P596" i="11"/>
  <c r="P604" i="11"/>
  <c r="P612" i="11"/>
  <c r="P620" i="11"/>
  <c r="P628" i="11"/>
  <c r="P636" i="11"/>
  <c r="P644" i="11"/>
  <c r="P652" i="11"/>
  <c r="P660" i="11"/>
  <c r="P668" i="11"/>
  <c r="P676" i="11"/>
  <c r="P5" i="11"/>
  <c r="P13" i="11"/>
  <c r="P21" i="11"/>
  <c r="P29" i="11"/>
  <c r="P37" i="11"/>
  <c r="P45" i="11"/>
  <c r="P53" i="11"/>
  <c r="P61" i="11"/>
  <c r="P69" i="11"/>
  <c r="P77" i="11"/>
  <c r="P85" i="11"/>
  <c r="P93" i="11"/>
  <c r="P101" i="11"/>
  <c r="P109" i="11"/>
  <c r="P117" i="11"/>
  <c r="P125" i="11"/>
  <c r="P133" i="11"/>
  <c r="P141" i="11"/>
  <c r="P149" i="11"/>
  <c r="P157" i="11"/>
  <c r="P165" i="11"/>
  <c r="P173" i="11"/>
  <c r="P181" i="11"/>
  <c r="P189" i="11"/>
  <c r="P197" i="11"/>
  <c r="P205" i="11"/>
  <c r="P213" i="11"/>
  <c r="P221" i="11"/>
  <c r="P229" i="11"/>
  <c r="P237" i="11"/>
  <c r="P245" i="11"/>
  <c r="P253" i="11"/>
  <c r="P261" i="11"/>
  <c r="P269" i="11"/>
  <c r="P277" i="11"/>
  <c r="P285" i="11"/>
  <c r="P293" i="11"/>
  <c r="P301" i="11"/>
  <c r="P309" i="11"/>
  <c r="P317" i="11"/>
  <c r="P325" i="11"/>
  <c r="P333" i="11"/>
  <c r="P341" i="11"/>
  <c r="P349" i="11"/>
  <c r="P357" i="11"/>
  <c r="P365" i="11"/>
  <c r="P373" i="11"/>
  <c r="P381" i="11"/>
  <c r="P389" i="11"/>
  <c r="P397" i="11"/>
  <c r="P405" i="11"/>
  <c r="P413" i="11"/>
  <c r="P421" i="11"/>
  <c r="P429" i="11"/>
  <c r="P437" i="11"/>
  <c r="P445" i="11"/>
  <c r="P453" i="11"/>
  <c r="P461" i="11"/>
  <c r="P469" i="11"/>
  <c r="P477" i="11"/>
  <c r="P485" i="11"/>
  <c r="P493" i="11"/>
  <c r="P501" i="11"/>
  <c r="P509" i="11"/>
  <c r="P517" i="11"/>
  <c r="P6" i="11"/>
  <c r="P14" i="11"/>
  <c r="P22" i="11"/>
  <c r="P30" i="11"/>
  <c r="P38" i="11"/>
  <c r="P46" i="11"/>
  <c r="P54" i="11"/>
  <c r="P62" i="11"/>
  <c r="P70" i="11"/>
  <c r="P78" i="11"/>
  <c r="P86" i="11"/>
  <c r="P94" i="11"/>
  <c r="P102" i="11"/>
  <c r="P110" i="11"/>
  <c r="P118" i="11"/>
  <c r="P126" i="11"/>
  <c r="P134" i="11"/>
  <c r="P142" i="11"/>
  <c r="P150" i="11"/>
  <c r="P158" i="11"/>
  <c r="P166" i="11"/>
  <c r="P174" i="11"/>
  <c r="P182" i="11"/>
  <c r="P190" i="11"/>
  <c r="P198" i="11"/>
  <c r="P206" i="11"/>
  <c r="P214" i="11"/>
  <c r="P222" i="11"/>
  <c r="P230" i="11"/>
  <c r="P238" i="11"/>
  <c r="P246" i="11"/>
  <c r="P254" i="11"/>
  <c r="P262" i="11"/>
  <c r="P270" i="11"/>
  <c r="P278" i="11"/>
  <c r="P286" i="11"/>
  <c r="P294" i="11"/>
  <c r="P302" i="11"/>
  <c r="P310" i="11"/>
  <c r="P318" i="11"/>
  <c r="P326" i="11"/>
  <c r="P334" i="11"/>
  <c r="P342" i="11"/>
  <c r="P350" i="11"/>
  <c r="P358" i="11"/>
  <c r="P366" i="11"/>
  <c r="P374" i="11"/>
  <c r="P382" i="11"/>
  <c r="P390" i="11"/>
  <c r="P398" i="11"/>
  <c r="P406" i="11"/>
  <c r="P414" i="11"/>
  <c r="P422" i="11"/>
  <c r="P430" i="11"/>
  <c r="P438" i="11"/>
  <c r="P446" i="11"/>
  <c r="P454" i="11"/>
  <c r="P462" i="11"/>
  <c r="P470" i="11"/>
  <c r="P478" i="11"/>
  <c r="P486" i="11"/>
  <c r="P494" i="11"/>
  <c r="P502" i="11"/>
  <c r="P510" i="11"/>
  <c r="P518" i="11"/>
  <c r="P526" i="11"/>
  <c r="P534" i="11"/>
  <c r="P542" i="11"/>
  <c r="P550" i="11"/>
  <c r="P558" i="11"/>
  <c r="P566" i="11"/>
  <c r="P574" i="11"/>
  <c r="P582" i="11"/>
  <c r="P590" i="11"/>
  <c r="P598" i="11"/>
  <c r="P606" i="11"/>
  <c r="P614" i="11"/>
  <c r="P622" i="11"/>
  <c r="P630" i="11"/>
  <c r="P638" i="11"/>
  <c r="P7" i="11"/>
  <c r="P15" i="11"/>
  <c r="P23" i="11"/>
  <c r="P31" i="11"/>
  <c r="P39" i="11"/>
  <c r="P47" i="11"/>
  <c r="P55" i="11"/>
  <c r="P63" i="11"/>
  <c r="P71" i="11"/>
  <c r="P79" i="11"/>
  <c r="P87" i="11"/>
  <c r="P95" i="11"/>
  <c r="P103" i="11"/>
  <c r="P111" i="11"/>
  <c r="P119" i="11"/>
  <c r="P127" i="11"/>
  <c r="P135" i="11"/>
  <c r="P143" i="11"/>
  <c r="P151" i="11"/>
  <c r="P159" i="11"/>
  <c r="P167" i="11"/>
  <c r="P175" i="11"/>
  <c r="P183" i="11"/>
  <c r="P191" i="11"/>
  <c r="P199" i="11"/>
  <c r="P207" i="11"/>
  <c r="P215" i="11"/>
  <c r="P223" i="11"/>
  <c r="P231" i="11"/>
  <c r="P239" i="11"/>
  <c r="P247" i="11"/>
  <c r="P255" i="11"/>
  <c r="P263" i="11"/>
  <c r="P271" i="11"/>
  <c r="P279" i="11"/>
  <c r="P287" i="11"/>
  <c r="P295" i="11"/>
  <c r="P303" i="11"/>
  <c r="P311" i="11"/>
  <c r="P319" i="11"/>
  <c r="P327" i="11"/>
  <c r="P335" i="11"/>
  <c r="P343" i="11"/>
  <c r="P351" i="11"/>
  <c r="P359" i="11"/>
  <c r="P367" i="11"/>
  <c r="P375" i="11"/>
  <c r="P383" i="11"/>
  <c r="P391" i="11"/>
  <c r="P399" i="11"/>
  <c r="P407" i="11"/>
  <c r="P415" i="11"/>
  <c r="P423" i="11"/>
  <c r="P431" i="11"/>
  <c r="P439" i="11"/>
  <c r="P447" i="11"/>
  <c r="P455" i="11"/>
  <c r="P463" i="11"/>
  <c r="P471" i="11"/>
  <c r="P479" i="11"/>
  <c r="P487" i="11"/>
  <c r="P495" i="11"/>
  <c r="P503" i="11"/>
  <c r="P511" i="11"/>
  <c r="P519" i="11"/>
  <c r="P527" i="11"/>
  <c r="P535" i="11"/>
  <c r="P543" i="11"/>
  <c r="P551" i="11"/>
  <c r="P559" i="11"/>
  <c r="P567" i="11"/>
  <c r="P575" i="11"/>
  <c r="P583" i="11"/>
  <c r="P591" i="11"/>
  <c r="P599" i="11"/>
  <c r="P607" i="11"/>
  <c r="P615" i="11"/>
  <c r="P623" i="11"/>
  <c r="P631" i="11"/>
  <c r="P639" i="11"/>
  <c r="P647" i="11"/>
  <c r="P655" i="11"/>
  <c r="P663" i="11"/>
  <c r="P671" i="11"/>
  <c r="P679" i="11"/>
  <c r="P8" i="11"/>
  <c r="P16" i="11"/>
  <c r="P24" i="11"/>
  <c r="P32" i="11"/>
  <c r="P40" i="11"/>
  <c r="P48" i="11"/>
  <c r="P56" i="11"/>
  <c r="P64" i="11"/>
  <c r="P72" i="11"/>
  <c r="P80" i="11"/>
  <c r="P88" i="11"/>
  <c r="P96" i="11"/>
  <c r="P104" i="11"/>
  <c r="P112" i="11"/>
  <c r="P120" i="11"/>
  <c r="P128" i="11"/>
  <c r="P136" i="11"/>
  <c r="P144" i="11"/>
  <c r="P152" i="11"/>
  <c r="P160" i="11"/>
  <c r="P168" i="11"/>
  <c r="P176" i="11"/>
  <c r="P184" i="11"/>
  <c r="P192" i="11"/>
  <c r="P200" i="11"/>
  <c r="P208" i="11"/>
  <c r="P216" i="11"/>
  <c r="P224" i="11"/>
  <c r="P232" i="11"/>
  <c r="P240" i="11"/>
  <c r="P248" i="11"/>
  <c r="P256" i="11"/>
  <c r="P264" i="11"/>
  <c r="P272" i="11"/>
  <c r="P280" i="11"/>
  <c r="P288" i="11"/>
  <c r="P296" i="11"/>
  <c r="P304" i="11"/>
  <c r="P312" i="11"/>
  <c r="P320" i="11"/>
  <c r="P328" i="11"/>
  <c r="P336" i="11"/>
  <c r="P344" i="11"/>
  <c r="P352" i="11"/>
  <c r="P360" i="11"/>
  <c r="P368" i="11"/>
  <c r="P376" i="11"/>
  <c r="P384" i="11"/>
  <c r="P392" i="11"/>
  <c r="P400" i="11"/>
  <c r="P408" i="11"/>
  <c r="P416" i="11"/>
  <c r="P424" i="11"/>
  <c r="P432" i="11"/>
  <c r="P440" i="11"/>
  <c r="P448" i="11"/>
  <c r="P456" i="11"/>
  <c r="P464" i="11"/>
  <c r="P472" i="11"/>
  <c r="P480" i="11"/>
  <c r="P488" i="11"/>
  <c r="P496" i="11"/>
  <c r="P504" i="11"/>
  <c r="P512" i="11"/>
  <c r="P520" i="11"/>
  <c r="P528" i="11"/>
  <c r="P536" i="11"/>
  <c r="P544" i="11"/>
  <c r="P552" i="11"/>
  <c r="P560" i="11"/>
  <c r="P568" i="11"/>
  <c r="P576" i="11"/>
  <c r="P584" i="11"/>
  <c r="P592" i="11"/>
  <c r="P600" i="11"/>
  <c r="P608" i="11"/>
  <c r="P616" i="11"/>
  <c r="P624" i="11"/>
  <c r="P632" i="11"/>
  <c r="P640" i="11"/>
  <c r="P648" i="11"/>
  <c r="P656" i="11"/>
  <c r="P664" i="11"/>
  <c r="P672" i="11"/>
  <c r="P680" i="11"/>
  <c r="P998" i="11"/>
  <c r="P990" i="11"/>
  <c r="P982" i="11"/>
  <c r="P974" i="11"/>
  <c r="P966" i="11"/>
  <c r="P958" i="11"/>
  <c r="P950" i="11"/>
  <c r="P942" i="11"/>
  <c r="P934" i="11"/>
  <c r="P926" i="11"/>
  <c r="P918" i="11"/>
  <c r="P910" i="11"/>
  <c r="P902" i="11"/>
  <c r="P894" i="11"/>
  <c r="P886" i="11"/>
  <c r="P878" i="11"/>
  <c r="P870" i="11"/>
  <c r="P862" i="11"/>
  <c r="P854" i="11"/>
  <c r="P846" i="11"/>
  <c r="P838" i="11"/>
  <c r="P830" i="11"/>
  <c r="P822" i="11"/>
  <c r="P814" i="11"/>
  <c r="P806" i="11"/>
  <c r="P798" i="11"/>
  <c r="P790" i="11"/>
  <c r="P782" i="11"/>
  <c r="P774" i="11"/>
  <c r="P766" i="11"/>
  <c r="P758" i="11"/>
  <c r="P750" i="11"/>
  <c r="P742" i="11"/>
  <c r="P734" i="11"/>
  <c r="P726" i="11"/>
  <c r="P718" i="11"/>
  <c r="P710" i="11"/>
  <c r="P702" i="11"/>
  <c r="P694" i="11"/>
  <c r="P686" i="11"/>
  <c r="P674" i="11"/>
  <c r="P658" i="11"/>
  <c r="P642" i="11"/>
  <c r="P621" i="11"/>
  <c r="P601" i="11"/>
  <c r="P578" i="11"/>
  <c r="P557" i="11"/>
  <c r="P537" i="11"/>
  <c r="P513" i="11"/>
  <c r="P481" i="11"/>
  <c r="P449" i="11"/>
  <c r="P417" i="11"/>
  <c r="P385" i="11"/>
  <c r="P353" i="11"/>
  <c r="P321" i="11"/>
  <c r="P289" i="11"/>
  <c r="P257" i="11"/>
  <c r="P225" i="11"/>
  <c r="P193" i="11"/>
  <c r="P161" i="11"/>
  <c r="P129" i="11"/>
  <c r="P97" i="11"/>
  <c r="P65" i="11"/>
  <c r="P33" i="11"/>
  <c r="P997" i="11"/>
  <c r="P989" i="11"/>
  <c r="P981" i="11"/>
  <c r="P973" i="11"/>
  <c r="P965" i="11"/>
  <c r="P957" i="11"/>
  <c r="P949" i="11"/>
  <c r="P941" i="11"/>
  <c r="P933" i="11"/>
  <c r="P925" i="11"/>
  <c r="P917" i="11"/>
  <c r="P909" i="11"/>
  <c r="P901" i="11"/>
  <c r="P893" i="11"/>
  <c r="P885" i="11"/>
  <c r="P877" i="11"/>
  <c r="P869" i="11"/>
  <c r="P861" i="11"/>
  <c r="P853" i="11"/>
  <c r="P845" i="11"/>
  <c r="P837" i="11"/>
  <c r="P829" i="11"/>
  <c r="P821" i="11"/>
  <c r="P813" i="11"/>
  <c r="P805" i="11"/>
  <c r="P797" i="11"/>
  <c r="P789" i="11"/>
  <c r="P781" i="11"/>
  <c r="P773" i="11"/>
  <c r="P765" i="11"/>
  <c r="P757" i="11"/>
  <c r="P749" i="11"/>
  <c r="P741" i="11"/>
  <c r="P733" i="11"/>
  <c r="P725" i="11"/>
  <c r="P717" i="11"/>
  <c r="P709" i="11"/>
  <c r="P701" i="11"/>
  <c r="P693" i="11"/>
  <c r="P685" i="11"/>
  <c r="P673" i="11"/>
  <c r="P657" i="11"/>
  <c r="P641" i="11"/>
  <c r="P618" i="11"/>
  <c r="P597" i="11"/>
  <c r="P577" i="11"/>
  <c r="P554" i="11"/>
  <c r="P533" i="11"/>
  <c r="P506" i="11"/>
  <c r="P474" i="11"/>
  <c r="P442" i="11"/>
  <c r="P410" i="11"/>
  <c r="P378" i="11"/>
  <c r="P346" i="11"/>
  <c r="P314" i="11"/>
  <c r="P282" i="11"/>
  <c r="P250" i="11"/>
  <c r="P218" i="11"/>
  <c r="P186" i="11"/>
  <c r="P154" i="11"/>
  <c r="P122" i="11"/>
  <c r="P90" i="11"/>
  <c r="P58" i="11"/>
  <c r="P26" i="11"/>
  <c r="P996" i="11"/>
  <c r="P988" i="11"/>
  <c r="P980" i="11"/>
  <c r="P972" i="11"/>
  <c r="P964" i="11"/>
  <c r="P956" i="11"/>
  <c r="P948" i="11"/>
  <c r="P940" i="11"/>
  <c r="P932" i="11"/>
  <c r="P924" i="11"/>
  <c r="P916" i="11"/>
  <c r="P908" i="11"/>
  <c r="P900" i="11"/>
  <c r="P892" i="11"/>
  <c r="P884" i="11"/>
  <c r="P876" i="11"/>
  <c r="P868" i="11"/>
  <c r="P860" i="11"/>
  <c r="P852" i="11"/>
  <c r="P844" i="11"/>
  <c r="P836" i="11"/>
  <c r="P828" i="11"/>
  <c r="P820" i="11"/>
  <c r="P812" i="11"/>
  <c r="P804" i="11"/>
  <c r="P796" i="11"/>
  <c r="P788" i="11"/>
  <c r="P780" i="11"/>
  <c r="P772" i="11"/>
  <c r="P764" i="11"/>
  <c r="P756" i="11"/>
  <c r="P748" i="11"/>
  <c r="P740" i="11"/>
  <c r="P732" i="11"/>
  <c r="P724" i="11"/>
  <c r="P716" i="11"/>
  <c r="P708" i="11"/>
  <c r="P700" i="11"/>
  <c r="P692" i="11"/>
  <c r="P684" i="11"/>
  <c r="P670" i="11"/>
  <c r="P654" i="11"/>
  <c r="P637" i="11"/>
  <c r="P617" i="11"/>
  <c r="P594" i="11"/>
  <c r="P573" i="11"/>
  <c r="P553" i="11"/>
  <c r="P530" i="11"/>
  <c r="P505" i="11"/>
  <c r="P473" i="11"/>
  <c r="P441" i="11"/>
  <c r="P409" i="11"/>
  <c r="P377" i="11"/>
  <c r="P345" i="11"/>
  <c r="P313" i="11"/>
  <c r="P281" i="11"/>
  <c r="P249" i="11"/>
  <c r="P217" i="11"/>
  <c r="P185" i="11"/>
  <c r="P153" i="11"/>
  <c r="P121" i="11"/>
  <c r="P89" i="11"/>
  <c r="P57" i="11"/>
  <c r="P25" i="11"/>
  <c r="P995" i="11"/>
  <c r="P987" i="11"/>
  <c r="P979" i="11"/>
  <c r="P971" i="11"/>
  <c r="P963" i="11"/>
  <c r="P955" i="11"/>
  <c r="P947" i="11"/>
  <c r="P939" i="11"/>
  <c r="P931" i="11"/>
  <c r="P923" i="11"/>
  <c r="P915" i="11"/>
  <c r="P907" i="11"/>
  <c r="P899" i="11"/>
  <c r="P891" i="11"/>
  <c r="P883" i="11"/>
  <c r="P875" i="11"/>
  <c r="P867" i="11"/>
  <c r="P859" i="11"/>
  <c r="P851" i="11"/>
  <c r="P843" i="11"/>
  <c r="P835" i="11"/>
  <c r="P827" i="11"/>
  <c r="P819" i="11"/>
  <c r="P811" i="11"/>
  <c r="P803" i="11"/>
  <c r="P795" i="11"/>
  <c r="P787" i="11"/>
  <c r="P779" i="11"/>
  <c r="P771" i="11"/>
  <c r="P763" i="11"/>
  <c r="P755" i="11"/>
  <c r="P747" i="11"/>
  <c r="P739" i="11"/>
  <c r="P731" i="11"/>
  <c r="P723" i="11"/>
  <c r="P715" i="11"/>
  <c r="P707" i="11"/>
  <c r="P699" i="11"/>
  <c r="P691" i="11"/>
  <c r="P683" i="11"/>
  <c r="P669" i="11"/>
  <c r="P653" i="11"/>
  <c r="P634" i="11"/>
  <c r="P613" i="11"/>
  <c r="P593" i="11"/>
  <c r="P570" i="11"/>
  <c r="P549" i="11"/>
  <c r="P529" i="11"/>
  <c r="P498" i="11"/>
  <c r="P466" i="11"/>
  <c r="P434" i="11"/>
  <c r="P402" i="11"/>
  <c r="P370" i="11"/>
  <c r="P338" i="11"/>
  <c r="P306" i="11"/>
  <c r="P274" i="11"/>
  <c r="P242" i="11"/>
  <c r="P210" i="11"/>
  <c r="P178" i="11"/>
  <c r="P146" i="11"/>
  <c r="P114" i="11"/>
  <c r="P82" i="11"/>
  <c r="P50" i="11"/>
  <c r="P18" i="11"/>
  <c r="P1002" i="11"/>
  <c r="P994" i="11"/>
  <c r="P986" i="11"/>
  <c r="P978" i="11"/>
  <c r="P970" i="11"/>
  <c r="P962" i="11"/>
  <c r="P954" i="11"/>
  <c r="P946" i="11"/>
  <c r="P938" i="11"/>
  <c r="P930" i="11"/>
  <c r="P922" i="11"/>
  <c r="P914" i="11"/>
  <c r="P906" i="11"/>
  <c r="P898" i="11"/>
  <c r="P890" i="11"/>
  <c r="P882" i="11"/>
  <c r="P874" i="11"/>
  <c r="P866" i="11"/>
  <c r="P858" i="11"/>
  <c r="P850" i="11"/>
  <c r="P842" i="11"/>
  <c r="P834" i="11"/>
  <c r="P826" i="11"/>
  <c r="P818" i="11"/>
  <c r="P810" i="11"/>
  <c r="P802" i="11"/>
  <c r="P794" i="11"/>
  <c r="P786" i="11"/>
  <c r="P778" i="11"/>
  <c r="P770" i="11"/>
  <c r="P762" i="11"/>
  <c r="P754" i="11"/>
  <c r="P746" i="11"/>
  <c r="P738" i="11"/>
  <c r="P730" i="11"/>
  <c r="P722" i="11"/>
  <c r="P714" i="11"/>
  <c r="P706" i="11"/>
  <c r="P698" i="11"/>
  <c r="P690" i="11"/>
  <c r="P682" i="11"/>
  <c r="P666" i="11"/>
  <c r="P650" i="11"/>
  <c r="P633" i="11"/>
  <c r="P610" i="11"/>
  <c r="P589" i="11"/>
  <c r="P569" i="11"/>
  <c r="P546" i="11"/>
  <c r="P525" i="11"/>
  <c r="P497" i="11"/>
  <c r="P465" i="11"/>
  <c r="P433" i="11"/>
  <c r="P401" i="11"/>
  <c r="P369" i="11"/>
  <c r="P337" i="11"/>
  <c r="P305" i="11"/>
  <c r="P273" i="11"/>
  <c r="P241" i="11"/>
  <c r="P209" i="11"/>
  <c r="P177" i="11"/>
  <c r="P145" i="11"/>
  <c r="P113" i="11"/>
  <c r="P81" i="11"/>
  <c r="P49" i="11"/>
  <c r="P17" i="11"/>
  <c r="P1001" i="11"/>
  <c r="P993" i="11"/>
  <c r="P985" i="11"/>
  <c r="P977" i="11"/>
  <c r="P969" i="11"/>
  <c r="P961" i="11"/>
  <c r="P953" i="11"/>
  <c r="P945" i="11"/>
  <c r="P937" i="11"/>
  <c r="P929" i="11"/>
  <c r="P921" i="11"/>
  <c r="P913" i="11"/>
  <c r="P905" i="11"/>
  <c r="P897" i="11"/>
  <c r="P889" i="11"/>
  <c r="P881" i="11"/>
  <c r="P873" i="11"/>
  <c r="P865" i="11"/>
  <c r="P857" i="11"/>
  <c r="P849" i="11"/>
  <c r="P841" i="11"/>
  <c r="P833" i="11"/>
  <c r="P825" i="11"/>
  <c r="P817" i="11"/>
  <c r="P809" i="11"/>
  <c r="P801" i="11"/>
  <c r="P793" i="11"/>
  <c r="P785" i="11"/>
  <c r="P777" i="11"/>
  <c r="P769" i="11"/>
  <c r="P761" i="11"/>
  <c r="P753" i="11"/>
  <c r="P745" i="11"/>
  <c r="P737" i="11"/>
  <c r="P729" i="11"/>
  <c r="P721" i="11"/>
  <c r="P713" i="11"/>
  <c r="P705" i="11"/>
  <c r="P697" i="11"/>
  <c r="P689" i="11"/>
  <c r="P681" i="11"/>
  <c r="P665" i="11"/>
  <c r="P649" i="11"/>
  <c r="P629" i="11"/>
  <c r="P609" i="11"/>
  <c r="P586" i="11"/>
  <c r="P565" i="11"/>
  <c r="P545" i="11"/>
  <c r="P522" i="11"/>
  <c r="P490" i="11"/>
  <c r="P458" i="11"/>
  <c r="P426" i="11"/>
  <c r="P394" i="11"/>
  <c r="P362" i="11"/>
  <c r="P330" i="11"/>
  <c r="P298" i="11"/>
  <c r="P266" i="11"/>
  <c r="P234" i="11"/>
  <c r="P202" i="11"/>
  <c r="P170" i="11"/>
  <c r="P138" i="11"/>
  <c r="P106" i="11"/>
  <c r="P74" i="11"/>
  <c r="P42" i="11"/>
  <c r="P10" i="11"/>
  <c r="P1000" i="11"/>
  <c r="P992" i="11"/>
  <c r="P984" i="11"/>
  <c r="P976" i="11"/>
  <c r="P968" i="11"/>
  <c r="P960" i="11"/>
  <c r="P952" i="11"/>
  <c r="P944" i="11"/>
  <c r="P936" i="11"/>
  <c r="P928" i="11"/>
  <c r="P920" i="11"/>
  <c r="P912" i="11"/>
  <c r="P904" i="11"/>
  <c r="P896" i="11"/>
  <c r="P888" i="11"/>
  <c r="P880" i="11"/>
  <c r="P872" i="11"/>
  <c r="P864" i="11"/>
  <c r="P856" i="11"/>
  <c r="P848" i="11"/>
  <c r="P840" i="11"/>
  <c r="P832" i="11"/>
  <c r="P824" i="11"/>
  <c r="P816" i="11"/>
  <c r="P808" i="11"/>
  <c r="P800" i="11"/>
  <c r="P792" i="11"/>
  <c r="P784" i="11"/>
  <c r="P776" i="11"/>
  <c r="P768" i="11"/>
  <c r="P760" i="11"/>
  <c r="P752" i="11"/>
  <c r="P744" i="11"/>
  <c r="P736" i="11"/>
  <c r="P728" i="11"/>
  <c r="P720" i="11"/>
  <c r="P712" i="11"/>
  <c r="P704" i="11"/>
  <c r="P696" i="11"/>
  <c r="P688" i="11"/>
  <c r="P678" i="11"/>
  <c r="P662" i="11"/>
  <c r="P646" i="11"/>
  <c r="P626" i="11"/>
  <c r="P605" i="11"/>
  <c r="P585" i="11"/>
  <c r="P562" i="11"/>
  <c r="P541" i="11"/>
  <c r="P521" i="11"/>
  <c r="P489" i="11"/>
  <c r="P457" i="11"/>
  <c r="P425" i="11"/>
  <c r="P393" i="11"/>
  <c r="P361" i="11"/>
  <c r="P329" i="11"/>
  <c r="P297" i="11"/>
  <c r="P265" i="11"/>
  <c r="P233" i="11"/>
  <c r="P201" i="11"/>
  <c r="P169" i="11"/>
  <c r="P137" i="11"/>
  <c r="P105" i="11"/>
  <c r="P73" i="11"/>
  <c r="P41" i="11"/>
  <c r="P9" i="11"/>
  <c r="P999" i="11"/>
  <c r="P991" i="11"/>
  <c r="P983" i="11"/>
  <c r="P975" i="11"/>
  <c r="P967" i="11"/>
  <c r="P959" i="11"/>
  <c r="P951" i="11"/>
  <c r="P943" i="11"/>
  <c r="P935" i="11"/>
  <c r="P927" i="11"/>
  <c r="P919" i="11"/>
  <c r="P911" i="11"/>
  <c r="P903" i="11"/>
  <c r="P895" i="11"/>
  <c r="P887" i="11"/>
  <c r="P879" i="11"/>
  <c r="P871" i="11"/>
  <c r="P863" i="11"/>
  <c r="P855" i="11"/>
  <c r="P847" i="11"/>
  <c r="P839" i="11"/>
  <c r="P831" i="11"/>
  <c r="P823" i="11"/>
  <c r="P815" i="11"/>
  <c r="P807" i="11"/>
  <c r="P799" i="11"/>
  <c r="P791" i="11"/>
  <c r="P783" i="11"/>
  <c r="P775" i="11"/>
  <c r="P767" i="11"/>
  <c r="P759" i="11"/>
  <c r="P751" i="11"/>
  <c r="P743" i="11"/>
  <c r="P735" i="11"/>
  <c r="P727" i="11"/>
  <c r="P719" i="11"/>
  <c r="P711" i="11"/>
  <c r="P703" i="11"/>
  <c r="P695" i="11"/>
  <c r="P687" i="11"/>
  <c r="P677" i="11"/>
  <c r="P661" i="11"/>
  <c r="P645" i="11"/>
  <c r="P625" i="11"/>
  <c r="P602" i="11"/>
  <c r="P581" i="11"/>
  <c r="P561" i="11"/>
  <c r="P538" i="11"/>
  <c r="P514" i="11"/>
  <c r="P482" i="11"/>
  <c r="P450" i="11"/>
  <c r="P418" i="11"/>
  <c r="P386" i="11"/>
  <c r="P354" i="11"/>
  <c r="P322" i="11"/>
  <c r="P290" i="11"/>
  <c r="P258" i="11"/>
  <c r="P226" i="11"/>
  <c r="P194" i="11"/>
  <c r="P162" i="11"/>
  <c r="P130" i="11"/>
  <c r="P98" i="11"/>
  <c r="P66" i="11"/>
  <c r="P34" i="11"/>
  <c r="O5" i="11"/>
  <c r="O13" i="11"/>
  <c r="O21" i="11"/>
  <c r="O29" i="11"/>
  <c r="O37" i="11"/>
  <c r="O45" i="11"/>
  <c r="O53" i="11"/>
  <c r="O61" i="11"/>
  <c r="O69" i="11"/>
  <c r="O77" i="11"/>
  <c r="O85" i="11"/>
  <c r="O93" i="11"/>
  <c r="O101" i="11"/>
  <c r="O109" i="11"/>
  <c r="O117" i="11"/>
  <c r="O125" i="11"/>
  <c r="O133" i="11"/>
  <c r="O141" i="11"/>
  <c r="O149" i="11"/>
  <c r="O157" i="11"/>
  <c r="O165" i="11"/>
  <c r="O173" i="11"/>
  <c r="O181" i="11"/>
  <c r="O189" i="11"/>
  <c r="O197" i="11"/>
  <c r="O205" i="11"/>
  <c r="O213" i="11"/>
  <c r="O221" i="11"/>
  <c r="O229" i="11"/>
  <c r="O237" i="11"/>
  <c r="O245" i="11"/>
  <c r="O253" i="11"/>
  <c r="O261" i="11"/>
  <c r="O269" i="11"/>
  <c r="O277" i="11"/>
  <c r="O285" i="11"/>
  <c r="O293" i="11"/>
  <c r="O301" i="11"/>
  <c r="O309" i="11"/>
  <c r="O317" i="11"/>
  <c r="O325" i="11"/>
  <c r="O333" i="11"/>
  <c r="O341" i="11"/>
  <c r="O349" i="11"/>
  <c r="O357" i="11"/>
  <c r="O365" i="11"/>
  <c r="O373" i="11"/>
  <c r="O381" i="11"/>
  <c r="O389" i="11"/>
  <c r="O397" i="11"/>
  <c r="O405" i="11"/>
  <c r="O413" i="11"/>
  <c r="O421" i="11"/>
  <c r="O429" i="11"/>
  <c r="O437" i="11"/>
  <c r="O445" i="11"/>
  <c r="O453" i="11"/>
  <c r="O461" i="11"/>
  <c r="O469" i="11"/>
  <c r="O477" i="11"/>
  <c r="O485" i="11"/>
  <c r="O493" i="11"/>
  <c r="O501" i="11"/>
  <c r="O509" i="11"/>
  <c r="O517" i="11"/>
  <c r="O525" i="11"/>
  <c r="O533" i="11"/>
  <c r="O541" i="11"/>
  <c r="O549" i="11"/>
  <c r="O557" i="11"/>
  <c r="O565" i="11"/>
  <c r="O573" i="11"/>
  <c r="O581" i="11"/>
  <c r="O589" i="11"/>
  <c r="O597" i="11"/>
  <c r="O605" i="11"/>
  <c r="O613" i="11"/>
  <c r="O621" i="11"/>
  <c r="O629" i="11"/>
  <c r="O637" i="11"/>
  <c r="O645" i="11"/>
  <c r="O653" i="11"/>
  <c r="O661" i="11"/>
  <c r="O669" i="11"/>
  <c r="O677" i="11"/>
  <c r="O685" i="11"/>
  <c r="O693" i="11"/>
  <c r="O701" i="11"/>
  <c r="O709" i="11"/>
  <c r="O717" i="11"/>
  <c r="O725" i="11"/>
  <c r="O733" i="11"/>
  <c r="O741" i="11"/>
  <c r="O749" i="11"/>
  <c r="O757" i="11"/>
  <c r="O765" i="11"/>
  <c r="O773" i="11"/>
  <c r="O781" i="11"/>
  <c r="O789" i="11"/>
  <c r="O797" i="11"/>
  <c r="O805" i="11"/>
  <c r="O813" i="11"/>
  <c r="O821" i="11"/>
  <c r="O829" i="11"/>
  <c r="O837" i="11"/>
  <c r="O845" i="11"/>
  <c r="O853" i="11"/>
  <c r="O861" i="11"/>
  <c r="O869" i="11"/>
  <c r="O877" i="11"/>
  <c r="O885" i="11"/>
  <c r="O893" i="11"/>
  <c r="O901" i="11"/>
  <c r="O909" i="11"/>
  <c r="O917" i="11"/>
  <c r="O925" i="11"/>
  <c r="O933" i="11"/>
  <c r="O941" i="11"/>
  <c r="O949" i="11"/>
  <c r="O957" i="11"/>
  <c r="O965" i="11"/>
  <c r="O973" i="11"/>
  <c r="O981" i="11"/>
  <c r="O989" i="11"/>
  <c r="O997" i="1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3" i="12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4" i="11"/>
  <c r="H5" i="11"/>
  <c r="H6" i="11"/>
  <c r="H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3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4" i="11"/>
  <c r="A5" i="11"/>
  <c r="A6" i="11"/>
  <c r="A7" i="11"/>
  <c r="A8" i="11"/>
  <c r="A9" i="11"/>
  <c r="A10" i="11"/>
  <c r="A11" i="11"/>
  <c r="A3" i="11"/>
  <c r="B2" i="6" l="1"/>
  <c r="C2" i="6" a="1"/>
  <c r="C2" i="6" s="1"/>
  <c r="O1002" i="11"/>
  <c r="O994" i="11"/>
  <c r="O986" i="11"/>
  <c r="O978" i="11"/>
  <c r="O970" i="11"/>
  <c r="O962" i="11"/>
  <c r="O954" i="11"/>
  <c r="O946" i="11"/>
  <c r="O938" i="11"/>
  <c r="O930" i="11"/>
  <c r="O922" i="11"/>
  <c r="O914" i="11"/>
  <c r="O906" i="11"/>
  <c r="O898" i="11"/>
  <c r="O890" i="11"/>
  <c r="O882" i="11"/>
  <c r="O874" i="11"/>
  <c r="O866" i="11"/>
  <c r="O858" i="11"/>
  <c r="O850" i="11"/>
  <c r="O842" i="11"/>
  <c r="O834" i="11"/>
  <c r="O826" i="11"/>
  <c r="O818" i="11"/>
  <c r="O810" i="11"/>
  <c r="O802" i="11"/>
  <c r="O794" i="11"/>
  <c r="O786" i="11"/>
  <c r="O778" i="11"/>
  <c r="O770" i="11"/>
  <c r="O762" i="11"/>
  <c r="O754" i="11"/>
  <c r="O746" i="11"/>
  <c r="O738" i="11"/>
  <c r="O730" i="11"/>
  <c r="O722" i="11"/>
  <c r="O714" i="11"/>
  <c r="O706" i="11"/>
  <c r="O698" i="11"/>
  <c r="O690" i="11"/>
  <c r="O682" i="11"/>
  <c r="O674" i="11"/>
  <c r="O666" i="11"/>
  <c r="O658" i="11"/>
  <c r="O650" i="11"/>
  <c r="O642" i="11"/>
  <c r="O634" i="11"/>
  <c r="O626" i="11"/>
  <c r="O618" i="11"/>
  <c r="O610" i="11"/>
  <c r="O602" i="11"/>
  <c r="O594" i="11"/>
  <c r="O586" i="11"/>
  <c r="O578" i="11"/>
  <c r="O570" i="11"/>
  <c r="O562" i="11"/>
  <c r="O554" i="11"/>
  <c r="O546" i="11"/>
  <c r="O538" i="11"/>
  <c r="O530" i="11"/>
  <c r="O522" i="11"/>
  <c r="O514" i="11"/>
  <c r="O506" i="11"/>
  <c r="O498" i="11"/>
  <c r="O490" i="11"/>
  <c r="O482" i="11"/>
  <c r="O474" i="11"/>
  <c r="O466" i="11"/>
  <c r="O458" i="11"/>
  <c r="O450" i="11"/>
  <c r="O442" i="11"/>
  <c r="O434" i="11"/>
  <c r="O426" i="11"/>
  <c r="O418" i="11"/>
  <c r="O410" i="11"/>
  <c r="O402" i="11"/>
  <c r="O394" i="11"/>
  <c r="O386" i="11"/>
  <c r="O378" i="11"/>
  <c r="O370" i="11"/>
  <c r="O362" i="11"/>
  <c r="O354" i="11"/>
  <c r="O346" i="11"/>
  <c r="O338" i="11"/>
  <c r="O330" i="11"/>
  <c r="O322" i="11"/>
  <c r="O314" i="11"/>
  <c r="O306" i="11"/>
  <c r="O298" i="11"/>
  <c r="O290" i="11"/>
  <c r="O282" i="11"/>
  <c r="O274" i="11"/>
  <c r="O266" i="11"/>
  <c r="O258" i="11"/>
  <c r="O250" i="11"/>
  <c r="O242" i="11"/>
  <c r="O234" i="11"/>
  <c r="O226" i="11"/>
  <c r="O218" i="11"/>
  <c r="O210" i="11"/>
  <c r="O202" i="11"/>
  <c r="O194" i="11"/>
  <c r="O186" i="11"/>
  <c r="O178" i="11"/>
  <c r="O170" i="11"/>
  <c r="O162" i="11"/>
  <c r="O154" i="11"/>
  <c r="O146" i="11"/>
  <c r="O138" i="11"/>
  <c r="O130" i="11"/>
  <c r="O122" i="11"/>
  <c r="O114" i="11"/>
  <c r="O106" i="11"/>
  <c r="O98" i="11"/>
  <c r="O90" i="11"/>
  <c r="O82" i="11"/>
  <c r="O74" i="11"/>
  <c r="O66" i="11"/>
  <c r="O58" i="11"/>
  <c r="O50" i="11"/>
  <c r="O42" i="11"/>
  <c r="O34" i="11"/>
  <c r="O26" i="11"/>
  <c r="O18" i="11"/>
  <c r="O10" i="11"/>
  <c r="O996" i="11"/>
  <c r="O988" i="11"/>
  <c r="O980" i="11"/>
  <c r="O972" i="11"/>
  <c r="O964" i="11"/>
  <c r="O956" i="11"/>
  <c r="O948" i="11"/>
  <c r="O940" i="11"/>
  <c r="O932" i="11"/>
  <c r="O924" i="11"/>
  <c r="O916" i="11"/>
  <c r="O908" i="11"/>
  <c r="O900" i="11"/>
  <c r="O892" i="11"/>
  <c r="O884" i="11"/>
  <c r="O876" i="11"/>
  <c r="O868" i="11"/>
  <c r="O860" i="11"/>
  <c r="O852" i="11"/>
  <c r="O844" i="11"/>
  <c r="O836" i="11"/>
  <c r="O828" i="11"/>
  <c r="O820" i="11"/>
  <c r="O812" i="11"/>
  <c r="O804" i="11"/>
  <c r="O796" i="11"/>
  <c r="O788" i="11"/>
  <c r="O780" i="11"/>
  <c r="O772" i="11"/>
  <c r="O764" i="11"/>
  <c r="O756" i="11"/>
  <c r="O748" i="11"/>
  <c r="O740" i="11"/>
  <c r="O732" i="11"/>
  <c r="O724" i="11"/>
  <c r="O716" i="11"/>
  <c r="O708" i="11"/>
  <c r="O700" i="11"/>
  <c r="O692" i="11"/>
  <c r="O684" i="11"/>
  <c r="O995" i="11"/>
  <c r="O987" i="11"/>
  <c r="O979" i="11"/>
  <c r="O971" i="11"/>
  <c r="O963" i="11"/>
  <c r="O955" i="11"/>
  <c r="O947" i="11"/>
  <c r="O939" i="11"/>
  <c r="O931" i="11"/>
  <c r="O923" i="11"/>
  <c r="O915" i="11"/>
  <c r="O907" i="11"/>
  <c r="O899" i="11"/>
  <c r="O891" i="11"/>
  <c r="O883" i="11"/>
  <c r="O875" i="11"/>
  <c r="O867" i="11"/>
  <c r="O859" i="11"/>
  <c r="O851" i="11"/>
  <c r="O843" i="11"/>
  <c r="O835" i="11"/>
  <c r="O827" i="11"/>
  <c r="O819" i="11"/>
  <c r="O811" i="11"/>
  <c r="O803" i="11"/>
  <c r="O795" i="11"/>
  <c r="O787" i="11"/>
  <c r="O779" i="11"/>
  <c r="O771" i="11"/>
  <c r="O763" i="11"/>
  <c r="O755" i="11"/>
  <c r="O747" i="11"/>
  <c r="O739" i="11"/>
  <c r="O731" i="11"/>
  <c r="O723" i="11"/>
  <c r="O715" i="11"/>
  <c r="O707" i="11"/>
  <c r="O699" i="11"/>
  <c r="O691" i="11"/>
  <c r="O683" i="11"/>
  <c r="O675" i="11"/>
  <c r="O667" i="11"/>
  <c r="O659" i="11"/>
  <c r="O651" i="11"/>
  <c r="O643" i="11"/>
  <c r="O635" i="11"/>
  <c r="O627" i="11"/>
  <c r="O619" i="11"/>
  <c r="O611" i="11"/>
  <c r="O603" i="11"/>
  <c r="O595" i="11"/>
  <c r="O587" i="11"/>
  <c r="O579" i="11"/>
  <c r="O571" i="11"/>
  <c r="O563" i="11"/>
  <c r="O676" i="11"/>
  <c r="O668" i="11"/>
  <c r="O660" i="11"/>
  <c r="O652" i="11"/>
  <c r="O644" i="11"/>
  <c r="O636" i="11"/>
  <c r="O628" i="11"/>
  <c r="O620" i="11"/>
  <c r="O612" i="11"/>
  <c r="O604" i="11"/>
  <c r="O596" i="11"/>
  <c r="O588" i="11"/>
  <c r="O580" i="11"/>
  <c r="O572" i="11"/>
  <c r="O564" i="11"/>
  <c r="O556" i="11"/>
  <c r="O548" i="11"/>
  <c r="O540" i="11"/>
  <c r="O532" i="11"/>
  <c r="O524" i="11"/>
  <c r="O516" i="11"/>
  <c r="O508" i="11"/>
  <c r="O500" i="11"/>
  <c r="O492" i="11"/>
  <c r="O484" i="11"/>
  <c r="O476" i="11"/>
  <c r="O468" i="11"/>
  <c r="O460" i="11"/>
  <c r="O452" i="11"/>
  <c r="O444" i="11"/>
  <c r="O436" i="11"/>
  <c r="O428" i="11"/>
  <c r="O420" i="11"/>
  <c r="O412" i="11"/>
  <c r="O404" i="11"/>
  <c r="O396" i="11"/>
  <c r="O388" i="11"/>
  <c r="O380" i="11"/>
  <c r="O372" i="11"/>
  <c r="O364" i="11"/>
  <c r="O356" i="11"/>
  <c r="O348" i="11"/>
  <c r="O340" i="11"/>
  <c r="O332" i="11"/>
  <c r="O324" i="11"/>
  <c r="O316" i="11"/>
  <c r="O308" i="11"/>
  <c r="O300" i="11"/>
  <c r="O292" i="11"/>
  <c r="O284" i="11"/>
  <c r="O276" i="11"/>
  <c r="O268" i="11"/>
  <c r="O260" i="11"/>
  <c r="O252" i="11"/>
  <c r="O244" i="11"/>
  <c r="O236" i="11"/>
  <c r="O228" i="11"/>
  <c r="O220" i="11"/>
  <c r="O212" i="11"/>
  <c r="O204" i="11"/>
  <c r="O196" i="11"/>
  <c r="O188" i="11"/>
  <c r="O180" i="11"/>
  <c r="O172" i="11"/>
  <c r="O164" i="11"/>
  <c r="O156" i="11"/>
  <c r="O148" i="11"/>
  <c r="O140" i="11"/>
  <c r="O132" i="11"/>
  <c r="O124" i="11"/>
  <c r="O116" i="11"/>
  <c r="O108" i="11"/>
  <c r="O100" i="11"/>
  <c r="O92" i="11"/>
  <c r="O84" i="11"/>
  <c r="O76" i="11"/>
  <c r="O68" i="11"/>
  <c r="O60" i="11"/>
  <c r="O52" i="11"/>
  <c r="O44" i="11"/>
  <c r="O36" i="11"/>
  <c r="O28" i="11"/>
  <c r="O20" i="11"/>
  <c r="O12" i="11"/>
  <c r="O4" i="11"/>
  <c r="O555" i="11"/>
  <c r="O547" i="11"/>
  <c r="O539" i="11"/>
  <c r="O531" i="11"/>
  <c r="O523" i="11"/>
  <c r="O515" i="11"/>
  <c r="O507" i="11"/>
  <c r="O499" i="11"/>
  <c r="O491" i="11"/>
  <c r="O483" i="11"/>
  <c r="O475" i="11"/>
  <c r="O467" i="11"/>
  <c r="O459" i="11"/>
  <c r="O451" i="11"/>
  <c r="O443" i="11"/>
  <c r="O435" i="11"/>
  <c r="O427" i="11"/>
  <c r="O419" i="11"/>
  <c r="O411" i="11"/>
  <c r="O403" i="11"/>
  <c r="O395" i="11"/>
  <c r="O387" i="11"/>
  <c r="O379" i="11"/>
  <c r="O371" i="11"/>
  <c r="O363" i="11"/>
  <c r="O355" i="11"/>
  <c r="O347" i="11"/>
  <c r="O339" i="11"/>
  <c r="O331" i="11"/>
  <c r="O323" i="11"/>
  <c r="O315" i="11"/>
  <c r="O307" i="11"/>
  <c r="O299" i="11"/>
  <c r="O291" i="11"/>
  <c r="O283" i="11"/>
  <c r="O275" i="11"/>
  <c r="O267" i="11"/>
  <c r="O259" i="11"/>
  <c r="O251" i="11"/>
  <c r="O243" i="11"/>
  <c r="O235" i="11"/>
  <c r="O227" i="11"/>
  <c r="O219" i="11"/>
  <c r="O211" i="11"/>
  <c r="O203" i="11"/>
  <c r="O195" i="11"/>
  <c r="O187" i="11"/>
  <c r="O179" i="11"/>
  <c r="O171" i="11"/>
  <c r="O163" i="11"/>
  <c r="O155" i="11"/>
  <c r="O147" i="11"/>
  <c r="O139" i="11"/>
  <c r="O131" i="11"/>
  <c r="O123" i="11"/>
  <c r="O115" i="11"/>
  <c r="O107" i="11"/>
  <c r="O99" i="11"/>
  <c r="O91" i="11"/>
  <c r="O83" i="11"/>
  <c r="O75" i="11"/>
  <c r="O67" i="11"/>
  <c r="O59" i="11"/>
  <c r="O51" i="11"/>
  <c r="O43" i="11"/>
  <c r="O35" i="11"/>
  <c r="O27" i="11"/>
  <c r="O19" i="11"/>
  <c r="O11" i="11"/>
  <c r="O977" i="11"/>
  <c r="O937" i="11"/>
  <c r="O897" i="11"/>
  <c r="O857" i="11"/>
  <c r="O809" i="11"/>
  <c r="O761" i="11"/>
  <c r="O721" i="11"/>
  <c r="O681" i="11"/>
  <c r="O633" i="11"/>
  <c r="O585" i="11"/>
  <c r="O561" i="11"/>
  <c r="O513" i="11"/>
  <c r="O457" i="11"/>
  <c r="O409" i="11"/>
  <c r="O377" i="11"/>
  <c r="O345" i="11"/>
  <c r="O289" i="11"/>
  <c r="O233" i="11"/>
  <c r="O209" i="11"/>
  <c r="O153" i="11"/>
  <c r="O113" i="11"/>
  <c r="O65" i="11"/>
  <c r="O49" i="11"/>
  <c r="O993" i="11"/>
  <c r="O945" i="11"/>
  <c r="O865" i="11"/>
  <c r="O817" i="11"/>
  <c r="O753" i="11"/>
  <c r="O697" i="11"/>
  <c r="O641" i="11"/>
  <c r="O593" i="11"/>
  <c r="O529" i="11"/>
  <c r="O473" i="11"/>
  <c r="O425" i="11"/>
  <c r="O361" i="11"/>
  <c r="O305" i="11"/>
  <c r="O249" i="11"/>
  <c r="O185" i="11"/>
  <c r="O145" i="11"/>
  <c r="O89" i="11"/>
  <c r="O17" i="11"/>
  <c r="O985" i="11"/>
  <c r="O921" i="11"/>
  <c r="O881" i="11"/>
  <c r="O833" i="11"/>
  <c r="O785" i="11"/>
  <c r="O705" i="11"/>
  <c r="O657" i="11"/>
  <c r="O601" i="11"/>
  <c r="O537" i="11"/>
  <c r="O489" i="11"/>
  <c r="O441" i="11"/>
  <c r="O385" i="11"/>
  <c r="O321" i="11"/>
  <c r="O273" i="11"/>
  <c r="O225" i="11"/>
  <c r="O169" i="11"/>
  <c r="O105" i="11"/>
  <c r="O57" i="11"/>
  <c r="O9" i="11"/>
  <c r="O998" i="11"/>
  <c r="O990" i="11"/>
  <c r="O982" i="11"/>
  <c r="O974" i="11"/>
  <c r="O966" i="11"/>
  <c r="O958" i="11"/>
  <c r="O950" i="11"/>
  <c r="O942" i="11"/>
  <c r="O934" i="11"/>
  <c r="O926" i="11"/>
  <c r="O918" i="11"/>
  <c r="O910" i="11"/>
  <c r="O902" i="11"/>
  <c r="O894" i="11"/>
  <c r="O886" i="11"/>
  <c r="O878" i="11"/>
  <c r="O870" i="11"/>
  <c r="O862" i="11"/>
  <c r="O854" i="11"/>
  <c r="O846" i="11"/>
  <c r="O838" i="11"/>
  <c r="O830" i="11"/>
  <c r="O822" i="11"/>
  <c r="O814" i="11"/>
  <c r="O806" i="11"/>
  <c r="O798" i="11"/>
  <c r="O790" i="11"/>
  <c r="O782" i="11"/>
  <c r="O774" i="11"/>
  <c r="O766" i="11"/>
  <c r="O758" i="11"/>
  <c r="O750" i="11"/>
  <c r="O742" i="11"/>
  <c r="O734" i="11"/>
  <c r="O726" i="11"/>
  <c r="O718" i="11"/>
  <c r="O710" i="11"/>
  <c r="O702" i="11"/>
  <c r="O694" i="11"/>
  <c r="O686" i="11"/>
  <c r="O953" i="11"/>
  <c r="O889" i="11"/>
  <c r="O825" i="11"/>
  <c r="O777" i="11"/>
  <c r="O713" i="11"/>
  <c r="O665" i="11"/>
  <c r="O609" i="11"/>
  <c r="O545" i="11"/>
  <c r="O481" i="11"/>
  <c r="O433" i="11"/>
  <c r="O353" i="11"/>
  <c r="O313" i="11"/>
  <c r="O265" i="11"/>
  <c r="O193" i="11"/>
  <c r="O137" i="11"/>
  <c r="O97" i="11"/>
  <c r="O33" i="11"/>
  <c r="O969" i="11"/>
  <c r="O929" i="11"/>
  <c r="O905" i="11"/>
  <c r="O849" i="11"/>
  <c r="O793" i="11"/>
  <c r="O745" i="11"/>
  <c r="O729" i="11"/>
  <c r="O673" i="11"/>
  <c r="O625" i="11"/>
  <c r="O577" i="11"/>
  <c r="O553" i="11"/>
  <c r="O505" i="11"/>
  <c r="O465" i="11"/>
  <c r="O417" i="11"/>
  <c r="O393" i="11"/>
  <c r="O337" i="11"/>
  <c r="O281" i="11"/>
  <c r="O241" i="11"/>
  <c r="O201" i="11"/>
  <c r="O161" i="11"/>
  <c r="O121" i="11"/>
  <c r="O73" i="11"/>
  <c r="O25" i="11"/>
  <c r="O1001" i="11"/>
  <c r="O961" i="11"/>
  <c r="O913" i="11"/>
  <c r="O873" i="11"/>
  <c r="O841" i="11"/>
  <c r="O801" i="11"/>
  <c r="O769" i="11"/>
  <c r="O737" i="11"/>
  <c r="O689" i="11"/>
  <c r="O649" i="11"/>
  <c r="O617" i="11"/>
  <c r="O569" i="11"/>
  <c r="O521" i="11"/>
  <c r="O497" i="11"/>
  <c r="O449" i="11"/>
  <c r="O401" i="11"/>
  <c r="O369" i="11"/>
  <c r="O329" i="11"/>
  <c r="O297" i="11"/>
  <c r="O257" i="11"/>
  <c r="O217" i="11"/>
  <c r="O177" i="11"/>
  <c r="O129" i="11"/>
  <c r="O81" i="11"/>
  <c r="O41" i="11"/>
  <c r="O678" i="11"/>
  <c r="O670" i="11"/>
  <c r="O662" i="11"/>
  <c r="O654" i="11"/>
  <c r="O646" i="11"/>
  <c r="O638" i="11"/>
  <c r="O630" i="11"/>
  <c r="O622" i="11"/>
  <c r="O614" i="11"/>
  <c r="O606" i="11"/>
  <c r="O598" i="11"/>
  <c r="O590" i="11"/>
  <c r="O582" i="11"/>
  <c r="O574" i="11"/>
  <c r="O566" i="11"/>
  <c r="O558" i="11"/>
  <c r="O550" i="11"/>
  <c r="O542" i="11"/>
  <c r="O534" i="11"/>
  <c r="O526" i="11"/>
  <c r="O518" i="11"/>
  <c r="O510" i="11"/>
  <c r="O502" i="11"/>
  <c r="O494" i="11"/>
  <c r="O486" i="11"/>
  <c r="O478" i="11"/>
  <c r="O470" i="11"/>
  <c r="O462" i="11"/>
  <c r="O454" i="11"/>
  <c r="O446" i="11"/>
  <c r="O438" i="11"/>
  <c r="O430" i="11"/>
  <c r="O422" i="11"/>
  <c r="O414" i="11"/>
  <c r="O406" i="11"/>
  <c r="O398" i="11"/>
  <c r="O390" i="11"/>
  <c r="O382" i="11"/>
  <c r="O374" i="11"/>
  <c r="O366" i="11"/>
  <c r="O358" i="11"/>
  <c r="O350" i="11"/>
  <c r="O342" i="11"/>
  <c r="O334" i="11"/>
  <c r="O326" i="11"/>
  <c r="O318" i="11"/>
  <c r="O310" i="11"/>
  <c r="O302" i="11"/>
  <c r="O294" i="11"/>
  <c r="O286" i="11"/>
  <c r="O278" i="11"/>
  <c r="O270" i="11"/>
  <c r="O262" i="11"/>
  <c r="O254" i="11"/>
  <c r="O246" i="11"/>
  <c r="O238" i="11"/>
  <c r="O230" i="11"/>
  <c r="O222" i="11"/>
  <c r="O214" i="11"/>
  <c r="O206" i="11"/>
  <c r="O198" i="11"/>
  <c r="O190" i="11"/>
  <c r="O182" i="11"/>
  <c r="O174" i="11"/>
  <c r="O166" i="11"/>
  <c r="O158" i="11"/>
  <c r="O150" i="11"/>
  <c r="O142" i="11"/>
  <c r="O134" i="11"/>
  <c r="O126" i="11"/>
  <c r="O118" i="11"/>
  <c r="O110" i="11"/>
  <c r="O102" i="11"/>
  <c r="O94" i="11"/>
  <c r="O86" i="11"/>
  <c r="O78" i="11"/>
  <c r="O70" i="11"/>
  <c r="O62" i="11"/>
  <c r="O54" i="11"/>
  <c r="O46" i="11"/>
  <c r="O38" i="11"/>
  <c r="O30" i="11"/>
  <c r="O22" i="11"/>
  <c r="O14" i="11"/>
  <c r="O6" i="11"/>
  <c r="O3" i="11"/>
  <c r="O1000" i="11"/>
  <c r="O992" i="11"/>
  <c r="O984" i="11"/>
  <c r="O976" i="11"/>
  <c r="O968" i="11"/>
  <c r="O960" i="11"/>
  <c r="O952" i="11"/>
  <c r="O944" i="11"/>
  <c r="O936" i="11"/>
  <c r="O928" i="11"/>
  <c r="O920" i="11"/>
  <c r="O912" i="11"/>
  <c r="O904" i="11"/>
  <c r="O896" i="11"/>
  <c r="O888" i="11"/>
  <c r="O880" i="11"/>
  <c r="O872" i="11"/>
  <c r="O864" i="11"/>
  <c r="O856" i="11"/>
  <c r="O848" i="11"/>
  <c r="O840" i="11"/>
  <c r="O832" i="11"/>
  <c r="O824" i="11"/>
  <c r="O816" i="11"/>
  <c r="O808" i="11"/>
  <c r="O800" i="11"/>
  <c r="O792" i="11"/>
  <c r="O784" i="11"/>
  <c r="O776" i="11"/>
  <c r="O768" i="11"/>
  <c r="O760" i="11"/>
  <c r="O752" i="11"/>
  <c r="O744" i="11"/>
  <c r="O736" i="11"/>
  <c r="O728" i="11"/>
  <c r="O720" i="11"/>
  <c r="O712" i="11"/>
  <c r="O704" i="11"/>
  <c r="O696" i="11"/>
  <c r="O688" i="11"/>
  <c r="O680" i="11"/>
  <c r="O672" i="11"/>
  <c r="O664" i="11"/>
  <c r="O656" i="11"/>
  <c r="O648" i="11"/>
  <c r="O640" i="11"/>
  <c r="O632" i="11"/>
  <c r="O624" i="11"/>
  <c r="O616" i="11"/>
  <c r="O608" i="11"/>
  <c r="O600" i="11"/>
  <c r="O592" i="11"/>
  <c r="O584" i="11"/>
  <c r="O576" i="11"/>
  <c r="O568" i="11"/>
  <c r="O560" i="11"/>
  <c r="O552" i="11"/>
  <c r="O544" i="11"/>
  <c r="O536" i="11"/>
  <c r="O528" i="11"/>
  <c r="O520" i="11"/>
  <c r="O512" i="11"/>
  <c r="O504" i="11"/>
  <c r="O496" i="11"/>
  <c r="O488" i="11"/>
  <c r="O480" i="11"/>
  <c r="O472" i="11"/>
  <c r="O464" i="11"/>
  <c r="O456" i="11"/>
  <c r="O448" i="11"/>
  <c r="O440" i="11"/>
  <c r="O432" i="11"/>
  <c r="O424" i="11"/>
  <c r="O416" i="11"/>
  <c r="O408" i="11"/>
  <c r="O400" i="11"/>
  <c r="O392" i="11"/>
  <c r="O384" i="11"/>
  <c r="O376" i="11"/>
  <c r="O368" i="11"/>
  <c r="O360" i="11"/>
  <c r="O352" i="11"/>
  <c r="O344" i="11"/>
  <c r="O336" i="11"/>
  <c r="O328" i="11"/>
  <c r="O320" i="11"/>
  <c r="O312" i="11"/>
  <c r="O304" i="11"/>
  <c r="O296" i="11"/>
  <c r="O288" i="11"/>
  <c r="O280" i="11"/>
  <c r="O272" i="11"/>
  <c r="O264" i="11"/>
  <c r="O256" i="11"/>
  <c r="O248" i="11"/>
  <c r="O240" i="11"/>
  <c r="O232" i="11"/>
  <c r="O224" i="11"/>
  <c r="O216" i="11"/>
  <c r="O208" i="11"/>
  <c r="O200" i="11"/>
  <c r="O192" i="11"/>
  <c r="O184" i="11"/>
  <c r="O176" i="11"/>
  <c r="O168" i="11"/>
  <c r="O160" i="11"/>
  <c r="O152" i="11"/>
  <c r="O144" i="11"/>
  <c r="O136" i="11"/>
  <c r="O128" i="11"/>
  <c r="O120" i="11"/>
  <c r="O112" i="11"/>
  <c r="O104" i="11"/>
  <c r="O96" i="11"/>
  <c r="O88" i="11"/>
  <c r="O80" i="11"/>
  <c r="O72" i="11"/>
  <c r="O64" i="11"/>
  <c r="O56" i="11"/>
  <c r="O48" i="11"/>
  <c r="O40" i="11"/>
  <c r="O32" i="11"/>
  <c r="O24" i="11"/>
  <c r="O16" i="11"/>
  <c r="O8" i="11"/>
  <c r="O999" i="11"/>
  <c r="O991" i="11"/>
  <c r="O983" i="11"/>
  <c r="O975" i="11"/>
  <c r="O967" i="11"/>
  <c r="O959" i="11"/>
  <c r="O951" i="11"/>
  <c r="O943" i="11"/>
  <c r="O935" i="11"/>
  <c r="O927" i="11"/>
  <c r="O919" i="11"/>
  <c r="O911" i="11"/>
  <c r="O903" i="11"/>
  <c r="O895" i="11"/>
  <c r="O887" i="11"/>
  <c r="O879" i="11"/>
  <c r="O871" i="11"/>
  <c r="O863" i="11"/>
  <c r="O855" i="11"/>
  <c r="O847" i="11"/>
  <c r="O839" i="11"/>
  <c r="O831" i="11"/>
  <c r="O823" i="11"/>
  <c r="O815" i="11"/>
  <c r="O807" i="11"/>
  <c r="O799" i="11"/>
  <c r="O791" i="11"/>
  <c r="O783" i="11"/>
  <c r="O775" i="11"/>
  <c r="O767" i="11"/>
  <c r="O759" i="11"/>
  <c r="O751" i="11"/>
  <c r="O743" i="11"/>
  <c r="O735" i="11"/>
  <c r="O727" i="11"/>
  <c r="O719" i="11"/>
  <c r="O711" i="11"/>
  <c r="O703" i="11"/>
  <c r="O695" i="11"/>
  <c r="O687" i="11"/>
  <c r="O679" i="11"/>
  <c r="O671" i="11"/>
  <c r="O663" i="11"/>
  <c r="O655" i="11"/>
  <c r="O647" i="11"/>
  <c r="O639" i="11"/>
  <c r="O631" i="11"/>
  <c r="O623" i="11"/>
  <c r="O615" i="11"/>
  <c r="O607" i="11"/>
  <c r="O599" i="11"/>
  <c r="O591" i="11"/>
  <c r="O583" i="11"/>
  <c r="O575" i="11"/>
  <c r="O567" i="11"/>
  <c r="O559" i="11"/>
  <c r="O551" i="11"/>
  <c r="O543" i="11"/>
  <c r="O535" i="11"/>
  <c r="O527" i="11"/>
  <c r="O519" i="11"/>
  <c r="O511" i="11"/>
  <c r="O503" i="11"/>
  <c r="O495" i="11"/>
  <c r="O487" i="11"/>
  <c r="O479" i="11"/>
  <c r="O471" i="11"/>
  <c r="O463" i="11"/>
  <c r="O455" i="11"/>
  <c r="O447" i="11"/>
  <c r="O439" i="11"/>
  <c r="O431" i="11"/>
  <c r="O423" i="11"/>
  <c r="O415" i="11"/>
  <c r="O407" i="11"/>
  <c r="O399" i="11"/>
  <c r="O391" i="11"/>
  <c r="O383" i="11"/>
  <c r="O375" i="11"/>
  <c r="O367" i="11"/>
  <c r="O359" i="11"/>
  <c r="O351" i="11"/>
  <c r="O343" i="11"/>
  <c r="O335" i="11"/>
  <c r="O327" i="11"/>
  <c r="O319" i="11"/>
  <c r="O311" i="11"/>
  <c r="O303" i="11"/>
  <c r="O295" i="11"/>
  <c r="O287" i="11"/>
  <c r="O279" i="11"/>
  <c r="O271" i="11"/>
  <c r="O263" i="11"/>
  <c r="O255" i="11"/>
  <c r="O247" i="11"/>
  <c r="O239" i="11"/>
  <c r="O231" i="11"/>
  <c r="O223" i="11"/>
  <c r="O215" i="11"/>
  <c r="O207" i="11"/>
  <c r="O199" i="11"/>
  <c r="O191" i="11"/>
  <c r="O183" i="11"/>
  <c r="O175" i="11"/>
  <c r="O167" i="11"/>
  <c r="O159" i="11"/>
  <c r="O151" i="11"/>
  <c r="O143" i="11"/>
  <c r="O135" i="11"/>
  <c r="O127" i="11"/>
  <c r="O119" i="11"/>
  <c r="O111" i="11"/>
  <c r="O103" i="11"/>
  <c r="O95" i="11"/>
  <c r="O87" i="11"/>
  <c r="O79" i="11"/>
  <c r="O71" i="11"/>
  <c r="O63" i="11"/>
  <c r="O55" i="11"/>
  <c r="O47" i="11"/>
  <c r="O39" i="11"/>
  <c r="O31" i="11"/>
  <c r="O23" i="11"/>
  <c r="O15" i="11"/>
  <c r="O7" i="11"/>
  <c r="F3" i="3" a="1"/>
  <c r="F3" i="3" s="1"/>
  <c r="A3" i="10" a="1"/>
  <c r="A3" i="10" s="1"/>
  <c r="D3" i="10" s="1"/>
  <c r="A3" i="9" a="1"/>
  <c r="A3" i="9" s="1"/>
  <c r="D3" i="9" s="1"/>
  <c r="A3" i="8" a="1"/>
  <c r="A3" i="8" s="1"/>
  <c r="D3" i="8" s="1"/>
  <c r="A3" i="7" a="1"/>
  <c r="A3" i="7" s="1"/>
  <c r="C3" i="7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2" i="6"/>
  <c r="D994" i="6" s="1"/>
  <c r="D34" i="5"/>
  <c r="D35" i="5"/>
  <c r="D36" i="5"/>
  <c r="D37" i="5"/>
  <c r="C37" i="5"/>
  <c r="C35" i="5"/>
  <c r="C36" i="5"/>
  <c r="C34" i="5"/>
  <c r="G37" i="5"/>
  <c r="G36" i="5"/>
  <c r="G35" i="5"/>
  <c r="G34" i="5"/>
  <c r="J36" i="5"/>
  <c r="J35" i="5"/>
  <c r="J34" i="5"/>
  <c r="C13" i="7" l="1"/>
  <c r="C5" i="7"/>
  <c r="D12" i="7"/>
  <c r="D4" i="7"/>
  <c r="B11" i="7"/>
  <c r="C12" i="7"/>
  <c r="C4" i="7"/>
  <c r="D11" i="7"/>
  <c r="B3" i="7"/>
  <c r="B10" i="7"/>
  <c r="C7" i="7"/>
  <c r="D6" i="7"/>
  <c r="B13" i="7"/>
  <c r="C14" i="7"/>
  <c r="C6" i="7"/>
  <c r="D13" i="7"/>
  <c r="D5" i="7"/>
  <c r="B12" i="7"/>
  <c r="B4" i="7"/>
  <c r="C11" i="7"/>
  <c r="D3" i="7"/>
  <c r="D10" i="7"/>
  <c r="B17" i="7"/>
  <c r="B9" i="7"/>
  <c r="C10" i="7"/>
  <c r="D17" i="7"/>
  <c r="D9" i="7"/>
  <c r="B16" i="7"/>
  <c r="B8" i="7"/>
  <c r="C16" i="7"/>
  <c r="C8" i="7"/>
  <c r="D15" i="7"/>
  <c r="D7" i="7"/>
  <c r="B14" i="7"/>
  <c r="B6" i="7"/>
  <c r="C15" i="7"/>
  <c r="D14" i="7"/>
  <c r="B5" i="7"/>
  <c r="C17" i="7"/>
  <c r="C9" i="7"/>
  <c r="D16" i="7"/>
  <c r="D8" i="7"/>
  <c r="B15" i="7"/>
  <c r="B7" i="7"/>
  <c r="C6" i="8"/>
  <c r="D15" i="8"/>
  <c r="B5" i="8"/>
  <c r="D13" i="8"/>
  <c r="D5" i="8"/>
  <c r="C12" i="8"/>
  <c r="C4" i="8"/>
  <c r="B11" i="8"/>
  <c r="D16" i="8"/>
  <c r="D8" i="8"/>
  <c r="C15" i="8"/>
  <c r="C7" i="8"/>
  <c r="B14" i="8"/>
  <c r="D7" i="8"/>
  <c r="C14" i="8"/>
  <c r="B13" i="8"/>
  <c r="D14" i="8"/>
  <c r="D6" i="8"/>
  <c r="C13" i="8"/>
  <c r="C5" i="8"/>
  <c r="B12" i="8"/>
  <c r="B4" i="8"/>
  <c r="D12" i="8"/>
  <c r="D4" i="8"/>
  <c r="C11" i="8"/>
  <c r="B3" i="8"/>
  <c r="B10" i="8"/>
  <c r="D11" i="8"/>
  <c r="C3" i="8"/>
  <c r="C10" i="8"/>
  <c r="B17" i="8"/>
  <c r="B9" i="8"/>
  <c r="D10" i="8"/>
  <c r="C17" i="8"/>
  <c r="C9" i="8"/>
  <c r="B16" i="8"/>
  <c r="B8" i="8"/>
  <c r="B6" i="8"/>
  <c r="D17" i="8"/>
  <c r="D9" i="8"/>
  <c r="C16" i="8"/>
  <c r="C8" i="8"/>
  <c r="B15" i="8"/>
  <c r="B7" i="8"/>
  <c r="C9" i="10"/>
  <c r="C10" i="10"/>
  <c r="D10" i="10"/>
  <c r="B9" i="10"/>
  <c r="D9" i="10"/>
  <c r="B15" i="10"/>
  <c r="B7" i="10"/>
  <c r="C15" i="10"/>
  <c r="C7" i="10"/>
  <c r="D15" i="10"/>
  <c r="D7" i="10"/>
  <c r="B14" i="10"/>
  <c r="B6" i="10"/>
  <c r="C14" i="10"/>
  <c r="C6" i="10"/>
  <c r="D14" i="10"/>
  <c r="D6" i="10"/>
  <c r="B16" i="10"/>
  <c r="B8" i="10"/>
  <c r="C16" i="10"/>
  <c r="C8" i="10"/>
  <c r="D16" i="10"/>
  <c r="D8" i="10"/>
  <c r="B13" i="10"/>
  <c r="B5" i="10"/>
  <c r="C13" i="10"/>
  <c r="C5" i="10"/>
  <c r="D13" i="10"/>
  <c r="D5" i="10"/>
  <c r="B3" i="10"/>
  <c r="B10" i="10"/>
  <c r="C3" i="10"/>
  <c r="B17" i="10"/>
  <c r="C17" i="10"/>
  <c r="D17" i="10"/>
  <c r="B12" i="10"/>
  <c r="B4" i="10"/>
  <c r="C12" i="10"/>
  <c r="C4" i="10"/>
  <c r="D12" i="10"/>
  <c r="D4" i="10"/>
  <c r="B11" i="10"/>
  <c r="C11" i="10"/>
  <c r="D11" i="10"/>
  <c r="B14" i="9"/>
  <c r="B6" i="9"/>
  <c r="C15" i="9"/>
  <c r="C7" i="9"/>
  <c r="D8" i="9"/>
  <c r="D16" i="9"/>
  <c r="B3" i="9"/>
  <c r="B10" i="9"/>
  <c r="C11" i="9"/>
  <c r="D12" i="9"/>
  <c r="D4" i="9"/>
  <c r="B11" i="9"/>
  <c r="C12" i="9"/>
  <c r="C4" i="9"/>
  <c r="D13" i="9"/>
  <c r="D5" i="9"/>
  <c r="B17" i="9"/>
  <c r="B9" i="9"/>
  <c r="C3" i="9"/>
  <c r="C10" i="9"/>
  <c r="D11" i="9"/>
  <c r="B13" i="9"/>
  <c r="B5" i="9"/>
  <c r="C14" i="9"/>
  <c r="C6" i="9"/>
  <c r="D15" i="9"/>
  <c r="D7" i="9"/>
  <c r="B12" i="9"/>
  <c r="B4" i="9"/>
  <c r="C13" i="9"/>
  <c r="C5" i="9"/>
  <c r="D14" i="9"/>
  <c r="D6" i="9"/>
  <c r="B16" i="9"/>
  <c r="B8" i="9"/>
  <c r="C17" i="9"/>
  <c r="C9" i="9"/>
  <c r="D10" i="9"/>
  <c r="B15" i="9"/>
  <c r="B7" i="9"/>
  <c r="C16" i="9"/>
  <c r="C8" i="9"/>
  <c r="D17" i="9"/>
  <c r="D9" i="9"/>
  <c r="C18" i="7" l="1"/>
  <c r="D18" i="8"/>
  <c r="D18" i="10"/>
  <c r="B18" i="7"/>
  <c r="C18" i="10"/>
  <c r="D18" i="7"/>
  <c r="C18" i="8"/>
  <c r="B18" i="8"/>
  <c r="B18" i="10"/>
  <c r="C18" i="9"/>
  <c r="C19" i="9" s="1"/>
  <c r="D18" i="9"/>
  <c r="D19" i="9" s="1"/>
  <c r="B18" i="9"/>
  <c r="B19" i="9"/>
  <c r="H26" i="5" l="1"/>
  <c r="H28" i="5"/>
  <c r="H24" i="5"/>
  <c r="G28" i="5"/>
  <c r="G26" i="5"/>
  <c r="G24" i="5"/>
  <c r="D31" i="5"/>
  <c r="D30" i="5"/>
  <c r="D29" i="5"/>
  <c r="D28" i="5"/>
  <c r="D27" i="5"/>
  <c r="D26" i="5"/>
  <c r="D25" i="5"/>
  <c r="D23" i="5"/>
  <c r="D24" i="5"/>
  <c r="O11" i="5" l="1"/>
  <c r="O9" i="5"/>
  <c r="O10" i="5"/>
  <c r="O8" i="5"/>
  <c r="O12" i="5" l="1"/>
  <c r="O13" i="5"/>
  <c r="N11" i="5" l="1"/>
  <c r="N10" i="5"/>
  <c r="N9" i="5"/>
  <c r="N8" i="5"/>
  <c r="M11" i="5"/>
  <c r="M9" i="5"/>
  <c r="M10" i="5"/>
  <c r="M8" i="5"/>
  <c r="E3" i="3" a="1"/>
  <c r="E3" i="3" s="1"/>
  <c r="C3" i="3" a="1"/>
  <c r="C3" i="3" s="1"/>
  <c r="D3" i="3" a="1"/>
  <c r="D3" i="3" s="1"/>
  <c r="B3" i="3" a="1"/>
  <c r="B3" i="3" s="1"/>
  <c r="B3" i="5" a="1"/>
  <c r="G8" i="5" s="1"/>
  <c r="P8" i="5" l="1"/>
  <c r="Q8" i="5" s="1"/>
  <c r="P15" i="5"/>
  <c r="P10" i="5"/>
  <c r="Q10" i="5" s="1"/>
  <c r="P9" i="5"/>
  <c r="Q9" i="5" s="1"/>
  <c r="P11" i="5"/>
  <c r="Q11" i="5" s="1"/>
  <c r="N13" i="5"/>
  <c r="N12" i="5"/>
  <c r="F16" i="5"/>
  <c r="F8" i="5"/>
  <c r="G15" i="5"/>
  <c r="G7" i="5"/>
  <c r="F14" i="5"/>
  <c r="F6" i="5"/>
  <c r="G13" i="5"/>
  <c r="G5" i="5"/>
  <c r="F12" i="5"/>
  <c r="F4" i="5"/>
  <c r="G11" i="5"/>
  <c r="F11" i="5"/>
  <c r="G10" i="5"/>
  <c r="M12" i="5"/>
  <c r="M13" i="5" s="1"/>
  <c r="F10" i="5"/>
  <c r="G17" i="5"/>
  <c r="G9" i="5"/>
  <c r="F15" i="5"/>
  <c r="F7" i="5"/>
  <c r="G14" i="5"/>
  <c r="G6" i="5"/>
  <c r="F13" i="5"/>
  <c r="F5" i="5"/>
  <c r="G12" i="5"/>
  <c r="G4" i="5"/>
  <c r="F17" i="5"/>
  <c r="F9" i="5"/>
  <c r="G16" i="5"/>
  <c r="B3" i="5"/>
  <c r="J4" i="5"/>
  <c r="J12" i="5"/>
  <c r="I6" i="5"/>
  <c r="I14" i="5"/>
  <c r="H8" i="5"/>
  <c r="H16" i="5"/>
  <c r="J7" i="5"/>
  <c r="J15" i="5"/>
  <c r="I9" i="5"/>
  <c r="I17" i="5"/>
  <c r="H11" i="5"/>
  <c r="J10" i="5"/>
  <c r="I4" i="5"/>
  <c r="I12" i="5"/>
  <c r="H6" i="5"/>
  <c r="H14" i="5"/>
  <c r="J11" i="5"/>
  <c r="I5" i="5"/>
  <c r="I13" i="5"/>
  <c r="H7" i="5"/>
  <c r="H15" i="5"/>
  <c r="J5" i="5"/>
  <c r="J13" i="5"/>
  <c r="I7" i="5"/>
  <c r="I15" i="5"/>
  <c r="H9" i="5"/>
  <c r="H17" i="5"/>
  <c r="J9" i="5"/>
  <c r="J17" i="5"/>
  <c r="I11" i="5"/>
  <c r="H5" i="5"/>
  <c r="H13" i="5"/>
  <c r="J6" i="5"/>
  <c r="J14" i="5"/>
  <c r="I8" i="5"/>
  <c r="I16" i="5"/>
  <c r="H10" i="5"/>
  <c r="J8" i="5"/>
  <c r="J16" i="5"/>
  <c r="I10" i="5"/>
  <c r="H4" i="5"/>
  <c r="H12" i="5"/>
  <c r="E11" i="5"/>
  <c r="E10" i="5"/>
  <c r="E17" i="5"/>
  <c r="E9" i="5"/>
  <c r="E16" i="5"/>
  <c r="E8" i="5"/>
  <c r="E15" i="5"/>
  <c r="E7" i="5"/>
  <c r="E14" i="5"/>
  <c r="E6" i="5"/>
  <c r="E13" i="5"/>
  <c r="E5" i="5"/>
  <c r="E12" i="5"/>
  <c r="E4" i="5"/>
  <c r="D17" i="5"/>
  <c r="D16" i="5"/>
  <c r="D15" i="5"/>
  <c r="D14" i="5"/>
  <c r="D13" i="5"/>
  <c r="D5" i="5"/>
  <c r="D4" i="5"/>
  <c r="D11" i="5"/>
  <c r="D10" i="5"/>
  <c r="D9" i="5"/>
  <c r="D12" i="5"/>
  <c r="D8" i="5"/>
  <c r="D7" i="5"/>
  <c r="D6" i="5"/>
  <c r="D1" i="3"/>
  <c r="E1" i="3"/>
  <c r="F1" i="3"/>
  <c r="B1" i="3"/>
  <c r="C1" i="3"/>
  <c r="F3" i="5" l="1"/>
  <c r="F19" i="5" s="1"/>
  <c r="G3" i="5"/>
  <c r="G19" i="5" s="1"/>
  <c r="D3" i="5"/>
  <c r="D19" i="5" s="1"/>
  <c r="I3" i="5"/>
  <c r="J3" i="5"/>
  <c r="H3" i="5"/>
  <c r="E3" i="5"/>
  <c r="E1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<sst xmlns="http://schemas.openxmlformats.org/spreadsheetml/2006/main" count="9160" uniqueCount="2349">
  <si>
    <t>Order_ID</t>
  </si>
  <si>
    <t>Customer_Name</t>
  </si>
  <si>
    <t>Product_Name</t>
  </si>
  <si>
    <t>Product_Category</t>
  </si>
  <si>
    <t>Region</t>
  </si>
  <si>
    <t>Sales_Quantity</t>
  </si>
  <si>
    <t>Unit_Price</t>
  </si>
  <si>
    <t>Sales_Amount</t>
  </si>
  <si>
    <t>Cost</t>
  </si>
  <si>
    <t>Profit</t>
  </si>
  <si>
    <t>Order_Date</t>
  </si>
  <si>
    <t>Delivery_Date</t>
  </si>
  <si>
    <t>Employee_Name</t>
  </si>
  <si>
    <t>Customer_Rating</t>
  </si>
  <si>
    <t>Login_Time</t>
  </si>
  <si>
    <t>Working_Hours</t>
  </si>
  <si>
    <t>ORD0001</t>
  </si>
  <si>
    <t>Michael Winters</t>
  </si>
  <si>
    <t>Pen</t>
  </si>
  <si>
    <t>Office Supplies</t>
  </si>
  <si>
    <t>South</t>
  </si>
  <si>
    <t>Rahul</t>
  </si>
  <si>
    <t>10:12:00</t>
  </si>
  <si>
    <t>ORD0002</t>
  </si>
  <si>
    <t>James Olson</t>
  </si>
  <si>
    <t>North</t>
  </si>
  <si>
    <t>Megha</t>
  </si>
  <si>
    <t>08:15:00</t>
  </si>
  <si>
    <t>ORD0003</t>
  </si>
  <si>
    <t>Brittney Simmons</t>
  </si>
  <si>
    <t>Desk</t>
  </si>
  <si>
    <t>Furniture</t>
  </si>
  <si>
    <t>West</t>
  </si>
  <si>
    <t>Arun</t>
  </si>
  <si>
    <t>11:33:00</t>
  </si>
  <si>
    <t>ORD0004</t>
  </si>
  <si>
    <t>Courtney Park</t>
  </si>
  <si>
    <t>Marker</t>
  </si>
  <si>
    <t>Vivek</t>
  </si>
  <si>
    <t>11:19:00</t>
  </si>
  <si>
    <t>ORD0005</t>
  </si>
  <si>
    <t>Chloe Villa</t>
  </si>
  <si>
    <t>Laptop</t>
  </si>
  <si>
    <t>Electronics</t>
  </si>
  <si>
    <t>East</t>
  </si>
  <si>
    <t>Diya</t>
  </si>
  <si>
    <t>10:02:00</t>
  </si>
  <si>
    <t>ORD0006</t>
  </si>
  <si>
    <t>Erin Ross</t>
  </si>
  <si>
    <t>Mouse</t>
  </si>
  <si>
    <t>Fathima</t>
  </si>
  <si>
    <t>09:28:00</t>
  </si>
  <si>
    <t>ORD0007</t>
  </si>
  <si>
    <t>Ryan Brown</t>
  </si>
  <si>
    <t>08:18:00</t>
  </si>
  <si>
    <t>ORD0008</t>
  </si>
  <si>
    <t>Keith Winters</t>
  </si>
  <si>
    <t>Notebook</t>
  </si>
  <si>
    <t>Sneha</t>
  </si>
  <si>
    <t>09:04:00</t>
  </si>
  <si>
    <t>ORD0009</t>
  </si>
  <si>
    <t>Richard Payne</t>
  </si>
  <si>
    <t>Table</t>
  </si>
  <si>
    <t>11:17:00</t>
  </si>
  <si>
    <t>ORD0010</t>
  </si>
  <si>
    <t>Cory Roberson</t>
  </si>
  <si>
    <t>11:14:00</t>
  </si>
  <si>
    <t>ORD0011</t>
  </si>
  <si>
    <t>Amanda Cox</t>
  </si>
  <si>
    <t>Akhil</t>
  </si>
  <si>
    <t>ORD0012</t>
  </si>
  <si>
    <t>Joseph Allison</t>
  </si>
  <si>
    <t>Chair</t>
  </si>
  <si>
    <t>11:34:00</t>
  </si>
  <si>
    <t>ORD0013</t>
  </si>
  <si>
    <t>Sarah Hernandez</t>
  </si>
  <si>
    <t>09:38:00</t>
  </si>
  <si>
    <t>ORD0014</t>
  </si>
  <si>
    <t>John Dixon</t>
  </si>
  <si>
    <t>10:16:00</t>
  </si>
  <si>
    <t>ORD0015</t>
  </si>
  <si>
    <t>Javier Cole</t>
  </si>
  <si>
    <t>09:13:00</t>
  </si>
  <si>
    <t>ORD0016</t>
  </si>
  <si>
    <t>Nathan Kline</t>
  </si>
  <si>
    <t>10:56:00</t>
  </si>
  <si>
    <t>ORD0017</t>
  </si>
  <si>
    <t>Miss Christina Taylor</t>
  </si>
  <si>
    <t>Cupboard</t>
  </si>
  <si>
    <t>10:58:00</t>
  </si>
  <si>
    <t>ORD0018</t>
  </si>
  <si>
    <t>Martin Morton</t>
  </si>
  <si>
    <t>09:20:00</t>
  </si>
  <si>
    <t>ORD0019</t>
  </si>
  <si>
    <t>Adam Mullins</t>
  </si>
  <si>
    <t>Printer</t>
  </si>
  <si>
    <t>08:53:00</t>
  </si>
  <si>
    <t>ORD0020</t>
  </si>
  <si>
    <t>Sean Rodriguez</t>
  </si>
  <si>
    <t>11:20:00</t>
  </si>
  <si>
    <t>ORD0021</t>
  </si>
  <si>
    <t>Joseph Mora</t>
  </si>
  <si>
    <t>10:52:00</t>
  </si>
  <si>
    <t>ORD0022</t>
  </si>
  <si>
    <t>Deborah Hernandez</t>
  </si>
  <si>
    <t>09:23:00</t>
  </si>
  <si>
    <t>ORD0023</t>
  </si>
  <si>
    <t>Elizabeth Moore</t>
  </si>
  <si>
    <t>11:43:00</t>
  </si>
  <si>
    <t>ORD0024</t>
  </si>
  <si>
    <t>Melissa Davis</t>
  </si>
  <si>
    <t>11:42:00</t>
  </si>
  <si>
    <t>ORD0025</t>
  </si>
  <si>
    <t>Andrew Gould</t>
  </si>
  <si>
    <t>10:39:00</t>
  </si>
  <si>
    <t>ORD0026</t>
  </si>
  <si>
    <t>Glen Scott</t>
  </si>
  <si>
    <t>10:07:00</t>
  </si>
  <si>
    <t>ORD0027</t>
  </si>
  <si>
    <t>Isaac Fisher</t>
  </si>
  <si>
    <t>10:46:00</t>
  </si>
  <si>
    <t>ORD0028</t>
  </si>
  <si>
    <t>Matthew Hanson</t>
  </si>
  <si>
    <t>Nikhil</t>
  </si>
  <si>
    <t>08:32:00</t>
  </si>
  <si>
    <t>ORD0029</t>
  </si>
  <si>
    <t>Jamie Benton</t>
  </si>
  <si>
    <t>10:55:00</t>
  </si>
  <si>
    <t>ORD0030</t>
  </si>
  <si>
    <t>Kristy Sullivan</t>
  </si>
  <si>
    <t>10:42:00</t>
  </si>
  <si>
    <t>ORD0031</t>
  </si>
  <si>
    <t>Carolyn Scott</t>
  </si>
  <si>
    <t>10:01:00</t>
  </si>
  <si>
    <t>ORD0032</t>
  </si>
  <si>
    <t>Mary Day</t>
  </si>
  <si>
    <t>08:27:00</t>
  </si>
  <si>
    <t>ORD0033</t>
  </si>
  <si>
    <t>Matthew Fernandez</t>
  </si>
  <si>
    <t>Sofa</t>
  </si>
  <si>
    <t>ORD0034</t>
  </si>
  <si>
    <t>Tonya Gallegos</t>
  </si>
  <si>
    <t>ORD0035</t>
  </si>
  <si>
    <t>Jody Black</t>
  </si>
  <si>
    <t>File</t>
  </si>
  <si>
    <t>11:25:00</t>
  </si>
  <si>
    <t>ORD0036</t>
  </si>
  <si>
    <t>Laurie Flores</t>
  </si>
  <si>
    <t>11:39:00</t>
  </si>
  <si>
    <t>ORD0037</t>
  </si>
  <si>
    <t>Charles Logan</t>
  </si>
  <si>
    <t>08:56:00</t>
  </si>
  <si>
    <t>ORD0038</t>
  </si>
  <si>
    <t>Lori Petersen</t>
  </si>
  <si>
    <t>09:54:00</t>
  </si>
  <si>
    <t>ORD0039</t>
  </si>
  <si>
    <t>Roger Gutierrez</t>
  </si>
  <si>
    <t>ORD0040</t>
  </si>
  <si>
    <t>Arthur Anderson</t>
  </si>
  <si>
    <t>11:15:00</t>
  </si>
  <si>
    <t>ORD0041</t>
  </si>
  <si>
    <t>April Schmidt</t>
  </si>
  <si>
    <t>08:13:00</t>
  </si>
  <si>
    <t>ORD0042</t>
  </si>
  <si>
    <t>Amanda Holmes</t>
  </si>
  <si>
    <t>11:50:00</t>
  </si>
  <si>
    <t>ORD0043</t>
  </si>
  <si>
    <t>Emily Norton</t>
  </si>
  <si>
    <t>Keyboard</t>
  </si>
  <si>
    <t>10:26:00</t>
  </si>
  <si>
    <t>ORD0044</t>
  </si>
  <si>
    <t>Rachel Hooper</t>
  </si>
  <si>
    <t>09:40:00</t>
  </si>
  <si>
    <t>ORD0045</t>
  </si>
  <si>
    <t>Douglas Herman</t>
  </si>
  <si>
    <t>08:38:00</t>
  </si>
  <si>
    <t>ORD0046</t>
  </si>
  <si>
    <t>Rebecca Hawkins</t>
  </si>
  <si>
    <t>08:54:00</t>
  </si>
  <si>
    <t>ORD0047</t>
  </si>
  <si>
    <t>Shannon Harris</t>
  </si>
  <si>
    <t>Anjali</t>
  </si>
  <si>
    <t>ORD0048</t>
  </si>
  <si>
    <t>Jennifer Maxwell</t>
  </si>
  <si>
    <t>11:26:00</t>
  </si>
  <si>
    <t>ORD0049</t>
  </si>
  <si>
    <t>Melissa Edwards</t>
  </si>
  <si>
    <t>10:17:00</t>
  </si>
  <si>
    <t>ORD0050</t>
  </si>
  <si>
    <t>Heather Campbell</t>
  </si>
  <si>
    <t>ORD0051</t>
  </si>
  <si>
    <t>James Green</t>
  </si>
  <si>
    <t>08:43:00</t>
  </si>
  <si>
    <t>ORD0052</t>
  </si>
  <si>
    <t>Ashley Bowman</t>
  </si>
  <si>
    <t>Monitor</t>
  </si>
  <si>
    <t>09:37:00</t>
  </si>
  <si>
    <t>ORD0053</t>
  </si>
  <si>
    <t>William Allen</t>
  </si>
  <si>
    <t>11:45:00</t>
  </si>
  <si>
    <t>ORD0054</t>
  </si>
  <si>
    <t>Christina Henderson</t>
  </si>
  <si>
    <t>08:57:00</t>
  </si>
  <si>
    <t>ORD0055</t>
  </si>
  <si>
    <t>Brian Simon</t>
  </si>
  <si>
    <t>11:38:00</t>
  </si>
  <si>
    <t>ORD0056</t>
  </si>
  <si>
    <t>Marc Martinez</t>
  </si>
  <si>
    <t>11:48:00</t>
  </si>
  <si>
    <t>ORD0057</t>
  </si>
  <si>
    <t>Rose Garcia</t>
  </si>
  <si>
    <t>10:48:00</t>
  </si>
  <si>
    <t>ORD0058</t>
  </si>
  <si>
    <t>Christopher Richardson</t>
  </si>
  <si>
    <t>11:10:00</t>
  </si>
  <si>
    <t>ORD0059</t>
  </si>
  <si>
    <t>Larry Johnson</t>
  </si>
  <si>
    <t>ORD0060</t>
  </si>
  <si>
    <t>Mark Yang</t>
  </si>
  <si>
    <t>Smartphone</t>
  </si>
  <si>
    <t>10:57:00</t>
  </si>
  <si>
    <t>ORD0061</t>
  </si>
  <si>
    <t>Jill Garcia</t>
  </si>
  <si>
    <t>08:31:00</t>
  </si>
  <si>
    <t>ORD0062</t>
  </si>
  <si>
    <t>Anne Rodriguez</t>
  </si>
  <si>
    <t>11:00:00</t>
  </si>
  <si>
    <t>ORD0063</t>
  </si>
  <si>
    <t>Christopher Daniels</t>
  </si>
  <si>
    <t>11:36:00</t>
  </si>
  <si>
    <t>ORD0064</t>
  </si>
  <si>
    <t>Joshua Stevenson</t>
  </si>
  <si>
    <t>10:24:00</t>
  </si>
  <si>
    <t>ORD0065</t>
  </si>
  <si>
    <t>Caleb Schneider</t>
  </si>
  <si>
    <t>09:32:00</t>
  </si>
  <si>
    <t>ORD0066</t>
  </si>
  <si>
    <t>Rhonda Stone</t>
  </si>
  <si>
    <t>ORD0067</t>
  </si>
  <si>
    <t>Ricky Conner</t>
  </si>
  <si>
    <t>11:55:00</t>
  </si>
  <si>
    <t>ORD0068</t>
  </si>
  <si>
    <t>Alyssa Osborne</t>
  </si>
  <si>
    <t>08:26:00</t>
  </si>
  <si>
    <t>ORD0069</t>
  </si>
  <si>
    <t>Travis Avila</t>
  </si>
  <si>
    <t>09:26:00</t>
  </si>
  <si>
    <t>ORD0070</t>
  </si>
  <si>
    <t>Anthony Watts</t>
  </si>
  <si>
    <t>ORD0071</t>
  </si>
  <si>
    <t>Brenda Mitchell</t>
  </si>
  <si>
    <t>11:49:00</t>
  </si>
  <si>
    <t>ORD0072</t>
  </si>
  <si>
    <t>Elizabeth Warren</t>
  </si>
  <si>
    <t>08:34:00</t>
  </si>
  <si>
    <t>ORD0073</t>
  </si>
  <si>
    <t>Mrs. Annette Phillips</t>
  </si>
  <si>
    <t>11:28:00</t>
  </si>
  <si>
    <t>ORD0074</t>
  </si>
  <si>
    <t>Brandon Ford</t>
  </si>
  <si>
    <t>10:10:00</t>
  </si>
  <si>
    <t>ORD0075</t>
  </si>
  <si>
    <t>Shelia Hayes</t>
  </si>
  <si>
    <t>ORD0076</t>
  </si>
  <si>
    <t>John Williams</t>
  </si>
  <si>
    <t>ORD0077</t>
  </si>
  <si>
    <t>Stacy Davis</t>
  </si>
  <si>
    <t>11:40:00</t>
  </si>
  <si>
    <t>ORD0078</t>
  </si>
  <si>
    <t>Deborah Fields</t>
  </si>
  <si>
    <t>11:05:00</t>
  </si>
  <si>
    <t>ORD0079</t>
  </si>
  <si>
    <t>Shane Singleton</t>
  </si>
  <si>
    <t>10:43:00</t>
  </si>
  <si>
    <t>ORD0080</t>
  </si>
  <si>
    <t>Robin Moore</t>
  </si>
  <si>
    <t>08:58:00</t>
  </si>
  <si>
    <t>ORD0081</t>
  </si>
  <si>
    <t>Michael Rodriguez</t>
  </si>
  <si>
    <t>ORD0082</t>
  </si>
  <si>
    <t>Benjamin Cummings</t>
  </si>
  <si>
    <t>09:41:00</t>
  </si>
  <si>
    <t>ORD0083</t>
  </si>
  <si>
    <t>Dale Cook</t>
  </si>
  <si>
    <t>08:28:00</t>
  </si>
  <si>
    <t>ORD0084</t>
  </si>
  <si>
    <t>Nancy Scott</t>
  </si>
  <si>
    <t>ORD0085</t>
  </si>
  <si>
    <t>Juan Perry</t>
  </si>
  <si>
    <t>09:30:00</t>
  </si>
  <si>
    <t>ORD0086</t>
  </si>
  <si>
    <t>Christopher Johnson</t>
  </si>
  <si>
    <t>ORD0087</t>
  </si>
  <si>
    <t>Christopher Noble</t>
  </si>
  <si>
    <t>10:30:00</t>
  </si>
  <si>
    <t>ORD0088</t>
  </si>
  <si>
    <t>Alejandro Wilson</t>
  </si>
  <si>
    <t>10:00:00</t>
  </si>
  <si>
    <t>ORD0089</t>
  </si>
  <si>
    <t>Raymond Perez</t>
  </si>
  <si>
    <t>09:15:00</t>
  </si>
  <si>
    <t>ORD0090</t>
  </si>
  <si>
    <t>Tracy Parker</t>
  </si>
  <si>
    <t>ORD0091</t>
  </si>
  <si>
    <t>Katelyn Woods</t>
  </si>
  <si>
    <t>08:20:00</t>
  </si>
  <si>
    <t>ORD0092</t>
  </si>
  <si>
    <t>Michael Lindsey</t>
  </si>
  <si>
    <t>08:22:00</t>
  </si>
  <si>
    <t>ORD0093</t>
  </si>
  <si>
    <t>Jesse Davis</t>
  </si>
  <si>
    <t>ORD0094</t>
  </si>
  <si>
    <t>Katrina Hayes</t>
  </si>
  <si>
    <t>09:48:00</t>
  </si>
  <si>
    <t>ORD0095</t>
  </si>
  <si>
    <t>Jason Weber</t>
  </si>
  <si>
    <t>ORD0096</t>
  </si>
  <si>
    <t>John Pope</t>
  </si>
  <si>
    <t>08:55:00</t>
  </si>
  <si>
    <t>ORD0097</t>
  </si>
  <si>
    <t>Dean Herman</t>
  </si>
  <si>
    <t>ORD0098</t>
  </si>
  <si>
    <t>David Mendez</t>
  </si>
  <si>
    <t>ORD0099</t>
  </si>
  <si>
    <t>Joshua Carter</t>
  </si>
  <si>
    <t>09:18:00</t>
  </si>
  <si>
    <t>ORD0100</t>
  </si>
  <si>
    <t>Lauren Alvarez</t>
  </si>
  <si>
    <t>ORD0101</t>
  </si>
  <si>
    <t>Mr. Roy Walton</t>
  </si>
  <si>
    <t>ORD0102</t>
  </si>
  <si>
    <t>Kaylee Cordova</t>
  </si>
  <si>
    <t>11:47:00</t>
  </si>
  <si>
    <t>ORD0103</t>
  </si>
  <si>
    <t>Tyler Conner</t>
  </si>
  <si>
    <t>09:51:00</t>
  </si>
  <si>
    <t>ORD0104</t>
  </si>
  <si>
    <t>Douglas Johnson</t>
  </si>
  <si>
    <t>ORD0105</t>
  </si>
  <si>
    <t>Todd Brock</t>
  </si>
  <si>
    <t>09:08:00</t>
  </si>
  <si>
    <t>ORD0106</t>
  </si>
  <si>
    <t>Derek Bennett</t>
  </si>
  <si>
    <t>11:29:00</t>
  </si>
  <si>
    <t>ORD0107</t>
  </si>
  <si>
    <t>Rachel Maldonado</t>
  </si>
  <si>
    <t>ORD0108</t>
  </si>
  <si>
    <t>Shelly Jones</t>
  </si>
  <si>
    <t>10:59:00</t>
  </si>
  <si>
    <t>ORD0109</t>
  </si>
  <si>
    <t>Cindy Owens</t>
  </si>
  <si>
    <t>11:09:00</t>
  </si>
  <si>
    <t>ORD0110</t>
  </si>
  <si>
    <t>Barbara Burgess</t>
  </si>
  <si>
    <t>09:33:00</t>
  </si>
  <si>
    <t>ORD0111</t>
  </si>
  <si>
    <t>Kathleen Jones</t>
  </si>
  <si>
    <t>ORD0112</t>
  </si>
  <si>
    <t>Cole Li</t>
  </si>
  <si>
    <t>10:08:00</t>
  </si>
  <si>
    <t>ORD0113</t>
  </si>
  <si>
    <t>Erika Rodriguez</t>
  </si>
  <si>
    <t>09:25:00</t>
  </si>
  <si>
    <t>ORD0114</t>
  </si>
  <si>
    <t>Brooke Wright</t>
  </si>
  <si>
    <t>ORD0115</t>
  </si>
  <si>
    <t>James Lam</t>
  </si>
  <si>
    <t>09:11:00</t>
  </si>
  <si>
    <t>ORD0116</t>
  </si>
  <si>
    <t>Blake Hicks</t>
  </si>
  <si>
    <t>10:21:00</t>
  </si>
  <si>
    <t>ORD0117</t>
  </si>
  <si>
    <t>Elizabeth Garner</t>
  </si>
  <si>
    <t>ORD0118</t>
  </si>
  <si>
    <t>Nicole Rodriguez</t>
  </si>
  <si>
    <t>09:07:00</t>
  </si>
  <si>
    <t>ORD0119</t>
  </si>
  <si>
    <t>Jennifer Henderson</t>
  </si>
  <si>
    <t>08:41:00</t>
  </si>
  <si>
    <t>ORD0120</t>
  </si>
  <si>
    <t>Kevin Quinn</t>
  </si>
  <si>
    <t>ORD0121</t>
  </si>
  <si>
    <t>Robert Williams</t>
  </si>
  <si>
    <t>11:23:00</t>
  </si>
  <si>
    <t>ORD0122</t>
  </si>
  <si>
    <t>Lawrence Jackson</t>
  </si>
  <si>
    <t>11:53:00</t>
  </si>
  <si>
    <t>ORD0123</t>
  </si>
  <si>
    <t>Linda Campbell</t>
  </si>
  <si>
    <t>ORD0124</t>
  </si>
  <si>
    <t>Ashley Robinson</t>
  </si>
  <si>
    <t>10:50:00</t>
  </si>
  <si>
    <t>ORD0125</t>
  </si>
  <si>
    <t>Joyce Davis</t>
  </si>
  <si>
    <t>10:25:00</t>
  </si>
  <si>
    <t>ORD0126</t>
  </si>
  <si>
    <t>Richard Brown</t>
  </si>
  <si>
    <t>ORD0127</t>
  </si>
  <si>
    <t>Cheryl Hoover</t>
  </si>
  <si>
    <t>09:17:00</t>
  </si>
  <si>
    <t>ORD0128</t>
  </si>
  <si>
    <t>Sarah Jones</t>
  </si>
  <si>
    <t>ORD0129</t>
  </si>
  <si>
    <t>Thomas Boone</t>
  </si>
  <si>
    <t>ORD0130</t>
  </si>
  <si>
    <t>Daniel Ryan</t>
  </si>
  <si>
    <t>10:28:00</t>
  </si>
  <si>
    <t>ORD0131</t>
  </si>
  <si>
    <t>Willie Stewart</t>
  </si>
  <si>
    <t>08:51:00</t>
  </si>
  <si>
    <t>ORD0132</t>
  </si>
  <si>
    <t>Michelle Brown</t>
  </si>
  <si>
    <t>ORD0133</t>
  </si>
  <si>
    <t>Theresa Robinson MD</t>
  </si>
  <si>
    <t>09:29:00</t>
  </si>
  <si>
    <t>ORD0134</t>
  </si>
  <si>
    <t>Timothy Giles</t>
  </si>
  <si>
    <t>09:16:00</t>
  </si>
  <si>
    <t>ORD0135</t>
  </si>
  <si>
    <t>Donna Barron</t>
  </si>
  <si>
    <t>08:48:00</t>
  </si>
  <si>
    <t>ORD0136</t>
  </si>
  <si>
    <t>James Moss</t>
  </si>
  <si>
    <t>08:11:00</t>
  </si>
  <si>
    <t>ORD0137</t>
  </si>
  <si>
    <t>Christopher Smith</t>
  </si>
  <si>
    <t>10:33:00</t>
  </si>
  <si>
    <t>ORD0138</t>
  </si>
  <si>
    <t>Nathan Ford</t>
  </si>
  <si>
    <t>10:14:00</t>
  </si>
  <si>
    <t>ORD0139</t>
  </si>
  <si>
    <t>Jennifer Hill</t>
  </si>
  <si>
    <t>ORD0140</t>
  </si>
  <si>
    <t>Adrian Coleman</t>
  </si>
  <si>
    <t>ORD0141</t>
  </si>
  <si>
    <t>Aaron Wilson</t>
  </si>
  <si>
    <t>08:44:00</t>
  </si>
  <si>
    <t>ORD0142</t>
  </si>
  <si>
    <t>Matthew Stevens</t>
  </si>
  <si>
    <t>ORD0143</t>
  </si>
  <si>
    <t>Jamie Stewart</t>
  </si>
  <si>
    <t>11:07:00</t>
  </si>
  <si>
    <t>ORD0144</t>
  </si>
  <si>
    <t>Mrs. Kimberly Murphy DVM</t>
  </si>
  <si>
    <t>ORD0145</t>
  </si>
  <si>
    <t>Kathleen Davis</t>
  </si>
  <si>
    <t>10:09:00</t>
  </si>
  <si>
    <t>ORD0146</t>
  </si>
  <si>
    <t>ORD0147</t>
  </si>
  <si>
    <t>Courtney Hanson</t>
  </si>
  <si>
    <t>ORD0148</t>
  </si>
  <si>
    <t>John Smith</t>
  </si>
  <si>
    <t>11:54:00</t>
  </si>
  <si>
    <t>ORD0149</t>
  </si>
  <si>
    <t>Robert Smith</t>
  </si>
  <si>
    <t>11:37:00</t>
  </si>
  <si>
    <t>ORD0150</t>
  </si>
  <si>
    <t>Alicia Sheppard</t>
  </si>
  <si>
    <t>ORD0151</t>
  </si>
  <si>
    <t>Eric Graham MD</t>
  </si>
  <si>
    <t>08:21:00</t>
  </si>
  <si>
    <t>ORD0152</t>
  </si>
  <si>
    <t>Helen Ashley</t>
  </si>
  <si>
    <t>08:09:00</t>
  </si>
  <si>
    <t>ORD0153</t>
  </si>
  <si>
    <t>Michael Harding</t>
  </si>
  <si>
    <t>ORD0154</t>
  </si>
  <si>
    <t>Anthony Mcmahon</t>
  </si>
  <si>
    <t>ORD0155</t>
  </si>
  <si>
    <t>Janice Sullivan</t>
  </si>
  <si>
    <t>10:20:00</t>
  </si>
  <si>
    <t>ORD0156</t>
  </si>
  <si>
    <t>Eric Hall</t>
  </si>
  <si>
    <t>ORD0157</t>
  </si>
  <si>
    <t>Megan Watson</t>
  </si>
  <si>
    <t>09:53:00</t>
  </si>
  <si>
    <t>ORD0158</t>
  </si>
  <si>
    <t>Sherri Pena</t>
  </si>
  <si>
    <t>ORD0159</t>
  </si>
  <si>
    <t>Sandy Smith</t>
  </si>
  <si>
    <t>09:06:00</t>
  </si>
  <si>
    <t>ORD0160</t>
  </si>
  <si>
    <t>Scott Todd</t>
  </si>
  <si>
    <t>09:49:00</t>
  </si>
  <si>
    <t>ORD0161</t>
  </si>
  <si>
    <t>Angela Henderson</t>
  </si>
  <si>
    <t>09:35:00</t>
  </si>
  <si>
    <t>ORD0162</t>
  </si>
  <si>
    <t>Blake Ayala</t>
  </si>
  <si>
    <t>ORD0163</t>
  </si>
  <si>
    <t>Troy Todd</t>
  </si>
  <si>
    <t>ORD0164</t>
  </si>
  <si>
    <t>Joseph Clark</t>
  </si>
  <si>
    <t>11:30:00</t>
  </si>
  <si>
    <t>ORD0165</t>
  </si>
  <si>
    <t>Miranda Hill</t>
  </si>
  <si>
    <t>11:57:00</t>
  </si>
  <si>
    <t>ORD0166</t>
  </si>
  <si>
    <t>Donald Harris</t>
  </si>
  <si>
    <t>10:47:00</t>
  </si>
  <si>
    <t>ORD0167</t>
  </si>
  <si>
    <t>Joanna Woodward</t>
  </si>
  <si>
    <t>ORD0168</t>
  </si>
  <si>
    <t>Oscar Blake</t>
  </si>
  <si>
    <t>ORD0169</t>
  </si>
  <si>
    <t>Carl Torres</t>
  </si>
  <si>
    <t>09:44:00</t>
  </si>
  <si>
    <t>ORD0170</t>
  </si>
  <si>
    <t>Danielle Rush</t>
  </si>
  <si>
    <t>10:31:00</t>
  </si>
  <si>
    <t>ORD0171</t>
  </si>
  <si>
    <t>Jennifer Greene</t>
  </si>
  <si>
    <t>08:52:00</t>
  </si>
  <si>
    <t>ORD0172</t>
  </si>
  <si>
    <t>John Campbell</t>
  </si>
  <si>
    <t>08:08:00</t>
  </si>
  <si>
    <t>ORD0173</t>
  </si>
  <si>
    <t>Mr. Michael Wood</t>
  </si>
  <si>
    <t>ORD0174</t>
  </si>
  <si>
    <t>William Ellis</t>
  </si>
  <si>
    <t>ORD0175</t>
  </si>
  <si>
    <t>Kelly Smith</t>
  </si>
  <si>
    <t>09:46:00</t>
  </si>
  <si>
    <t>ORD0176</t>
  </si>
  <si>
    <t>Jaime Bell</t>
  </si>
  <si>
    <t>08:05:00</t>
  </si>
  <si>
    <t>ORD0177</t>
  </si>
  <si>
    <t>Victoria Williams</t>
  </si>
  <si>
    <t>ORD0178</t>
  </si>
  <si>
    <t>Bradley Hale</t>
  </si>
  <si>
    <t>10:40:00</t>
  </si>
  <si>
    <t>ORD0179</t>
  </si>
  <si>
    <t>Mr. Anthony Cunningham</t>
  </si>
  <si>
    <t>09:27:00</t>
  </si>
  <si>
    <t>ORD0180</t>
  </si>
  <si>
    <t>Mark Ingram</t>
  </si>
  <si>
    <t>ORD0181</t>
  </si>
  <si>
    <t>Jose Green</t>
  </si>
  <si>
    <t>11:31:00</t>
  </si>
  <si>
    <t>ORD0182</t>
  </si>
  <si>
    <t>Craig Garcia</t>
  </si>
  <si>
    <t>08:36:00</t>
  </si>
  <si>
    <t>ORD0183</t>
  </si>
  <si>
    <t>Tamara Love</t>
  </si>
  <si>
    <t>ORD0184</t>
  </si>
  <si>
    <t>Julie Dodson</t>
  </si>
  <si>
    <t>ORD0185</t>
  </si>
  <si>
    <t>Annette Ponce</t>
  </si>
  <si>
    <t>10:34:00</t>
  </si>
  <si>
    <t>ORD0186</t>
  </si>
  <si>
    <t>Shirley May</t>
  </si>
  <si>
    <t>09:09:00</t>
  </si>
  <si>
    <t>ORD0187</t>
  </si>
  <si>
    <t>Samuel Baker</t>
  </si>
  <si>
    <t>09:01:00</t>
  </si>
  <si>
    <t>ORD0188</t>
  </si>
  <si>
    <t>Andrea Lee</t>
  </si>
  <si>
    <t>09:45:00</t>
  </si>
  <si>
    <t>ORD0189</t>
  </si>
  <si>
    <t>Russell Ramirez</t>
  </si>
  <si>
    <t>11:32:00</t>
  </si>
  <si>
    <t>ORD0190</t>
  </si>
  <si>
    <t>Gary Weber</t>
  </si>
  <si>
    <t>ORD0191</t>
  </si>
  <si>
    <t>Patricia Baxter</t>
  </si>
  <si>
    <t>ORD0192</t>
  </si>
  <si>
    <t>Tyler Martinez</t>
  </si>
  <si>
    <t>11:06:00</t>
  </si>
  <si>
    <t>ORD0193</t>
  </si>
  <si>
    <t>Brian Bauer</t>
  </si>
  <si>
    <t>09:00:00</t>
  </si>
  <si>
    <t>ORD0194</t>
  </si>
  <si>
    <t>Ian Hines</t>
  </si>
  <si>
    <t>ORD0195</t>
  </si>
  <si>
    <t>Leah Wallace</t>
  </si>
  <si>
    <t>ORD0196</t>
  </si>
  <si>
    <t>Kaitlin Rose</t>
  </si>
  <si>
    <t>11:08:00</t>
  </si>
  <si>
    <t>ORD0197</t>
  </si>
  <si>
    <t>Karen Wells</t>
  </si>
  <si>
    <t>11:52:00</t>
  </si>
  <si>
    <t>ORD0198</t>
  </si>
  <si>
    <t>Adam Romero</t>
  </si>
  <si>
    <t>ORD0199</t>
  </si>
  <si>
    <t>Brooke Dyer</t>
  </si>
  <si>
    <t>10:11:00</t>
  </si>
  <si>
    <t>ORD0200</t>
  </si>
  <si>
    <t>Jessica Wells</t>
  </si>
  <si>
    <t>08:19:00</t>
  </si>
  <si>
    <t>ORD0201</t>
  </si>
  <si>
    <t>Tyler Williams</t>
  </si>
  <si>
    <t>11:11:00</t>
  </si>
  <si>
    <t>ORD0202</t>
  </si>
  <si>
    <t>Franklin Stevens</t>
  </si>
  <si>
    <t>11:01:00</t>
  </si>
  <si>
    <t>ORD0203</t>
  </si>
  <si>
    <t>Mr. Joe Ramirez</t>
  </si>
  <si>
    <t>09:02:00</t>
  </si>
  <si>
    <t>ORD0204</t>
  </si>
  <si>
    <t>Christopher Ford</t>
  </si>
  <si>
    <t>ORD0205</t>
  </si>
  <si>
    <t>Sharon Smith</t>
  </si>
  <si>
    <t>ORD0206</t>
  </si>
  <si>
    <t>Michelle Estrada</t>
  </si>
  <si>
    <t>11:16:00</t>
  </si>
  <si>
    <t>ORD0207</t>
  </si>
  <si>
    <t>Danielle Mcdonald</t>
  </si>
  <si>
    <t>11:27:00</t>
  </si>
  <si>
    <t>ORD0208</t>
  </si>
  <si>
    <t>Steven Mccarthy</t>
  </si>
  <si>
    <t>08:29:00</t>
  </si>
  <si>
    <t>ORD0209</t>
  </si>
  <si>
    <t>Joshua Diaz</t>
  </si>
  <si>
    <t>ORD0210</t>
  </si>
  <si>
    <t>Karen Clark</t>
  </si>
  <si>
    <t>10:27:00</t>
  </si>
  <si>
    <t>ORD0211</t>
  </si>
  <si>
    <t>Sherry Mann</t>
  </si>
  <si>
    <t>ORD0212</t>
  </si>
  <si>
    <t>Terri Baker</t>
  </si>
  <si>
    <t>08:10:00</t>
  </si>
  <si>
    <t>ORD0213</t>
  </si>
  <si>
    <t>Ruben King</t>
  </si>
  <si>
    <t>ORD0214</t>
  </si>
  <si>
    <t>Ruth Bell</t>
  </si>
  <si>
    <t>ORD0215</t>
  </si>
  <si>
    <t>Javier Jones</t>
  </si>
  <si>
    <t>11:03:00</t>
  </si>
  <si>
    <t>ORD0216</t>
  </si>
  <si>
    <t>Joseph Brown</t>
  </si>
  <si>
    <t>ORD0217</t>
  </si>
  <si>
    <t>Victor Phillips</t>
  </si>
  <si>
    <t>08:50:00</t>
  </si>
  <si>
    <t>ORD0218</t>
  </si>
  <si>
    <t>Gabrielle Huynh</t>
  </si>
  <si>
    <t>11:58:00</t>
  </si>
  <si>
    <t>ORD0219</t>
  </si>
  <si>
    <t>Alison Mitchell</t>
  </si>
  <si>
    <t>08:00:00</t>
  </si>
  <si>
    <t>ORD0220</t>
  </si>
  <si>
    <t>Andrea Reynolds</t>
  </si>
  <si>
    <t>ORD0221</t>
  </si>
  <si>
    <t>Julie Schmidt</t>
  </si>
  <si>
    <t>ORD0222</t>
  </si>
  <si>
    <t>Erin May</t>
  </si>
  <si>
    <t>09:03:00</t>
  </si>
  <si>
    <t>ORD0223</t>
  </si>
  <si>
    <t>Eric Gibson</t>
  </si>
  <si>
    <t>08:07:00</t>
  </si>
  <si>
    <t>ORD0224</t>
  </si>
  <si>
    <t>John Lewis</t>
  </si>
  <si>
    <t>09:31:00</t>
  </si>
  <si>
    <t>ORD0225</t>
  </si>
  <si>
    <t>Lisa Lucas</t>
  </si>
  <si>
    <t>ORD0226</t>
  </si>
  <si>
    <t>Melissa Adams</t>
  </si>
  <si>
    <t>ORD0227</t>
  </si>
  <si>
    <t>David Calhoun</t>
  </si>
  <si>
    <t>10:45:00</t>
  </si>
  <si>
    <t>ORD0228</t>
  </si>
  <si>
    <t>Ashlee Richardson</t>
  </si>
  <si>
    <t>ORD0229</t>
  </si>
  <si>
    <t>Heather Cox</t>
  </si>
  <si>
    <t>10:54:00</t>
  </si>
  <si>
    <t>ORD0230</t>
  </si>
  <si>
    <t>Christy Thompson</t>
  </si>
  <si>
    <t>ORD0231</t>
  </si>
  <si>
    <t>Antonio Clark</t>
  </si>
  <si>
    <t>ORD0232</t>
  </si>
  <si>
    <t>Christopher Sandoval</t>
  </si>
  <si>
    <t>ORD0233</t>
  </si>
  <si>
    <t>Heather Charles</t>
  </si>
  <si>
    <t>11:51:00</t>
  </si>
  <si>
    <t>ORD0234</t>
  </si>
  <si>
    <t>Dustin Cole</t>
  </si>
  <si>
    <t>ORD0235</t>
  </si>
  <si>
    <t>Jeff Ross</t>
  </si>
  <si>
    <t>ORD0236</t>
  </si>
  <si>
    <t>Justin Montgomery</t>
  </si>
  <si>
    <t>ORD0237</t>
  </si>
  <si>
    <t>David Webster</t>
  </si>
  <si>
    <t>ORD0238</t>
  </si>
  <si>
    <t>Nathan Smith</t>
  </si>
  <si>
    <t>11:04:00</t>
  </si>
  <si>
    <t>ORD0239</t>
  </si>
  <si>
    <t>Shannon Fitzpatrick</t>
  </si>
  <si>
    <t>ORD0240</t>
  </si>
  <si>
    <t>Monique Pope</t>
  </si>
  <si>
    <t>ORD0241</t>
  </si>
  <si>
    <t>Teresa Edwards</t>
  </si>
  <si>
    <t>ORD0242</t>
  </si>
  <si>
    <t>Molly Boyd</t>
  </si>
  <si>
    <t>11:18:00</t>
  </si>
  <si>
    <t>ORD0243</t>
  </si>
  <si>
    <t>William Collier</t>
  </si>
  <si>
    <t>ORD0244</t>
  </si>
  <si>
    <t>Casey Jackson</t>
  </si>
  <si>
    <t>ORD0245</t>
  </si>
  <si>
    <t>Sabrina Stevens</t>
  </si>
  <si>
    <t>ORD0246</t>
  </si>
  <si>
    <t>Andrew Mercado</t>
  </si>
  <si>
    <t>ORD0247</t>
  </si>
  <si>
    <t>Thomas Young</t>
  </si>
  <si>
    <t>ORD0248</t>
  </si>
  <si>
    <t>Crystal Castro</t>
  </si>
  <si>
    <t>ORD0249</t>
  </si>
  <si>
    <t>Robert Hammond MD</t>
  </si>
  <si>
    <t>ORD0250</t>
  </si>
  <si>
    <t>Amber Brooks</t>
  </si>
  <si>
    <t>10:06:00</t>
  </si>
  <si>
    <t>ORD0251</t>
  </si>
  <si>
    <t>Angela Klein</t>
  </si>
  <si>
    <t>08:14:00</t>
  </si>
  <si>
    <t>ORD0252</t>
  </si>
  <si>
    <t>Tina Foster</t>
  </si>
  <si>
    <t>11:56:00</t>
  </si>
  <si>
    <t>ORD0253</t>
  </si>
  <si>
    <t>Terry Fields</t>
  </si>
  <si>
    <t>ORD0254</t>
  </si>
  <si>
    <t>Tony Marshall</t>
  </si>
  <si>
    <t>ORD0255</t>
  </si>
  <si>
    <t>Sheila Moore</t>
  </si>
  <si>
    <t>ORD0256</t>
  </si>
  <si>
    <t>Kristopher Davis</t>
  </si>
  <si>
    <t>ORD0257</t>
  </si>
  <si>
    <t>Brandon Thompson</t>
  </si>
  <si>
    <t>ORD0258</t>
  </si>
  <si>
    <t>Angela Smith</t>
  </si>
  <si>
    <t>ORD0259</t>
  </si>
  <si>
    <t>Justin Frye</t>
  </si>
  <si>
    <t>ORD0260</t>
  </si>
  <si>
    <t>Carol Jackson</t>
  </si>
  <si>
    <t>10:29:00</t>
  </si>
  <si>
    <t>ORD0261</t>
  </si>
  <si>
    <t>Kathryn Hill</t>
  </si>
  <si>
    <t>ORD0262</t>
  </si>
  <si>
    <t>Joyce Hill</t>
  </si>
  <si>
    <t>ORD0263</t>
  </si>
  <si>
    <t>Alan Allen</t>
  </si>
  <si>
    <t>ORD0264</t>
  </si>
  <si>
    <t>Emily Anderson</t>
  </si>
  <si>
    <t>09:34:00</t>
  </si>
  <si>
    <t>ORD0265</t>
  </si>
  <si>
    <t>Mr. Wesley Pratt PhD</t>
  </si>
  <si>
    <t>ORD0266</t>
  </si>
  <si>
    <t>John Yates</t>
  </si>
  <si>
    <t>09:19:00</t>
  </si>
  <si>
    <t>ORD0267</t>
  </si>
  <si>
    <t>Rhonda Mitchell MD</t>
  </si>
  <si>
    <t>08:03:00</t>
  </si>
  <si>
    <t>ORD0268</t>
  </si>
  <si>
    <t>Sarah Hobbs</t>
  </si>
  <si>
    <t>ORD0269</t>
  </si>
  <si>
    <t>Ryan Olson</t>
  </si>
  <si>
    <t>10:15:00</t>
  </si>
  <si>
    <t>ORD0270</t>
  </si>
  <si>
    <t>Joseph Estrada</t>
  </si>
  <si>
    <t>11:02:00</t>
  </si>
  <si>
    <t>ORD0271</t>
  </si>
  <si>
    <t>Jean Farmer</t>
  </si>
  <si>
    <t>ORD0272</t>
  </si>
  <si>
    <t>Justin Guzman</t>
  </si>
  <si>
    <t>ORD0273</t>
  </si>
  <si>
    <t>Anna Wheeler</t>
  </si>
  <si>
    <t>09:43:00</t>
  </si>
  <si>
    <t>ORD0274</t>
  </si>
  <si>
    <t>Ronald Gomez</t>
  </si>
  <si>
    <t>09:12:00</t>
  </si>
  <si>
    <t>ORD0275</t>
  </si>
  <si>
    <t>Andrew Martinez</t>
  </si>
  <si>
    <t>ORD0276</t>
  </si>
  <si>
    <t>Robert Wilson</t>
  </si>
  <si>
    <t>ORD0277</t>
  </si>
  <si>
    <t>Martin Stanley</t>
  </si>
  <si>
    <t>ORD0278</t>
  </si>
  <si>
    <t>Joseph Flores</t>
  </si>
  <si>
    <t>ORD0279</t>
  </si>
  <si>
    <t>Jaclyn Horn</t>
  </si>
  <si>
    <t>ORD0280</t>
  </si>
  <si>
    <t>Jason Holt</t>
  </si>
  <si>
    <t>09:50:00</t>
  </si>
  <si>
    <t>ORD0281</t>
  </si>
  <si>
    <t>Emily Brewer</t>
  </si>
  <si>
    <t>ORD0282</t>
  </si>
  <si>
    <t>Jeff Mcfarland</t>
  </si>
  <si>
    <t>08:24:00</t>
  </si>
  <si>
    <t>ORD0283</t>
  </si>
  <si>
    <t>Brian Thompson</t>
  </si>
  <si>
    <t>09:52:00</t>
  </si>
  <si>
    <t>ORD0284</t>
  </si>
  <si>
    <t>Jonathan Bailey</t>
  </si>
  <si>
    <t>ORD0285</t>
  </si>
  <si>
    <t>William Meyer</t>
  </si>
  <si>
    <t>ORD0286</t>
  </si>
  <si>
    <t>Laura Baker</t>
  </si>
  <si>
    <t>ORD0287</t>
  </si>
  <si>
    <t>Judy Thomas</t>
  </si>
  <si>
    <t>ORD0288</t>
  </si>
  <si>
    <t>Tracy Wells</t>
  </si>
  <si>
    <t>10:19:00</t>
  </si>
  <si>
    <t>ORD0289</t>
  </si>
  <si>
    <t>Megan Howe</t>
  </si>
  <si>
    <t>10:38:00</t>
  </si>
  <si>
    <t>ORD0290</t>
  </si>
  <si>
    <t>Douglas Obrien</t>
  </si>
  <si>
    <t>ORD0291</t>
  </si>
  <si>
    <t>Ryan James</t>
  </si>
  <si>
    <t>ORD0292</t>
  </si>
  <si>
    <t>Stephen Cowan</t>
  </si>
  <si>
    <t>09:36:00</t>
  </si>
  <si>
    <t>ORD0293</t>
  </si>
  <si>
    <t>Judy Johnson</t>
  </si>
  <si>
    <t>ORD0294</t>
  </si>
  <si>
    <t>George Drake</t>
  </si>
  <si>
    <t>ORD0295</t>
  </si>
  <si>
    <t>Connie Robles</t>
  </si>
  <si>
    <t>ORD0296</t>
  </si>
  <si>
    <t>Tamara Daniels</t>
  </si>
  <si>
    <t>09:39:00</t>
  </si>
  <si>
    <t>ORD0297</t>
  </si>
  <si>
    <t>Samantha Casey</t>
  </si>
  <si>
    <t>ORD0298</t>
  </si>
  <si>
    <t>Kimberly Nicholson</t>
  </si>
  <si>
    <t>11:12:00</t>
  </si>
  <si>
    <t>ORD0299</t>
  </si>
  <si>
    <t>Holly Hammond</t>
  </si>
  <si>
    <t>ORD0300</t>
  </si>
  <si>
    <t>Ricky King</t>
  </si>
  <si>
    <t>08:33:00</t>
  </si>
  <si>
    <t>ORD0301</t>
  </si>
  <si>
    <t>Anthony Randall</t>
  </si>
  <si>
    <t>ORD0302</t>
  </si>
  <si>
    <t>Shawn Bennett</t>
  </si>
  <si>
    <t>ORD0303</t>
  </si>
  <si>
    <t>Adam Walton</t>
  </si>
  <si>
    <t>ORD0304</t>
  </si>
  <si>
    <t>Joseph Washington</t>
  </si>
  <si>
    <t>ORD0305</t>
  </si>
  <si>
    <t>Audrey Townsend</t>
  </si>
  <si>
    <t>08:06:00</t>
  </si>
  <si>
    <t>ORD0306</t>
  </si>
  <si>
    <t>Robin Dorsey</t>
  </si>
  <si>
    <t>ORD0307</t>
  </si>
  <si>
    <t>Susan Francis</t>
  </si>
  <si>
    <t>ORD0308</t>
  </si>
  <si>
    <t>Joseph Mckinney</t>
  </si>
  <si>
    <t>ORD0309</t>
  </si>
  <si>
    <t>Christine Moore</t>
  </si>
  <si>
    <t>ORD0310</t>
  </si>
  <si>
    <t>Crystal Terrell</t>
  </si>
  <si>
    <t>ORD0311</t>
  </si>
  <si>
    <t>Jared Martinez</t>
  </si>
  <si>
    <t>ORD0312</t>
  </si>
  <si>
    <t>Carol Warren</t>
  </si>
  <si>
    <t>ORD0313</t>
  </si>
  <si>
    <t>Chad Perez</t>
  </si>
  <si>
    <t>ORD0314</t>
  </si>
  <si>
    <t>Audrey Barnes</t>
  </si>
  <si>
    <t>09:42:00</t>
  </si>
  <si>
    <t>ORD0315</t>
  </si>
  <si>
    <t>Eric Hall DDS</t>
  </si>
  <si>
    <t>ORD0316</t>
  </si>
  <si>
    <t>Sheena Zhang</t>
  </si>
  <si>
    <t>ORD0317</t>
  </si>
  <si>
    <t>Vanessa Gay</t>
  </si>
  <si>
    <t>ORD0318</t>
  </si>
  <si>
    <t>Joann Mendoza</t>
  </si>
  <si>
    <t>ORD0319</t>
  </si>
  <si>
    <t>Sheila Fisher</t>
  </si>
  <si>
    <t>ORD0320</t>
  </si>
  <si>
    <t>Jason Medina</t>
  </si>
  <si>
    <t>ORD0321</t>
  </si>
  <si>
    <t>Tammy Williams</t>
  </si>
  <si>
    <t>ORD0322</t>
  </si>
  <si>
    <t>Alejandra Flores</t>
  </si>
  <si>
    <t>ORD0323</t>
  </si>
  <si>
    <t>Sandy Gross</t>
  </si>
  <si>
    <t>ORD0324</t>
  </si>
  <si>
    <t>Johnny Schultz</t>
  </si>
  <si>
    <t>ORD0325</t>
  </si>
  <si>
    <t>Stacey Richards</t>
  </si>
  <si>
    <t>08:25:00</t>
  </si>
  <si>
    <t>ORD0326</t>
  </si>
  <si>
    <t>Sierra Robinson</t>
  </si>
  <si>
    <t>ORD0327</t>
  </si>
  <si>
    <t>Mrs. Samantha White</t>
  </si>
  <si>
    <t>ORD0328</t>
  </si>
  <si>
    <t>Kaylee Ortiz</t>
  </si>
  <si>
    <t>11:35:00</t>
  </si>
  <si>
    <t>ORD0329</t>
  </si>
  <si>
    <t>Cory Chaney</t>
  </si>
  <si>
    <t>08:17:00</t>
  </si>
  <si>
    <t>ORD0330</t>
  </si>
  <si>
    <t>Elizabeth Romero</t>
  </si>
  <si>
    <t>10:37:00</t>
  </si>
  <si>
    <t>ORD0331</t>
  </si>
  <si>
    <t>Kathryn Nicholson</t>
  </si>
  <si>
    <t>ORD0332</t>
  </si>
  <si>
    <t>Daniel Roberts</t>
  </si>
  <si>
    <t>10:44:00</t>
  </si>
  <si>
    <t>ORD0333</t>
  </si>
  <si>
    <t>Kevin Long</t>
  </si>
  <si>
    <t>ORD0334</t>
  </si>
  <si>
    <t>Jessica Watkins</t>
  </si>
  <si>
    <t>09:58:00</t>
  </si>
  <si>
    <t>ORD0335</t>
  </si>
  <si>
    <t>Amanda Rodgers</t>
  </si>
  <si>
    <t>10:32:00</t>
  </si>
  <si>
    <t>ORD0336</t>
  </si>
  <si>
    <t>Michael Carter</t>
  </si>
  <si>
    <t>ORD0337</t>
  </si>
  <si>
    <t>Emily Thomas</t>
  </si>
  <si>
    <t>ORD0338</t>
  </si>
  <si>
    <t>Tami Walker</t>
  </si>
  <si>
    <t>ORD0339</t>
  </si>
  <si>
    <t>Margaret Johnson</t>
  </si>
  <si>
    <t>ORD0340</t>
  </si>
  <si>
    <t>Andrew Roberts</t>
  </si>
  <si>
    <t>08:04:00</t>
  </si>
  <si>
    <t>ORD0341</t>
  </si>
  <si>
    <t>Sandra Williamson</t>
  </si>
  <si>
    <t>ORD0342</t>
  </si>
  <si>
    <t>Angela Cooper</t>
  </si>
  <si>
    <t>11:41:00</t>
  </si>
  <si>
    <t>ORD0343</t>
  </si>
  <si>
    <t>Brian Roy</t>
  </si>
  <si>
    <t>ORD0344</t>
  </si>
  <si>
    <t>Mr. Jose Holland MD</t>
  </si>
  <si>
    <t>ORD0345</t>
  </si>
  <si>
    <t>Keith Johnson</t>
  </si>
  <si>
    <t>ORD0346</t>
  </si>
  <si>
    <t>Kristin Blair</t>
  </si>
  <si>
    <t>ORD0347</t>
  </si>
  <si>
    <t>Heather Thompson</t>
  </si>
  <si>
    <t>ORD0348</t>
  </si>
  <si>
    <t>Robert Branch</t>
  </si>
  <si>
    <t>11:24:00</t>
  </si>
  <si>
    <t>ORD0349</t>
  </si>
  <si>
    <t>Crystal Mitchell</t>
  </si>
  <si>
    <t>ORD0350</t>
  </si>
  <si>
    <t>Sandra Hernandez MD</t>
  </si>
  <si>
    <t>ORD0351</t>
  </si>
  <si>
    <t>John Clark</t>
  </si>
  <si>
    <t>ORD0352</t>
  </si>
  <si>
    <t>Kelsey Baxter</t>
  </si>
  <si>
    <t>ORD0353</t>
  </si>
  <si>
    <t>Shane Jones</t>
  </si>
  <si>
    <t>ORD0354</t>
  </si>
  <si>
    <t>Diane Vega</t>
  </si>
  <si>
    <t>ORD0355</t>
  </si>
  <si>
    <t>Joshua Wall</t>
  </si>
  <si>
    <t>ORD0356</t>
  </si>
  <si>
    <t>William Evans</t>
  </si>
  <si>
    <t>ORD0357</t>
  </si>
  <si>
    <t>Amanda Carroll</t>
  </si>
  <si>
    <t>09:22:00</t>
  </si>
  <si>
    <t>ORD0358</t>
  </si>
  <si>
    <t>Angela Douglas</t>
  </si>
  <si>
    <t>ORD0359</t>
  </si>
  <si>
    <t>Andrew Daniels</t>
  </si>
  <si>
    <t>ORD0360</t>
  </si>
  <si>
    <t>Jodi Clark</t>
  </si>
  <si>
    <t>ORD0361</t>
  </si>
  <si>
    <t>Kristin Moore</t>
  </si>
  <si>
    <t>ORD0362</t>
  </si>
  <si>
    <t>John Baker</t>
  </si>
  <si>
    <t>ORD0363</t>
  </si>
  <si>
    <t>Shelley Wilson</t>
  </si>
  <si>
    <t>ORD0364</t>
  </si>
  <si>
    <t>Zachary Lloyd</t>
  </si>
  <si>
    <t>ORD0365</t>
  </si>
  <si>
    <t>Elizabeth Reyes</t>
  </si>
  <si>
    <t>10:41:00</t>
  </si>
  <si>
    <t>ORD0366</t>
  </si>
  <si>
    <t>Megan Gutierrez</t>
  </si>
  <si>
    <t>ORD0367</t>
  </si>
  <si>
    <t>Charlene White</t>
  </si>
  <si>
    <t>ORD0368</t>
  </si>
  <si>
    <t>Terri Ochoa</t>
  </si>
  <si>
    <t>ORD0369</t>
  </si>
  <si>
    <t>Patricia Davis</t>
  </si>
  <si>
    <t>ORD0370</t>
  </si>
  <si>
    <t>Justin Ramirez</t>
  </si>
  <si>
    <t>ORD0371</t>
  </si>
  <si>
    <t>Robert Moses</t>
  </si>
  <si>
    <t>ORD0372</t>
  </si>
  <si>
    <t>Jenny Jones</t>
  </si>
  <si>
    <t>ORD0373</t>
  </si>
  <si>
    <t>Sarah Wang</t>
  </si>
  <si>
    <t>ORD0374</t>
  </si>
  <si>
    <t>Michelle Flowers</t>
  </si>
  <si>
    <t>ORD0375</t>
  </si>
  <si>
    <t>Anthony Klein</t>
  </si>
  <si>
    <t>08:12:00</t>
  </si>
  <si>
    <t>ORD0376</t>
  </si>
  <si>
    <t>James Johnson</t>
  </si>
  <si>
    <t>ORD0377</t>
  </si>
  <si>
    <t>Rebecca Hill</t>
  </si>
  <si>
    <t>11:46:00</t>
  </si>
  <si>
    <t>ORD0378</t>
  </si>
  <si>
    <t>Lori Yang</t>
  </si>
  <si>
    <t>ORD0379</t>
  </si>
  <si>
    <t>Michael Stewart</t>
  </si>
  <si>
    <t>ORD0380</t>
  </si>
  <si>
    <t>Kimberly Rocha</t>
  </si>
  <si>
    <t>ORD0381</t>
  </si>
  <si>
    <t>Joseph Lopez</t>
  </si>
  <si>
    <t>ORD0382</t>
  </si>
  <si>
    <t>Daniel Freeman</t>
  </si>
  <si>
    <t>ORD0383</t>
  </si>
  <si>
    <t>Sarah Jefferson</t>
  </si>
  <si>
    <t>ORD0384</t>
  </si>
  <si>
    <t>Mr. Eric Brown</t>
  </si>
  <si>
    <t>ORD0385</t>
  </si>
  <si>
    <t>Tara Medina</t>
  </si>
  <si>
    <t>ORD0386</t>
  </si>
  <si>
    <t>Anthony Miller</t>
  </si>
  <si>
    <t>08:37:00</t>
  </si>
  <si>
    <t>ORD0387</t>
  </si>
  <si>
    <t>Corey Campbell</t>
  </si>
  <si>
    <t>ORD0388</t>
  </si>
  <si>
    <t>Mrs. Tricia Davies</t>
  </si>
  <si>
    <t>ORD0389</t>
  </si>
  <si>
    <t>Mary Lewis</t>
  </si>
  <si>
    <t>ORD0390</t>
  </si>
  <si>
    <t>Rachel Welch</t>
  </si>
  <si>
    <t>10:03:00</t>
  </si>
  <si>
    <t>ORD0391</t>
  </si>
  <si>
    <t>Timothy Hogan</t>
  </si>
  <si>
    <t>ORD0392</t>
  </si>
  <si>
    <t>Todd Long</t>
  </si>
  <si>
    <t>ORD0393</t>
  </si>
  <si>
    <t>Jeremy Adams</t>
  </si>
  <si>
    <t>ORD0394</t>
  </si>
  <si>
    <t>Christopher Cooper</t>
  </si>
  <si>
    <t>08:30:00</t>
  </si>
  <si>
    <t>ORD0395</t>
  </si>
  <si>
    <t>Benjamin Jackson</t>
  </si>
  <si>
    <t>ORD0396</t>
  </si>
  <si>
    <t>Neil Martinez</t>
  </si>
  <si>
    <t>ORD0397</t>
  </si>
  <si>
    <t>Craig Daniels</t>
  </si>
  <si>
    <t>ORD0398</t>
  </si>
  <si>
    <t>Jean Palmer</t>
  </si>
  <si>
    <t>ORD0399</t>
  </si>
  <si>
    <t>John Serrano</t>
  </si>
  <si>
    <t>ORD0400</t>
  </si>
  <si>
    <t>Hannah Watson</t>
  </si>
  <si>
    <t>10:23:00</t>
  </si>
  <si>
    <t>ORD0401</t>
  </si>
  <si>
    <t>Laura Kerr</t>
  </si>
  <si>
    <t>ORD0402</t>
  </si>
  <si>
    <t>Ryan Perez</t>
  </si>
  <si>
    <t>ORD0403</t>
  </si>
  <si>
    <t>Karen Leon</t>
  </si>
  <si>
    <t>ORD0404</t>
  </si>
  <si>
    <t>Darlene Garcia MD</t>
  </si>
  <si>
    <t>08:42:00</t>
  </si>
  <si>
    <t>ORD0405</t>
  </si>
  <si>
    <t>Robin Novak</t>
  </si>
  <si>
    <t>11:59:00</t>
  </si>
  <si>
    <t>ORD0406</t>
  </si>
  <si>
    <t>Justin Taylor</t>
  </si>
  <si>
    <t>ORD0407</t>
  </si>
  <si>
    <t>Ryan Kelley</t>
  </si>
  <si>
    <t>ORD0408</t>
  </si>
  <si>
    <t>Matthew Long</t>
  </si>
  <si>
    <t>08:45:00</t>
  </si>
  <si>
    <t>ORD0409</t>
  </si>
  <si>
    <t>Sheila Perez</t>
  </si>
  <si>
    <t>ORD0410</t>
  </si>
  <si>
    <t>Matthew Bennett</t>
  </si>
  <si>
    <t>ORD0411</t>
  </si>
  <si>
    <t>Kristin Robinson</t>
  </si>
  <si>
    <t>ORD0412</t>
  </si>
  <si>
    <t>Autumn Harrison</t>
  </si>
  <si>
    <t>ORD0413</t>
  </si>
  <si>
    <t>Stephanie Miller</t>
  </si>
  <si>
    <t>ORD0414</t>
  </si>
  <si>
    <t>Shaun Smith</t>
  </si>
  <si>
    <t>ORD0415</t>
  </si>
  <si>
    <t>Christine Luna</t>
  </si>
  <si>
    <t>ORD0416</t>
  </si>
  <si>
    <t>Wendy Lee</t>
  </si>
  <si>
    <t>ORD0417</t>
  </si>
  <si>
    <t>Megan Vasquez</t>
  </si>
  <si>
    <t>10:53:00</t>
  </si>
  <si>
    <t>ORD0418</t>
  </si>
  <si>
    <t>Anthony Gordon</t>
  </si>
  <si>
    <t>ORD0419</t>
  </si>
  <si>
    <t>Mrs. Emma Bradford</t>
  </si>
  <si>
    <t>ORD0420</t>
  </si>
  <si>
    <t>Kenneth Schmidt</t>
  </si>
  <si>
    <t>08:23:00</t>
  </si>
  <si>
    <t>ORD0421</t>
  </si>
  <si>
    <t>Sara Johnson</t>
  </si>
  <si>
    <t>10:51:00</t>
  </si>
  <si>
    <t>ORD0422</t>
  </si>
  <si>
    <t>Jessica Terry</t>
  </si>
  <si>
    <t>ORD0423</t>
  </si>
  <si>
    <t>Jennifer Maldonado</t>
  </si>
  <si>
    <t>ORD0424</t>
  </si>
  <si>
    <t>Julie Sutton DVM</t>
  </si>
  <si>
    <t>08:46:00</t>
  </si>
  <si>
    <t>ORD0425</t>
  </si>
  <si>
    <t>Karen Grimes</t>
  </si>
  <si>
    <t>ORD0426</t>
  </si>
  <si>
    <t>Janet George</t>
  </si>
  <si>
    <t>ORD0427</t>
  </si>
  <si>
    <t>Eric Nelson</t>
  </si>
  <si>
    <t>ORD0428</t>
  </si>
  <si>
    <t>Jennifer Gonzales</t>
  </si>
  <si>
    <t>ORD0429</t>
  </si>
  <si>
    <t>Linda Jones</t>
  </si>
  <si>
    <t>08:35:00</t>
  </si>
  <si>
    <t>ORD0430</t>
  </si>
  <si>
    <t>Joseph Michael</t>
  </si>
  <si>
    <t>08:40:00</t>
  </si>
  <si>
    <t>ORD0431</t>
  </si>
  <si>
    <t>Geoffrey Murphy</t>
  </si>
  <si>
    <t>ORD0432</t>
  </si>
  <si>
    <t>Beverly Hill</t>
  </si>
  <si>
    <t>ORD0433</t>
  </si>
  <si>
    <t>Jennifer Vargas</t>
  </si>
  <si>
    <t>ORD0434</t>
  </si>
  <si>
    <t>Steven Anderson</t>
  </si>
  <si>
    <t>ORD0435</t>
  </si>
  <si>
    <t>Mary Allen</t>
  </si>
  <si>
    <t>ORD0436</t>
  </si>
  <si>
    <t>Alejandra Boone</t>
  </si>
  <si>
    <t>ORD0437</t>
  </si>
  <si>
    <t>Michael Spears</t>
  </si>
  <si>
    <t>ORD0438</t>
  </si>
  <si>
    <t>Kristen Miles</t>
  </si>
  <si>
    <t>ORD0439</t>
  </si>
  <si>
    <t>Latoya Soto</t>
  </si>
  <si>
    <t>ORD0440</t>
  </si>
  <si>
    <t>Daniel Booker</t>
  </si>
  <si>
    <t>ORD0441</t>
  </si>
  <si>
    <t>Dr. James Stanley DDS</t>
  </si>
  <si>
    <t>ORD0442</t>
  </si>
  <si>
    <t>Courtney Martin DDS</t>
  </si>
  <si>
    <t>ORD0443</t>
  </si>
  <si>
    <t>Michael Williams</t>
  </si>
  <si>
    <t>ORD0444</t>
  </si>
  <si>
    <t>David Hayes</t>
  </si>
  <si>
    <t>ORD0445</t>
  </si>
  <si>
    <t>Cassandra French</t>
  </si>
  <si>
    <t>ORD0446</t>
  </si>
  <si>
    <t>Amy Smith</t>
  </si>
  <si>
    <t>ORD0447</t>
  </si>
  <si>
    <t>Megan Fernandez</t>
  </si>
  <si>
    <t>ORD0448</t>
  </si>
  <si>
    <t>Kimberly Herrera</t>
  </si>
  <si>
    <t>ORD0449</t>
  </si>
  <si>
    <t>John Howard</t>
  </si>
  <si>
    <t>ORD0450</t>
  </si>
  <si>
    <t>Matthew Gomez</t>
  </si>
  <si>
    <t>ORD0451</t>
  </si>
  <si>
    <t>James Carroll</t>
  </si>
  <si>
    <t>ORD0452</t>
  </si>
  <si>
    <t>Diana Rowe</t>
  </si>
  <si>
    <t>11:22:00</t>
  </si>
  <si>
    <t>ORD0453</t>
  </si>
  <si>
    <t>Christopher Tucker</t>
  </si>
  <si>
    <t>ORD0454</t>
  </si>
  <si>
    <t>Sarah Huffman</t>
  </si>
  <si>
    <t>ORD0455</t>
  </si>
  <si>
    <t>Mark Reed</t>
  </si>
  <si>
    <t>ORD0456</t>
  </si>
  <si>
    <t>Jennifer Tucker</t>
  </si>
  <si>
    <t>ORD0457</t>
  </si>
  <si>
    <t>David Sullivan</t>
  </si>
  <si>
    <t>ORD0458</t>
  </si>
  <si>
    <t>Julie Daniels</t>
  </si>
  <si>
    <t>ORD0459</t>
  </si>
  <si>
    <t>Latoya Holloway</t>
  </si>
  <si>
    <t>ORD0460</t>
  </si>
  <si>
    <t>Gary Sosa</t>
  </si>
  <si>
    <t>ORD0461</t>
  </si>
  <si>
    <t>Jessica Dominguez</t>
  </si>
  <si>
    <t>ORD0462</t>
  </si>
  <si>
    <t>Amy Carpenter</t>
  </si>
  <si>
    <t>ORD0463</t>
  </si>
  <si>
    <t>Daniel White</t>
  </si>
  <si>
    <t>ORD0464</t>
  </si>
  <si>
    <t>Crystal Brewer</t>
  </si>
  <si>
    <t>ORD0465</t>
  </si>
  <si>
    <t>Christopher Cross</t>
  </si>
  <si>
    <t>ORD0466</t>
  </si>
  <si>
    <t>Robert Roberts</t>
  </si>
  <si>
    <t>09:57:00</t>
  </si>
  <si>
    <t>ORD0467</t>
  </si>
  <si>
    <t>Courtney White</t>
  </si>
  <si>
    <t>ORD0468</t>
  </si>
  <si>
    <t>Hunter Fernandez</t>
  </si>
  <si>
    <t>ORD0469</t>
  </si>
  <si>
    <t>William Pennington</t>
  </si>
  <si>
    <t>ORD0470</t>
  </si>
  <si>
    <t>Vincent Smith</t>
  </si>
  <si>
    <t>ORD0471</t>
  </si>
  <si>
    <t>Chloe Fisher</t>
  </si>
  <si>
    <t>ORD0472</t>
  </si>
  <si>
    <t>Rebekah Reyes</t>
  </si>
  <si>
    <t>ORD0473</t>
  </si>
  <si>
    <t>Leah Williams</t>
  </si>
  <si>
    <t>ORD0474</t>
  </si>
  <si>
    <t>Gregory Lambert</t>
  </si>
  <si>
    <t>ORD0475</t>
  </si>
  <si>
    <t>Monica Perez</t>
  </si>
  <si>
    <t>ORD0476</t>
  </si>
  <si>
    <t>Wanda Nelson</t>
  </si>
  <si>
    <t>ORD0477</t>
  </si>
  <si>
    <t>Michelle Evans</t>
  </si>
  <si>
    <t>ORD0478</t>
  </si>
  <si>
    <t>Beth Williams</t>
  </si>
  <si>
    <t>ORD0479</t>
  </si>
  <si>
    <t>Michael Lee</t>
  </si>
  <si>
    <t>10:22:00</t>
  </si>
  <si>
    <t>ORD0480</t>
  </si>
  <si>
    <t>Nicole Bell</t>
  </si>
  <si>
    <t>ORD0481</t>
  </si>
  <si>
    <t>Victor Stephens</t>
  </si>
  <si>
    <t>ORD0482</t>
  </si>
  <si>
    <t>John Martinez</t>
  </si>
  <si>
    <t>ORD0483</t>
  </si>
  <si>
    <t>Ryan Patterson</t>
  </si>
  <si>
    <t>ORD0484</t>
  </si>
  <si>
    <t>Andre Bell</t>
  </si>
  <si>
    <t>ORD0485</t>
  </si>
  <si>
    <t>Jacob Cruz</t>
  </si>
  <si>
    <t>ORD0486</t>
  </si>
  <si>
    <t>Kelly Blanchard</t>
  </si>
  <si>
    <t>ORD0487</t>
  </si>
  <si>
    <t>Thomas Howell</t>
  </si>
  <si>
    <t>ORD0488</t>
  </si>
  <si>
    <t>Marvin Kaufman</t>
  </si>
  <si>
    <t>ORD0489</t>
  </si>
  <si>
    <t>James Caldwell</t>
  </si>
  <si>
    <t>10:13:00</t>
  </si>
  <si>
    <t>ORD0490</t>
  </si>
  <si>
    <t>Rodney Gibson</t>
  </si>
  <si>
    <t>08:02:00</t>
  </si>
  <si>
    <t>ORD0491</t>
  </si>
  <si>
    <t>Austin Cole</t>
  </si>
  <si>
    <t>ORD0492</t>
  </si>
  <si>
    <t>Lance Franco</t>
  </si>
  <si>
    <t>ORD0493</t>
  </si>
  <si>
    <t>Christopher Joyce</t>
  </si>
  <si>
    <t>ORD0494</t>
  </si>
  <si>
    <t>Alec Garza</t>
  </si>
  <si>
    <t>10:05:00</t>
  </si>
  <si>
    <t>ORD0495</t>
  </si>
  <si>
    <t>Adam Guzman</t>
  </si>
  <si>
    <t>ORD0496</t>
  </si>
  <si>
    <t>Angela Camacho</t>
  </si>
  <si>
    <t>ORD0497</t>
  </si>
  <si>
    <t>Ryan Diaz</t>
  </si>
  <si>
    <t>ORD0498</t>
  </si>
  <si>
    <t>Alicia Nunez</t>
  </si>
  <si>
    <t>ORD0499</t>
  </si>
  <si>
    <t>Elizabeth Chambers</t>
  </si>
  <si>
    <t>ORD0500</t>
  </si>
  <si>
    <t>David Greene</t>
  </si>
  <si>
    <t>ORD0501</t>
  </si>
  <si>
    <t>Michael King</t>
  </si>
  <si>
    <t>ORD0502</t>
  </si>
  <si>
    <t>Jenny Taylor</t>
  </si>
  <si>
    <t>08:47:00</t>
  </si>
  <si>
    <t>ORD0503</t>
  </si>
  <si>
    <t>Thomas Nichols</t>
  </si>
  <si>
    <t>ORD0504</t>
  </si>
  <si>
    <t>Matthew Hoffman</t>
  </si>
  <si>
    <t>ORD0505</t>
  </si>
  <si>
    <t>Dr. Glenn Gaines</t>
  </si>
  <si>
    <t>ORD0506</t>
  </si>
  <si>
    <t>Stephanie Walker</t>
  </si>
  <si>
    <t>ORD0507</t>
  </si>
  <si>
    <t>Brandon Rogers</t>
  </si>
  <si>
    <t>ORD0508</t>
  </si>
  <si>
    <t>Arthur Parker</t>
  </si>
  <si>
    <t>ORD0509</t>
  </si>
  <si>
    <t>Monica Jackson</t>
  </si>
  <si>
    <t>ORD0510</t>
  </si>
  <si>
    <t>Corey Ayala</t>
  </si>
  <si>
    <t>ORD0511</t>
  </si>
  <si>
    <t>Amy Johnson</t>
  </si>
  <si>
    <t>ORD0512</t>
  </si>
  <si>
    <t>Joshua Young</t>
  </si>
  <si>
    <t>ORD0513</t>
  </si>
  <si>
    <t>Alison Williams</t>
  </si>
  <si>
    <t>ORD0514</t>
  </si>
  <si>
    <t>Theresa Huber</t>
  </si>
  <si>
    <t>ORD0515</t>
  </si>
  <si>
    <t>Karen Johnston</t>
  </si>
  <si>
    <t>ORD0516</t>
  </si>
  <si>
    <t>Clayton Green</t>
  </si>
  <si>
    <t>11:21:00</t>
  </si>
  <si>
    <t>ORD0517</t>
  </si>
  <si>
    <t>Tammy Pham</t>
  </si>
  <si>
    <t>ORD0518</t>
  </si>
  <si>
    <t>Ryan Wallace</t>
  </si>
  <si>
    <t>ORD0519</t>
  </si>
  <si>
    <t>Leslie Moore</t>
  </si>
  <si>
    <t>ORD0520</t>
  </si>
  <si>
    <t>Stephanie Monroe</t>
  </si>
  <si>
    <t>ORD0521</t>
  </si>
  <si>
    <t>Anthony Stevens</t>
  </si>
  <si>
    <t>ORD0522</t>
  </si>
  <si>
    <t>Henry Harris</t>
  </si>
  <si>
    <t>ORD0523</t>
  </si>
  <si>
    <t>Laurie Palmer</t>
  </si>
  <si>
    <t>ORD0524</t>
  </si>
  <si>
    <t>Kyle Scott</t>
  </si>
  <si>
    <t>ORD0525</t>
  </si>
  <si>
    <t>Jimmy Brown</t>
  </si>
  <si>
    <t>ORD0526</t>
  </si>
  <si>
    <t>Joel Doyle</t>
  </si>
  <si>
    <t>ORD0527</t>
  </si>
  <si>
    <t>Ana Chambers</t>
  </si>
  <si>
    <t>ORD0528</t>
  </si>
  <si>
    <t>Teresa Roman</t>
  </si>
  <si>
    <t>11:44:00</t>
  </si>
  <si>
    <t>ORD0529</t>
  </si>
  <si>
    <t>Mary Williams</t>
  </si>
  <si>
    <t>ORD0530</t>
  </si>
  <si>
    <t>David Perez</t>
  </si>
  <si>
    <t>ORD0531</t>
  </si>
  <si>
    <t>Richard Owens</t>
  </si>
  <si>
    <t>ORD0532</t>
  </si>
  <si>
    <t>Eugene Hall MD</t>
  </si>
  <si>
    <t>ORD0533</t>
  </si>
  <si>
    <t>Alan Chavez MD</t>
  </si>
  <si>
    <t>ORD0534</t>
  </si>
  <si>
    <t>Daniel Hudson</t>
  </si>
  <si>
    <t>ORD0535</t>
  </si>
  <si>
    <t>Tammy Cameron</t>
  </si>
  <si>
    <t>ORD0536</t>
  </si>
  <si>
    <t>Robert Young</t>
  </si>
  <si>
    <t>ORD0537</t>
  </si>
  <si>
    <t>Sandra Andrews</t>
  </si>
  <si>
    <t>08:01:00</t>
  </si>
  <si>
    <t>ORD0538</t>
  </si>
  <si>
    <t>April Diaz</t>
  </si>
  <si>
    <t>ORD0539</t>
  </si>
  <si>
    <t>Mr. Peter Williams</t>
  </si>
  <si>
    <t>ORD0540</t>
  </si>
  <si>
    <t>Brian Smith</t>
  </si>
  <si>
    <t>ORD0541</t>
  </si>
  <si>
    <t>Jimmy Rivera</t>
  </si>
  <si>
    <t>ORD0542</t>
  </si>
  <si>
    <t>Katrina Boyd</t>
  </si>
  <si>
    <t>ORD0543</t>
  </si>
  <si>
    <t>Nathaniel Brooks</t>
  </si>
  <si>
    <t>ORD0544</t>
  </si>
  <si>
    <t>Karen Owens</t>
  </si>
  <si>
    <t>ORD0545</t>
  </si>
  <si>
    <t>Zachary Underwood</t>
  </si>
  <si>
    <t>ORD0546</t>
  </si>
  <si>
    <t>James Martinez</t>
  </si>
  <si>
    <t>ORD0547</t>
  </si>
  <si>
    <t>Douglas Palmer</t>
  </si>
  <si>
    <t>ORD0548</t>
  </si>
  <si>
    <t>Samuel Peterson</t>
  </si>
  <si>
    <t>ORD0549</t>
  </si>
  <si>
    <t>Dawn Henderson</t>
  </si>
  <si>
    <t>ORD0550</t>
  </si>
  <si>
    <t>Amber Gillespie</t>
  </si>
  <si>
    <t>ORD0551</t>
  </si>
  <si>
    <t>Colton Atkins</t>
  </si>
  <si>
    <t>08:49:00</t>
  </si>
  <si>
    <t>ORD0552</t>
  </si>
  <si>
    <t>Matthew Juarez</t>
  </si>
  <si>
    <t>ORD0553</t>
  </si>
  <si>
    <t>Nathaniel Hernandez</t>
  </si>
  <si>
    <t>ORD0554</t>
  </si>
  <si>
    <t>Sylvia Hamilton</t>
  </si>
  <si>
    <t>09:05:00</t>
  </si>
  <si>
    <t>ORD0555</t>
  </si>
  <si>
    <t>Tara Robertson</t>
  </si>
  <si>
    <t>ORD0556</t>
  </si>
  <si>
    <t>Sonya Park</t>
  </si>
  <si>
    <t>ORD0557</t>
  </si>
  <si>
    <t>Maria Foster</t>
  </si>
  <si>
    <t>ORD0558</t>
  </si>
  <si>
    <t>Parker Mitchell</t>
  </si>
  <si>
    <t>ORD0559</t>
  </si>
  <si>
    <t>Emily Novak</t>
  </si>
  <si>
    <t>ORD0560</t>
  </si>
  <si>
    <t>Richard Gibson</t>
  </si>
  <si>
    <t>09:47:00</t>
  </si>
  <si>
    <t>ORD0561</t>
  </si>
  <si>
    <t>Joy Lewis</t>
  </si>
  <si>
    <t>ORD0562</t>
  </si>
  <si>
    <t>William Scott</t>
  </si>
  <si>
    <t>10:04:00</t>
  </si>
  <si>
    <t>ORD0563</t>
  </si>
  <si>
    <t>Edward Bates</t>
  </si>
  <si>
    <t>ORD0564</t>
  </si>
  <si>
    <t>Susan Navarro</t>
  </si>
  <si>
    <t>ORD0565</t>
  </si>
  <si>
    <t>Jessica Adams</t>
  </si>
  <si>
    <t>ORD0566</t>
  </si>
  <si>
    <t>Taylor Anderson</t>
  </si>
  <si>
    <t>ORD0567</t>
  </si>
  <si>
    <t>Colleen Prince</t>
  </si>
  <si>
    <t>ORD0568</t>
  </si>
  <si>
    <t>Mark Williams</t>
  </si>
  <si>
    <t>ORD0569</t>
  </si>
  <si>
    <t>Rachel Pham</t>
  </si>
  <si>
    <t>ORD0570</t>
  </si>
  <si>
    <t>Michael Richards</t>
  </si>
  <si>
    <t>ORD0571</t>
  </si>
  <si>
    <t>Michael Robinson</t>
  </si>
  <si>
    <t>ORD0572</t>
  </si>
  <si>
    <t>Stephanie Smith</t>
  </si>
  <si>
    <t>ORD0573</t>
  </si>
  <si>
    <t>Kathy Lowe</t>
  </si>
  <si>
    <t>ORD0574</t>
  </si>
  <si>
    <t>Michael Hall</t>
  </si>
  <si>
    <t>ORD0575</t>
  </si>
  <si>
    <t>Tiffany Heath</t>
  </si>
  <si>
    <t>ORD0576</t>
  </si>
  <si>
    <t>Ann Brown</t>
  </si>
  <si>
    <t>ORD0577</t>
  </si>
  <si>
    <t>Colleen Lane</t>
  </si>
  <si>
    <t>ORD0578</t>
  </si>
  <si>
    <t>Christian Willis</t>
  </si>
  <si>
    <t>ORD0579</t>
  </si>
  <si>
    <t>Colleen Fisher</t>
  </si>
  <si>
    <t>ORD0580</t>
  </si>
  <si>
    <t>Todd Anderson</t>
  </si>
  <si>
    <t>ORD0581</t>
  </si>
  <si>
    <t>Jonathan Howe</t>
  </si>
  <si>
    <t>ORD0582</t>
  </si>
  <si>
    <t>Shelia Garza</t>
  </si>
  <si>
    <t>ORD0583</t>
  </si>
  <si>
    <t>Jack Williams</t>
  </si>
  <si>
    <t>ORD0584</t>
  </si>
  <si>
    <t>Terry Velasquez</t>
  </si>
  <si>
    <t>ORD0585</t>
  </si>
  <si>
    <t>Richard Wright</t>
  </si>
  <si>
    <t>ORD0586</t>
  </si>
  <si>
    <t>Terri Carroll</t>
  </si>
  <si>
    <t>ORD0587</t>
  </si>
  <si>
    <t>Wayne Kelly</t>
  </si>
  <si>
    <t>ORD0588</t>
  </si>
  <si>
    <t>Jessica Burch</t>
  </si>
  <si>
    <t>ORD0589</t>
  </si>
  <si>
    <t>Amanda Stevens</t>
  </si>
  <si>
    <t>ORD0590</t>
  </si>
  <si>
    <t>Alan Clark</t>
  </si>
  <si>
    <t>ORD0591</t>
  </si>
  <si>
    <t>Jacob Harris</t>
  </si>
  <si>
    <t>ORD0592</t>
  </si>
  <si>
    <t>Sarah Jackson</t>
  </si>
  <si>
    <t>ORD0593</t>
  </si>
  <si>
    <t>Mrs. Patricia Gaines</t>
  </si>
  <si>
    <t>ORD0594</t>
  </si>
  <si>
    <t>Jessica Hall</t>
  </si>
  <si>
    <t>ORD0595</t>
  </si>
  <si>
    <t>Christina Thomas</t>
  </si>
  <si>
    <t>ORD0596</t>
  </si>
  <si>
    <t>Nicole Austin</t>
  </si>
  <si>
    <t>ORD0597</t>
  </si>
  <si>
    <t>Catherine Shaw</t>
  </si>
  <si>
    <t>ORD0598</t>
  </si>
  <si>
    <t>Caroline Taylor</t>
  </si>
  <si>
    <t>ORD0599</t>
  </si>
  <si>
    <t>Jordan Harris</t>
  </si>
  <si>
    <t>ORD0600</t>
  </si>
  <si>
    <t>Amber Shaw</t>
  </si>
  <si>
    <t>ORD0601</t>
  </si>
  <si>
    <t>Tracy Harris</t>
  </si>
  <si>
    <t>ORD0602</t>
  </si>
  <si>
    <t>Timothy Kramer</t>
  </si>
  <si>
    <t>ORD0603</t>
  </si>
  <si>
    <t>Dawn Collins</t>
  </si>
  <si>
    <t>ORD0604</t>
  </si>
  <si>
    <t>Kevin Lewis</t>
  </si>
  <si>
    <t>ORD0605</t>
  </si>
  <si>
    <t>Denise Jones</t>
  </si>
  <si>
    <t>ORD0606</t>
  </si>
  <si>
    <t>Michael Gamble</t>
  </si>
  <si>
    <t>ORD0607</t>
  </si>
  <si>
    <t>Adam Marshall</t>
  </si>
  <si>
    <t>ORD0608</t>
  </si>
  <si>
    <t>Patricia Bartlett</t>
  </si>
  <si>
    <t>ORD0609</t>
  </si>
  <si>
    <t>Frank Wilson</t>
  </si>
  <si>
    <t>ORD0610</t>
  </si>
  <si>
    <t>Martin Zuniga</t>
  </si>
  <si>
    <t>ORD0611</t>
  </si>
  <si>
    <t>Michelle Bush</t>
  </si>
  <si>
    <t>ORD0612</t>
  </si>
  <si>
    <t>Maxwell Cox</t>
  </si>
  <si>
    <t>ORD0613</t>
  </si>
  <si>
    <t>Grace Anderson</t>
  </si>
  <si>
    <t>ORD0614</t>
  </si>
  <si>
    <t>Brett Palmer DDS</t>
  </si>
  <si>
    <t>ORD0615</t>
  </si>
  <si>
    <t>Richard Allen</t>
  </si>
  <si>
    <t>ORD0616</t>
  </si>
  <si>
    <t>Terry Thomas</t>
  </si>
  <si>
    <t>ORD0617</t>
  </si>
  <si>
    <t>Dr. Kristin Smith</t>
  </si>
  <si>
    <t>ORD0618</t>
  </si>
  <si>
    <t>John Wood</t>
  </si>
  <si>
    <t>10:18:00</t>
  </si>
  <si>
    <t>ORD0619</t>
  </si>
  <si>
    <t>Jillian Daniel</t>
  </si>
  <si>
    <t>ORD0620</t>
  </si>
  <si>
    <t>Heather May</t>
  </si>
  <si>
    <t>ORD0621</t>
  </si>
  <si>
    <t>Gene Navarro</t>
  </si>
  <si>
    <t>ORD0622</t>
  </si>
  <si>
    <t>Cheryl Santos</t>
  </si>
  <si>
    <t>ORD0623</t>
  </si>
  <si>
    <t>Gina Martinez</t>
  </si>
  <si>
    <t>ORD0624</t>
  </si>
  <si>
    <t>Jacob Burgess PhD</t>
  </si>
  <si>
    <t>ORD0625</t>
  </si>
  <si>
    <t>Maria Moody</t>
  </si>
  <si>
    <t>ORD0626</t>
  </si>
  <si>
    <t>Dylan Sosa</t>
  </si>
  <si>
    <t>ORD0627</t>
  </si>
  <si>
    <t>ORD0628</t>
  </si>
  <si>
    <t>Jennifer Taylor</t>
  </si>
  <si>
    <t>ORD0629</t>
  </si>
  <si>
    <t>Mrs. Kimberly Pitts MD</t>
  </si>
  <si>
    <t>ORD0630</t>
  </si>
  <si>
    <t>John Johnson</t>
  </si>
  <si>
    <t>ORD0631</t>
  </si>
  <si>
    <t>Janet Phillips</t>
  </si>
  <si>
    <t>ORD0632</t>
  </si>
  <si>
    <t>Leslie Smith</t>
  </si>
  <si>
    <t>ORD0633</t>
  </si>
  <si>
    <t>Angela Berger</t>
  </si>
  <si>
    <t>ORD0634</t>
  </si>
  <si>
    <t>Jordan Young</t>
  </si>
  <si>
    <t>ORD0635</t>
  </si>
  <si>
    <t>Joseph Richardson</t>
  </si>
  <si>
    <t>09:14:00</t>
  </si>
  <si>
    <t>ORD0636</t>
  </si>
  <si>
    <t>Thomas Brooks</t>
  </si>
  <si>
    <t>ORD0637</t>
  </si>
  <si>
    <t>Timothy Edwards</t>
  </si>
  <si>
    <t>ORD0638</t>
  </si>
  <si>
    <t>Daniel Riley</t>
  </si>
  <si>
    <t>ORD0639</t>
  </si>
  <si>
    <t>Mariah Scott</t>
  </si>
  <si>
    <t>ORD0640</t>
  </si>
  <si>
    <t>Haley Mckinney</t>
  </si>
  <si>
    <t>ORD0641</t>
  </si>
  <si>
    <t>Sharon Romero</t>
  </si>
  <si>
    <t>ORD0642</t>
  </si>
  <si>
    <t>Theresa Schmidt</t>
  </si>
  <si>
    <t>ORD0643</t>
  </si>
  <si>
    <t>Wendy Pierce</t>
  </si>
  <si>
    <t>ORD0644</t>
  </si>
  <si>
    <t>Ashley Simpson</t>
  </si>
  <si>
    <t>ORD0645</t>
  </si>
  <si>
    <t>James Cook</t>
  </si>
  <si>
    <t>ORD0646</t>
  </si>
  <si>
    <t>Reginald Hansen</t>
  </si>
  <si>
    <t>ORD0647</t>
  </si>
  <si>
    <t>Megan Carter</t>
  </si>
  <si>
    <t>ORD0648</t>
  </si>
  <si>
    <t>Cindy Robertson</t>
  </si>
  <si>
    <t>ORD0649</t>
  </si>
  <si>
    <t>ORD0650</t>
  </si>
  <si>
    <t>Janet Waller</t>
  </si>
  <si>
    <t>ORD0651</t>
  </si>
  <si>
    <t>David Weeks</t>
  </si>
  <si>
    <t>09:21:00</t>
  </si>
  <si>
    <t>ORD0652</t>
  </si>
  <si>
    <t>Tammy Reeves</t>
  </si>
  <si>
    <t>ORD0653</t>
  </si>
  <si>
    <t>Adrienne Martin</t>
  </si>
  <si>
    <t>09:10:00</t>
  </si>
  <si>
    <t>ORD0654</t>
  </si>
  <si>
    <t>Thomas Munoz</t>
  </si>
  <si>
    <t>ORD0655</t>
  </si>
  <si>
    <t>Dana Bartlett</t>
  </si>
  <si>
    <t>ORD0656</t>
  </si>
  <si>
    <t>Gary Scott</t>
  </si>
  <si>
    <t>ORD0657</t>
  </si>
  <si>
    <t>Tamara Fernandez</t>
  </si>
  <si>
    <t>ORD0658</t>
  </si>
  <si>
    <t>Paul Mcdaniel</t>
  </si>
  <si>
    <t>ORD0659</t>
  </si>
  <si>
    <t>Gabriel Park</t>
  </si>
  <si>
    <t>ORD0660</t>
  </si>
  <si>
    <t>Caitlyn Osborne</t>
  </si>
  <si>
    <t>ORD0661</t>
  </si>
  <si>
    <t>Ryan Bryant</t>
  </si>
  <si>
    <t>ORD0662</t>
  </si>
  <si>
    <t>Ryan Carter</t>
  </si>
  <si>
    <t>ORD0663</t>
  </si>
  <si>
    <t>Alexander Hoover</t>
  </si>
  <si>
    <t>ORD0664</t>
  </si>
  <si>
    <t>Laura Pearson</t>
  </si>
  <si>
    <t>ORD0665</t>
  </si>
  <si>
    <t>Garrett Cox</t>
  </si>
  <si>
    <t>ORD0666</t>
  </si>
  <si>
    <t>Heather Mayer</t>
  </si>
  <si>
    <t>ORD0667</t>
  </si>
  <si>
    <t>Kevin Miller</t>
  </si>
  <si>
    <t>ORD0668</t>
  </si>
  <si>
    <t>Andrew Velez</t>
  </si>
  <si>
    <t>ORD0669</t>
  </si>
  <si>
    <t>ORD0670</t>
  </si>
  <si>
    <t>Samuel Gomez</t>
  </si>
  <si>
    <t>ORD0671</t>
  </si>
  <si>
    <t>Ronald Anderson</t>
  </si>
  <si>
    <t>ORD0672</t>
  </si>
  <si>
    <t>Joseph Chen</t>
  </si>
  <si>
    <t>ORD0673</t>
  </si>
  <si>
    <t>Meghan Rogers</t>
  </si>
  <si>
    <t>ORD0674</t>
  </si>
  <si>
    <t>Katherine Berger</t>
  </si>
  <si>
    <t>ORD0675</t>
  </si>
  <si>
    <t>Tyler Griffith</t>
  </si>
  <si>
    <t>ORD0676</t>
  </si>
  <si>
    <t>John Rogers</t>
  </si>
  <si>
    <t>ORD0677</t>
  </si>
  <si>
    <t>Jennifer Becker</t>
  </si>
  <si>
    <t>ORD0678</t>
  </si>
  <si>
    <t>Anthony Clarke</t>
  </si>
  <si>
    <t>ORD0679</t>
  </si>
  <si>
    <t>Randall Wall</t>
  </si>
  <si>
    <t>ORD0680</t>
  </si>
  <si>
    <t>Jonathan Jordan</t>
  </si>
  <si>
    <t>ORD0681</t>
  </si>
  <si>
    <t>Jonathon Wall</t>
  </si>
  <si>
    <t>ORD0682</t>
  </si>
  <si>
    <t>Brittany Ramirez</t>
  </si>
  <si>
    <t>ORD0683</t>
  </si>
  <si>
    <t>Frederick Mullins</t>
  </si>
  <si>
    <t>ORD0684</t>
  </si>
  <si>
    <t>Dillon Johnson</t>
  </si>
  <si>
    <t>ORD0685</t>
  </si>
  <si>
    <t>Nicolas Velez</t>
  </si>
  <si>
    <t>ORD0686</t>
  </si>
  <si>
    <t>Michael Watson</t>
  </si>
  <si>
    <t>11:13:00</t>
  </si>
  <si>
    <t>ORD0687</t>
  </si>
  <si>
    <t>Laura Barnett</t>
  </si>
  <si>
    <t>ORD0688</t>
  </si>
  <si>
    <t>Brenda Taylor</t>
  </si>
  <si>
    <t>ORD0689</t>
  </si>
  <si>
    <t>Stacy Hanson</t>
  </si>
  <si>
    <t>ORD0690</t>
  </si>
  <si>
    <t>Amanda Perez</t>
  </si>
  <si>
    <t>ORD0691</t>
  </si>
  <si>
    <t>Susan Burns</t>
  </si>
  <si>
    <t>ORD0692</t>
  </si>
  <si>
    <t>Christy Morse</t>
  </si>
  <si>
    <t>ORD0693</t>
  </si>
  <si>
    <t>Richard Hickman</t>
  </si>
  <si>
    <t>ORD0694</t>
  </si>
  <si>
    <t>Cynthia Rodriguez</t>
  </si>
  <si>
    <t>ORD0695</t>
  </si>
  <si>
    <t>Gabrielle Walker</t>
  </si>
  <si>
    <t>ORD0696</t>
  </si>
  <si>
    <t>Donna Howard</t>
  </si>
  <si>
    <t>ORD0697</t>
  </si>
  <si>
    <t>Heather Owens</t>
  </si>
  <si>
    <t>ORD0698</t>
  </si>
  <si>
    <t>Phillip Herrera</t>
  </si>
  <si>
    <t>ORD0699</t>
  </si>
  <si>
    <t>William Graves</t>
  </si>
  <si>
    <t>ORD0700</t>
  </si>
  <si>
    <t>Martin Gardner</t>
  </si>
  <si>
    <t>ORD0701</t>
  </si>
  <si>
    <t>Lisa Munoz</t>
  </si>
  <si>
    <t>ORD0702</t>
  </si>
  <si>
    <t>Kimberly Davis</t>
  </si>
  <si>
    <t>ORD0703</t>
  </si>
  <si>
    <t>Nancy Walker</t>
  </si>
  <si>
    <t>ORD0704</t>
  </si>
  <si>
    <t>Helen Maxwell</t>
  </si>
  <si>
    <t>ORD0705</t>
  </si>
  <si>
    <t>Martin Zimmerman</t>
  </si>
  <si>
    <t>ORD0706</t>
  </si>
  <si>
    <t>Michael Chapman</t>
  </si>
  <si>
    <t>ORD0707</t>
  </si>
  <si>
    <t>Courtney Gray</t>
  </si>
  <si>
    <t>ORD0708</t>
  </si>
  <si>
    <t>Daniel Howell</t>
  </si>
  <si>
    <t>ORD0709</t>
  </si>
  <si>
    <t>Hannah Valencia</t>
  </si>
  <si>
    <t>ORD0710</t>
  </si>
  <si>
    <t>Diane Chavez</t>
  </si>
  <si>
    <t>ORD0711</t>
  </si>
  <si>
    <t>James Howard</t>
  </si>
  <si>
    <t>ORD0712</t>
  </si>
  <si>
    <t>Denise Gutierrez</t>
  </si>
  <si>
    <t>ORD0713</t>
  </si>
  <si>
    <t>Melissa Moody MD</t>
  </si>
  <si>
    <t>ORD0714</t>
  </si>
  <si>
    <t>Robin Morris MD</t>
  </si>
  <si>
    <t>ORD0715</t>
  </si>
  <si>
    <t>Jason Hamilton</t>
  </si>
  <si>
    <t>ORD0716</t>
  </si>
  <si>
    <t>Emily Johnson</t>
  </si>
  <si>
    <t>ORD0717</t>
  </si>
  <si>
    <t>Ryan Bates</t>
  </si>
  <si>
    <t>ORD0718</t>
  </si>
  <si>
    <t>Antonio Wood</t>
  </si>
  <si>
    <t>ORD0719</t>
  </si>
  <si>
    <t>Mark Alvarez</t>
  </si>
  <si>
    <t>ORD0720</t>
  </si>
  <si>
    <t>Dennis Wright</t>
  </si>
  <si>
    <t>09:59:00</t>
  </si>
  <si>
    <t>ORD0721</t>
  </si>
  <si>
    <t>Mr. David Franco</t>
  </si>
  <si>
    <t>ORD0722</t>
  </si>
  <si>
    <t>Kevin Blair</t>
  </si>
  <si>
    <t>ORD0723</t>
  </si>
  <si>
    <t>Brittany Swanson DDS</t>
  </si>
  <si>
    <t>ORD0724</t>
  </si>
  <si>
    <t>Mandy Davis</t>
  </si>
  <si>
    <t>ORD0725</t>
  </si>
  <si>
    <t>Philip Kelley</t>
  </si>
  <si>
    <t>ORD0726</t>
  </si>
  <si>
    <t>Raymond Gonzalez</t>
  </si>
  <si>
    <t>ORD0727</t>
  </si>
  <si>
    <t>Brenda Martin</t>
  </si>
  <si>
    <t>08:39:00</t>
  </si>
  <si>
    <t>ORD0728</t>
  </si>
  <si>
    <t>Shannon Byrd</t>
  </si>
  <si>
    <t>ORD0729</t>
  </si>
  <si>
    <t>Crystal Horn</t>
  </si>
  <si>
    <t>ORD0730</t>
  </si>
  <si>
    <t>Brett Roberts</t>
  </si>
  <si>
    <t>ORD0731</t>
  </si>
  <si>
    <t>Sarah Nelson</t>
  </si>
  <si>
    <t>ORD0732</t>
  </si>
  <si>
    <t>Stephanie Murphy</t>
  </si>
  <si>
    <t>08:59:00</t>
  </si>
  <si>
    <t>ORD0733</t>
  </si>
  <si>
    <t>Veronica Morales</t>
  </si>
  <si>
    <t>ORD0734</t>
  </si>
  <si>
    <t>Alexander Johnson</t>
  </si>
  <si>
    <t>ORD0735</t>
  </si>
  <si>
    <t>Frank Weiss</t>
  </si>
  <si>
    <t>ORD0736</t>
  </si>
  <si>
    <t>Tony Jennings</t>
  </si>
  <si>
    <t>ORD0737</t>
  </si>
  <si>
    <t>Robert Brown</t>
  </si>
  <si>
    <t>ORD0738</t>
  </si>
  <si>
    <t>Dana Woods</t>
  </si>
  <si>
    <t>ORD0739</t>
  </si>
  <si>
    <t>Kelly Vargas</t>
  </si>
  <si>
    <t>ORD0740</t>
  </si>
  <si>
    <t>Roy Jackson</t>
  </si>
  <si>
    <t>ORD0741</t>
  </si>
  <si>
    <t>Troy Hernandez</t>
  </si>
  <si>
    <t>ORD0742</t>
  </si>
  <si>
    <t>Joseph Phillips</t>
  </si>
  <si>
    <t>ORD0743</t>
  </si>
  <si>
    <t>Michael Arias</t>
  </si>
  <si>
    <t>ORD0744</t>
  </si>
  <si>
    <t>Wesley Lynch</t>
  </si>
  <si>
    <t>ORD0745</t>
  </si>
  <si>
    <t>Hayden Ortega</t>
  </si>
  <si>
    <t>ORD0746</t>
  </si>
  <si>
    <t>Sharon Richardson</t>
  </si>
  <si>
    <t>ORD0747</t>
  </si>
  <si>
    <t>Laurie Padilla MD</t>
  </si>
  <si>
    <t>ORD0748</t>
  </si>
  <si>
    <t>Sylvia Johnson</t>
  </si>
  <si>
    <t>ORD0749</t>
  </si>
  <si>
    <t>Marcus Hall</t>
  </si>
  <si>
    <t>ORD0750</t>
  </si>
  <si>
    <t>Kevin Martinez</t>
  </si>
  <si>
    <t>ORD0751</t>
  </si>
  <si>
    <t>Derek Brandt</t>
  </si>
  <si>
    <t>ORD0752</t>
  </si>
  <si>
    <t>Brittany Stokes</t>
  </si>
  <si>
    <t>ORD0753</t>
  </si>
  <si>
    <t>ORD0754</t>
  </si>
  <si>
    <t>Mary Franco</t>
  </si>
  <si>
    <t>ORD0755</t>
  </si>
  <si>
    <t>Veronica Stewart</t>
  </si>
  <si>
    <t>ORD0756</t>
  </si>
  <si>
    <t>Savannah Adams</t>
  </si>
  <si>
    <t>ORD0757</t>
  </si>
  <si>
    <t>Brenda Morales</t>
  </si>
  <si>
    <t>ORD0758</t>
  </si>
  <si>
    <t>Alan Farrell</t>
  </si>
  <si>
    <t>ORD0759</t>
  </si>
  <si>
    <t>Erika Wilson</t>
  </si>
  <si>
    <t>ORD0760</t>
  </si>
  <si>
    <t>Mr. Matthew Ross</t>
  </si>
  <si>
    <t>ORD0761</t>
  </si>
  <si>
    <t>Mackenzie Martinez</t>
  </si>
  <si>
    <t>ORD0762</t>
  </si>
  <si>
    <t>Samantha Salazar</t>
  </si>
  <si>
    <t>ORD0763</t>
  </si>
  <si>
    <t>Mikayla Johnson</t>
  </si>
  <si>
    <t>ORD0764</t>
  </si>
  <si>
    <t>Scott Woods</t>
  </si>
  <si>
    <t>ORD0765</t>
  </si>
  <si>
    <t>Tracey Huffman</t>
  </si>
  <si>
    <t>ORD0766</t>
  </si>
  <si>
    <t>Courtney Long</t>
  </si>
  <si>
    <t>ORD0767</t>
  </si>
  <si>
    <t>John Sawyer</t>
  </si>
  <si>
    <t>ORD0768</t>
  </si>
  <si>
    <t>Christopher Gates</t>
  </si>
  <si>
    <t>ORD0769</t>
  </si>
  <si>
    <t>ORD0770</t>
  </si>
  <si>
    <t>William Stewart</t>
  </si>
  <si>
    <t>ORD0771</t>
  </si>
  <si>
    <t>Kathryn Gilbert</t>
  </si>
  <si>
    <t>ORD0772</t>
  </si>
  <si>
    <t>Kyle Castro</t>
  </si>
  <si>
    <t>ORD0773</t>
  </si>
  <si>
    <t>Sarah Wade</t>
  </si>
  <si>
    <t>ORD0774</t>
  </si>
  <si>
    <t>Diane Garrett</t>
  </si>
  <si>
    <t>ORD0775</t>
  </si>
  <si>
    <t>William Weaver</t>
  </si>
  <si>
    <t>ORD0776</t>
  </si>
  <si>
    <t>Todd Pierce</t>
  </si>
  <si>
    <t>ORD0777</t>
  </si>
  <si>
    <t>Cheryl Green</t>
  </si>
  <si>
    <t>ORD0778</t>
  </si>
  <si>
    <t>Anna Bennett</t>
  </si>
  <si>
    <t>ORD0779</t>
  </si>
  <si>
    <t>Brad Garcia</t>
  </si>
  <si>
    <t>ORD0780</t>
  </si>
  <si>
    <t>Erica Marquez</t>
  </si>
  <si>
    <t>ORD0781</t>
  </si>
  <si>
    <t>Jennifer Ward</t>
  </si>
  <si>
    <t>ORD0782</t>
  </si>
  <si>
    <t>Samuel Maxwell</t>
  </si>
  <si>
    <t>ORD0783</t>
  </si>
  <si>
    <t>Whitney Williams</t>
  </si>
  <si>
    <t>ORD0784</t>
  </si>
  <si>
    <t>Kimberly Martin</t>
  </si>
  <si>
    <t>ORD0785</t>
  </si>
  <si>
    <t>Gregg Montoya</t>
  </si>
  <si>
    <t>ORD0786</t>
  </si>
  <si>
    <t>Stephen Thomas</t>
  </si>
  <si>
    <t>ORD0787</t>
  </si>
  <si>
    <t>Matthew Nash</t>
  </si>
  <si>
    <t>ORD0788</t>
  </si>
  <si>
    <t>Chris Carlson</t>
  </si>
  <si>
    <t>ORD0789</t>
  </si>
  <si>
    <t>Mark Morrison</t>
  </si>
  <si>
    <t>ORD0790</t>
  </si>
  <si>
    <t>Jeanne Jackson</t>
  </si>
  <si>
    <t>ORD0791</t>
  </si>
  <si>
    <t>Michelle Allen</t>
  </si>
  <si>
    <t>ORD0792</t>
  </si>
  <si>
    <t>Brenda Wright</t>
  </si>
  <si>
    <t>ORD0793</t>
  </si>
  <si>
    <t>Steve Juarez</t>
  </si>
  <si>
    <t>ORD0794</t>
  </si>
  <si>
    <t>James Mckinney</t>
  </si>
  <si>
    <t>ORD0795</t>
  </si>
  <si>
    <t>Mr. Matthew Coleman MD</t>
  </si>
  <si>
    <t>ORD0796</t>
  </si>
  <si>
    <t>Devin Anderson</t>
  </si>
  <si>
    <t>10:36:00</t>
  </si>
  <si>
    <t>ORD0797</t>
  </si>
  <si>
    <t>Elizabeth King</t>
  </si>
  <si>
    <t>ORD0798</t>
  </si>
  <si>
    <t>Emily Molina</t>
  </si>
  <si>
    <t>ORD0799</t>
  </si>
  <si>
    <t>Michael Phillips</t>
  </si>
  <si>
    <t>ORD0800</t>
  </si>
  <si>
    <t>Amanda Nelson</t>
  </si>
  <si>
    <t>ORD0801</t>
  </si>
  <si>
    <t>Beth Parker</t>
  </si>
  <si>
    <t>ORD0802</t>
  </si>
  <si>
    <t>Rodney Bradshaw</t>
  </si>
  <si>
    <t>ORD0803</t>
  </si>
  <si>
    <t>Crystal Mullins</t>
  </si>
  <si>
    <t>ORD0804</t>
  </si>
  <si>
    <t>Jamie Jones</t>
  </si>
  <si>
    <t>ORD0805</t>
  </si>
  <si>
    <t>Mark Hernandez</t>
  </si>
  <si>
    <t>ORD0806</t>
  </si>
  <si>
    <t>Shane Daniels</t>
  </si>
  <si>
    <t>ORD0807</t>
  </si>
  <si>
    <t>Christopher Fletcher</t>
  </si>
  <si>
    <t>ORD0808</t>
  </si>
  <si>
    <t>Nathan Conner</t>
  </si>
  <si>
    <t>ORD0809</t>
  </si>
  <si>
    <t>Beverly Lowe</t>
  </si>
  <si>
    <t>ORD0810</t>
  </si>
  <si>
    <t>Melissa Leach</t>
  </si>
  <si>
    <t>ORD0811</t>
  </si>
  <si>
    <t>Catherine Miller</t>
  </si>
  <si>
    <t>ORD0812</t>
  </si>
  <si>
    <t>Michael David</t>
  </si>
  <si>
    <t>ORD0813</t>
  </si>
  <si>
    <t>Morgan Thomas</t>
  </si>
  <si>
    <t>ORD0814</t>
  </si>
  <si>
    <t>Tara Patel</t>
  </si>
  <si>
    <t>ORD0815</t>
  </si>
  <si>
    <t>Stephanie Ellis</t>
  </si>
  <si>
    <t>ORD0816</t>
  </si>
  <si>
    <t>Debra Powell</t>
  </si>
  <si>
    <t>ORD0817</t>
  </si>
  <si>
    <t>Troy Richards</t>
  </si>
  <si>
    <t>ORD0818</t>
  </si>
  <si>
    <t>Joseph Mata</t>
  </si>
  <si>
    <t>ORD0819</t>
  </si>
  <si>
    <t>Brian Campbell</t>
  </si>
  <si>
    <t>ORD0820</t>
  </si>
  <si>
    <t>Jasmine Smith</t>
  </si>
  <si>
    <t>ORD0821</t>
  </si>
  <si>
    <t>Alan Nicholson</t>
  </si>
  <si>
    <t>ORD0822</t>
  </si>
  <si>
    <t>Megan Wallace</t>
  </si>
  <si>
    <t>ORD0823</t>
  </si>
  <si>
    <t>William Brown</t>
  </si>
  <si>
    <t>ORD0824</t>
  </si>
  <si>
    <t>Eric Freeman</t>
  </si>
  <si>
    <t>ORD0825</t>
  </si>
  <si>
    <t>Bradley Mcmillan</t>
  </si>
  <si>
    <t>ORD0826</t>
  </si>
  <si>
    <t>Susan Benton</t>
  </si>
  <si>
    <t>ORD0827</t>
  </si>
  <si>
    <t>Michael Sanchez</t>
  </si>
  <si>
    <t>ORD0828</t>
  </si>
  <si>
    <t>James Parker</t>
  </si>
  <si>
    <t>ORD0829</t>
  </si>
  <si>
    <t>Rachel Cook</t>
  </si>
  <si>
    <t>ORD0830</t>
  </si>
  <si>
    <t>Shawn Zimmerman</t>
  </si>
  <si>
    <t>ORD0831</t>
  </si>
  <si>
    <t>Ashley Harris</t>
  </si>
  <si>
    <t>ORD0832</t>
  </si>
  <si>
    <t>Amanda Gonzalez</t>
  </si>
  <si>
    <t>ORD0833</t>
  </si>
  <si>
    <t>James Odonnell</t>
  </si>
  <si>
    <t>ORD0834</t>
  </si>
  <si>
    <t>Gail Hunt</t>
  </si>
  <si>
    <t>ORD0835</t>
  </si>
  <si>
    <t>Jessica Davis</t>
  </si>
  <si>
    <t>ORD0836</t>
  </si>
  <si>
    <t>Jose Curry</t>
  </si>
  <si>
    <t>ORD0837</t>
  </si>
  <si>
    <t>Lorraine Irwin</t>
  </si>
  <si>
    <t>ORD0838</t>
  </si>
  <si>
    <t>Tim Meyer</t>
  </si>
  <si>
    <t>ORD0839</t>
  </si>
  <si>
    <t>Tonya Erickson</t>
  </si>
  <si>
    <t>ORD0840</t>
  </si>
  <si>
    <t>Jessica Wheeler</t>
  </si>
  <si>
    <t>ORD0841</t>
  </si>
  <si>
    <t>Katherine Woods</t>
  </si>
  <si>
    <t>ORD0842</t>
  </si>
  <si>
    <t>Michelle Mcbride</t>
  </si>
  <si>
    <t>10:49:00</t>
  </si>
  <si>
    <t>ORD0843</t>
  </si>
  <si>
    <t>Lori Rodriguez</t>
  </si>
  <si>
    <t>ORD0844</t>
  </si>
  <si>
    <t>Ellen Palmer</t>
  </si>
  <si>
    <t>ORD0845</t>
  </si>
  <si>
    <t>Diane Tran</t>
  </si>
  <si>
    <t>ORD0846</t>
  </si>
  <si>
    <t>Scott Morgan</t>
  </si>
  <si>
    <t>ORD0847</t>
  </si>
  <si>
    <t>Matthew Rivas</t>
  </si>
  <si>
    <t>ORD0848</t>
  </si>
  <si>
    <t>Christina Davidson</t>
  </si>
  <si>
    <t>ORD0849</t>
  </si>
  <si>
    <t>Carl Jackson</t>
  </si>
  <si>
    <t>ORD0850</t>
  </si>
  <si>
    <t>Chad Guzman</t>
  </si>
  <si>
    <t>ORD0851</t>
  </si>
  <si>
    <t>Bradley Jackson</t>
  </si>
  <si>
    <t>ORD0852</t>
  </si>
  <si>
    <t>Shawn Graves</t>
  </si>
  <si>
    <t>ORD0853</t>
  </si>
  <si>
    <t>James Lewis</t>
  </si>
  <si>
    <t>ORD0854</t>
  </si>
  <si>
    <t>Ryan Garcia</t>
  </si>
  <si>
    <t>ORD0855</t>
  </si>
  <si>
    <t>Charles Green</t>
  </si>
  <si>
    <t>ORD0856</t>
  </si>
  <si>
    <t>Jeffrey Hamilton</t>
  </si>
  <si>
    <t>ORD0857</t>
  </si>
  <si>
    <t>Joseph Thomas</t>
  </si>
  <si>
    <t>ORD0858</t>
  </si>
  <si>
    <t>Amber Mueller</t>
  </si>
  <si>
    <t>ORD0859</t>
  </si>
  <si>
    <t>Brenda Stevens</t>
  </si>
  <si>
    <t>ORD0860</t>
  </si>
  <si>
    <t>Howard Jackson</t>
  </si>
  <si>
    <t>ORD0861</t>
  </si>
  <si>
    <t>Victor Camacho</t>
  </si>
  <si>
    <t>ORD0862</t>
  </si>
  <si>
    <t>Anthony Hansen</t>
  </si>
  <si>
    <t>ORD0863</t>
  </si>
  <si>
    <t>Michael Holt</t>
  </si>
  <si>
    <t>ORD0864</t>
  </si>
  <si>
    <t>Patrick Johnson</t>
  </si>
  <si>
    <t>ORD0865</t>
  </si>
  <si>
    <t>Lisa Parker</t>
  </si>
  <si>
    <t>ORD0866</t>
  </si>
  <si>
    <t>Charles Flores</t>
  </si>
  <si>
    <t>ORD0867</t>
  </si>
  <si>
    <t>Alexis Bell</t>
  </si>
  <si>
    <t>ORD0868</t>
  </si>
  <si>
    <t>Holly Harris</t>
  </si>
  <si>
    <t>ORD0869</t>
  </si>
  <si>
    <t>Seth West</t>
  </si>
  <si>
    <t>ORD0870</t>
  </si>
  <si>
    <t>Brittany Arnold</t>
  </si>
  <si>
    <t>ORD0871</t>
  </si>
  <si>
    <t>Melissa Poole</t>
  </si>
  <si>
    <t>ORD0872</t>
  </si>
  <si>
    <t>Anthony Taylor</t>
  </si>
  <si>
    <t>ORD0873</t>
  </si>
  <si>
    <t>ORD0874</t>
  </si>
  <si>
    <t>ORD0875</t>
  </si>
  <si>
    <t>Donald Murray</t>
  </si>
  <si>
    <t>ORD0876</t>
  </si>
  <si>
    <t>Amanda Dickerson</t>
  </si>
  <si>
    <t>ORD0877</t>
  </si>
  <si>
    <t>Ronald Ramsey</t>
  </si>
  <si>
    <t>ORD0878</t>
  </si>
  <si>
    <t>Anthony Wright</t>
  </si>
  <si>
    <t>ORD0879</t>
  </si>
  <si>
    <t>Nicole Morris</t>
  </si>
  <si>
    <t>ORD0880</t>
  </si>
  <si>
    <t>Derek Archer</t>
  </si>
  <si>
    <t>ORD0881</t>
  </si>
  <si>
    <t>Joseph Johnson</t>
  </si>
  <si>
    <t>ORD0882</t>
  </si>
  <si>
    <t>Robert Joyce</t>
  </si>
  <si>
    <t>ORD0883</t>
  </si>
  <si>
    <t>Amy Cochran</t>
  </si>
  <si>
    <t>ORD0884</t>
  </si>
  <si>
    <t>Michael Hayes</t>
  </si>
  <si>
    <t>ORD0885</t>
  </si>
  <si>
    <t>Erin Larson</t>
  </si>
  <si>
    <t>ORD0886</t>
  </si>
  <si>
    <t>Billy Smith</t>
  </si>
  <si>
    <t>ORD0887</t>
  </si>
  <si>
    <t>Savannah Warner</t>
  </si>
  <si>
    <t>ORD0888</t>
  </si>
  <si>
    <t>Christina Le</t>
  </si>
  <si>
    <t>ORD0889</t>
  </si>
  <si>
    <t>Kyle Mcgee</t>
  </si>
  <si>
    <t>ORD0890</t>
  </si>
  <si>
    <t>Tyler Kaufman</t>
  </si>
  <si>
    <t>ORD0891</t>
  </si>
  <si>
    <t>Daniel Lewis</t>
  </si>
  <si>
    <t>ORD0892</t>
  </si>
  <si>
    <t>Kristy Mitchell</t>
  </si>
  <si>
    <t>ORD0893</t>
  </si>
  <si>
    <t>Christopher Alexander</t>
  </si>
  <si>
    <t>ORD0894</t>
  </si>
  <si>
    <t>David Henderson</t>
  </si>
  <si>
    <t>ORD0895</t>
  </si>
  <si>
    <t>Brandon Rivers</t>
  </si>
  <si>
    <t>ORD0896</t>
  </si>
  <si>
    <t>Samantha Mendoza</t>
  </si>
  <si>
    <t>ORD0897</t>
  </si>
  <si>
    <t>Marcus Sanders</t>
  </si>
  <si>
    <t>ORD0898</t>
  </si>
  <si>
    <t>Lisa Miller</t>
  </si>
  <si>
    <t>ORD0899</t>
  </si>
  <si>
    <t>Laura Park</t>
  </si>
  <si>
    <t>ORD0900</t>
  </si>
  <si>
    <t>Amy Compton</t>
  </si>
  <si>
    <t>ORD0901</t>
  </si>
  <si>
    <t>Amber Rodriguez</t>
  </si>
  <si>
    <t>ORD0902</t>
  </si>
  <si>
    <t>Caitlyn Cole</t>
  </si>
  <si>
    <t>ORD0903</t>
  </si>
  <si>
    <t>Jeremy Drake</t>
  </si>
  <si>
    <t>ORD0904</t>
  </si>
  <si>
    <t>Nicole Newton</t>
  </si>
  <si>
    <t>ORD0905</t>
  </si>
  <si>
    <t>Adam White</t>
  </si>
  <si>
    <t>ORD0906</t>
  </si>
  <si>
    <t>Sarah Anderson</t>
  </si>
  <si>
    <t>09:56:00</t>
  </si>
  <si>
    <t>ORD0907</t>
  </si>
  <si>
    <t>Jesse Williams</t>
  </si>
  <si>
    <t>ORD0908</t>
  </si>
  <si>
    <t>Dr. Jennifer Washington DVM</t>
  </si>
  <si>
    <t>ORD0909</t>
  </si>
  <si>
    <t>Holly Davenport</t>
  </si>
  <si>
    <t>ORD0910</t>
  </si>
  <si>
    <t>Daniel Shelton</t>
  </si>
  <si>
    <t>ORD0911</t>
  </si>
  <si>
    <t>Dr. Karen Avila</t>
  </si>
  <si>
    <t>ORD0912</t>
  </si>
  <si>
    <t>Dr. Andrew Conrad</t>
  </si>
  <si>
    <t>ORD0913</t>
  </si>
  <si>
    <t>Allen Evans</t>
  </si>
  <si>
    <t>ORD0914</t>
  </si>
  <si>
    <t>Joseph Burns</t>
  </si>
  <si>
    <t>ORD0915</t>
  </si>
  <si>
    <t>Anthony Dawson</t>
  </si>
  <si>
    <t>ORD0916</t>
  </si>
  <si>
    <t>Judy Allison</t>
  </si>
  <si>
    <t>ORD0917</t>
  </si>
  <si>
    <t>Tina Griffith</t>
  </si>
  <si>
    <t>09:24:00</t>
  </si>
  <si>
    <t>ORD0918</t>
  </si>
  <si>
    <t>Carol Malone</t>
  </si>
  <si>
    <t>ORD0919</t>
  </si>
  <si>
    <t>Mary Arnold</t>
  </si>
  <si>
    <t>ORD0920</t>
  </si>
  <si>
    <t>Amanda Lambert</t>
  </si>
  <si>
    <t>ORD0921</t>
  </si>
  <si>
    <t>Tom Le</t>
  </si>
  <si>
    <t>ORD0922</t>
  </si>
  <si>
    <t>Gina Smith</t>
  </si>
  <si>
    <t>ORD0923</t>
  </si>
  <si>
    <t>Monica Wilson</t>
  </si>
  <si>
    <t>ORD0924</t>
  </si>
  <si>
    <t>Maxwell Miller</t>
  </si>
  <si>
    <t>ORD0925</t>
  </si>
  <si>
    <t>Jonathan Phillips DDS</t>
  </si>
  <si>
    <t>ORD0926</t>
  </si>
  <si>
    <t>Brandon Sanford</t>
  </si>
  <si>
    <t>ORD0927</t>
  </si>
  <si>
    <t>Felicia Smith</t>
  </si>
  <si>
    <t>ORD0928</t>
  </si>
  <si>
    <t>Sean Barnett</t>
  </si>
  <si>
    <t>ORD0929</t>
  </si>
  <si>
    <t>Laura Holt</t>
  </si>
  <si>
    <t>ORD0930</t>
  </si>
  <si>
    <t>Julie Miller</t>
  </si>
  <si>
    <t>ORD0931</t>
  </si>
  <si>
    <t>Jason Kim</t>
  </si>
  <si>
    <t>ORD0932</t>
  </si>
  <si>
    <t>Jennifer Evans</t>
  </si>
  <si>
    <t>ORD0933</t>
  </si>
  <si>
    <t>Kathryn Taylor</t>
  </si>
  <si>
    <t>ORD0934</t>
  </si>
  <si>
    <t>Amy Perez</t>
  </si>
  <si>
    <t>ORD0935</t>
  </si>
  <si>
    <t>Vincent Hicks</t>
  </si>
  <si>
    <t>ORD0936</t>
  </si>
  <si>
    <t>Ashley Patel</t>
  </si>
  <si>
    <t>ORD0937</t>
  </si>
  <si>
    <t>Ashley Brown</t>
  </si>
  <si>
    <t>ORD0938</t>
  </si>
  <si>
    <t>Peggy Daniels</t>
  </si>
  <si>
    <t>ORD0939</t>
  </si>
  <si>
    <t>Monique Rodriguez</t>
  </si>
  <si>
    <t>ORD0940</t>
  </si>
  <si>
    <t>Dawn Randall</t>
  </si>
  <si>
    <t>10:35:00</t>
  </si>
  <si>
    <t>ORD0941</t>
  </si>
  <si>
    <t>Elizabeth Glass</t>
  </si>
  <si>
    <t>ORD0942</t>
  </si>
  <si>
    <t>Timothy Owens</t>
  </si>
  <si>
    <t>ORD0943</t>
  </si>
  <si>
    <t>Jennifer Luna</t>
  </si>
  <si>
    <t>ORD0944</t>
  </si>
  <si>
    <t>Alexander Johnson DVM</t>
  </si>
  <si>
    <t>ORD0945</t>
  </si>
  <si>
    <t>Justin Wilkerson</t>
  </si>
  <si>
    <t>ORD0946</t>
  </si>
  <si>
    <t>Anna Garza</t>
  </si>
  <si>
    <t>ORD0947</t>
  </si>
  <si>
    <t>Dr. Sean Allen</t>
  </si>
  <si>
    <t>ORD0948</t>
  </si>
  <si>
    <t>Jim Glover</t>
  </si>
  <si>
    <t>ORD0949</t>
  </si>
  <si>
    <t>Stacy Meyer</t>
  </si>
  <si>
    <t>ORD0950</t>
  </si>
  <si>
    <t>Ashley Mitchell</t>
  </si>
  <si>
    <t>ORD0951</t>
  </si>
  <si>
    <t>Mark Davis</t>
  </si>
  <si>
    <t>ORD0952</t>
  </si>
  <si>
    <t>Heather Townsend</t>
  </si>
  <si>
    <t>ORD0953</t>
  </si>
  <si>
    <t>Jesus Chan</t>
  </si>
  <si>
    <t>ORD0954</t>
  </si>
  <si>
    <t>Henry Williamson</t>
  </si>
  <si>
    <t>ORD0955</t>
  </si>
  <si>
    <t>Antonio Rios</t>
  </si>
  <si>
    <t>ORD0956</t>
  </si>
  <si>
    <t>Andrew Long</t>
  </si>
  <si>
    <t>ORD0957</t>
  </si>
  <si>
    <t>Chelsea Hampton</t>
  </si>
  <si>
    <t>ORD0958</t>
  </si>
  <si>
    <t>Briana Sellers</t>
  </si>
  <si>
    <t>ORD0959</t>
  </si>
  <si>
    <t>Calvin Gould</t>
  </si>
  <si>
    <t>ORD0960</t>
  </si>
  <si>
    <t>Amanda Whitehead</t>
  </si>
  <si>
    <t>ORD0961</t>
  </si>
  <si>
    <t>Gabriela Cook</t>
  </si>
  <si>
    <t>ORD0962</t>
  </si>
  <si>
    <t>Heather Copeland</t>
  </si>
  <si>
    <t>ORD0963</t>
  </si>
  <si>
    <t>Kelly Anderson</t>
  </si>
  <si>
    <t>ORD0964</t>
  </si>
  <si>
    <t>Tammy Duncan</t>
  </si>
  <si>
    <t>ORD0965</t>
  </si>
  <si>
    <t>Shawna Smith</t>
  </si>
  <si>
    <t>ORD0966</t>
  </si>
  <si>
    <t>Jane Rodriguez</t>
  </si>
  <si>
    <t>ORD0967</t>
  </si>
  <si>
    <t>Thomas Shepard</t>
  </si>
  <si>
    <t>ORD0968</t>
  </si>
  <si>
    <t>Joshua Combs</t>
  </si>
  <si>
    <t>ORD0969</t>
  </si>
  <si>
    <t>Brenda Dean</t>
  </si>
  <si>
    <t>ORD0970</t>
  </si>
  <si>
    <t>Erin Salas</t>
  </si>
  <si>
    <t>ORD0971</t>
  </si>
  <si>
    <t>Charles Gonzalez</t>
  </si>
  <si>
    <t>ORD0972</t>
  </si>
  <si>
    <t>Nicole Cabrera</t>
  </si>
  <si>
    <t>ORD0973</t>
  </si>
  <si>
    <t>Dr. Matthew Perkins</t>
  </si>
  <si>
    <t>ORD0974</t>
  </si>
  <si>
    <t>Jennifer Hall</t>
  </si>
  <si>
    <t>ORD0975</t>
  </si>
  <si>
    <t>Johnny Lewis</t>
  </si>
  <si>
    <t>ORD0976</t>
  </si>
  <si>
    <t>Francisco Morales</t>
  </si>
  <si>
    <t>ORD0977</t>
  </si>
  <si>
    <t>John Gomez</t>
  </si>
  <si>
    <t>ORD0978</t>
  </si>
  <si>
    <t>Krista Nash</t>
  </si>
  <si>
    <t>ORD0979</t>
  </si>
  <si>
    <t>Karen Lloyd</t>
  </si>
  <si>
    <t>ORD0980</t>
  </si>
  <si>
    <t>Kathleen Melton</t>
  </si>
  <si>
    <t>ORD0981</t>
  </si>
  <si>
    <t>Carl Parker</t>
  </si>
  <si>
    <t>ORD0982</t>
  </si>
  <si>
    <t>Grant Hernandez</t>
  </si>
  <si>
    <t>ORD0983</t>
  </si>
  <si>
    <t>Jill Humphrey</t>
  </si>
  <si>
    <t>ORD0984</t>
  </si>
  <si>
    <t>Teresa Carpenter</t>
  </si>
  <si>
    <t>ORD0985</t>
  </si>
  <si>
    <t>Adam Nguyen</t>
  </si>
  <si>
    <t>ORD0986</t>
  </si>
  <si>
    <t>Judy Scott</t>
  </si>
  <si>
    <t>ORD0987</t>
  </si>
  <si>
    <t>Donna Perez</t>
  </si>
  <si>
    <t>ORD0988</t>
  </si>
  <si>
    <t>Roger Davis</t>
  </si>
  <si>
    <t>ORD0989</t>
  </si>
  <si>
    <t>Aaron Wood</t>
  </si>
  <si>
    <t>ORD0990</t>
  </si>
  <si>
    <t>Jeremiah Hernandez</t>
  </si>
  <si>
    <t>ORD0991</t>
  </si>
  <si>
    <t>Julie Long</t>
  </si>
  <si>
    <t>ORD0992</t>
  </si>
  <si>
    <t>Michelle Willis</t>
  </si>
  <si>
    <t>ORD0993</t>
  </si>
  <si>
    <t>Jacqueline Bell</t>
  </si>
  <si>
    <t>ORD0994</t>
  </si>
  <si>
    <t>Shane Riley</t>
  </si>
  <si>
    <t>ORD0995</t>
  </si>
  <si>
    <t>Ricky Kelly</t>
  </si>
  <si>
    <t>ORD0996</t>
  </si>
  <si>
    <t>Melissa Garcia</t>
  </si>
  <si>
    <t>ORD0997</t>
  </si>
  <si>
    <t>Tamara Navarro</t>
  </si>
  <si>
    <t>ORD0998</t>
  </si>
  <si>
    <t>Stephanie Bailey</t>
  </si>
  <si>
    <t>ORD0999</t>
  </si>
  <si>
    <t>Jonathon Cantu</t>
  </si>
  <si>
    <t>ORD1000</t>
  </si>
  <si>
    <t>Matthew Bradley</t>
  </si>
  <si>
    <t>Customer Name</t>
  </si>
  <si>
    <t>Unique Product</t>
  </si>
  <si>
    <t>Unique Product category</t>
  </si>
  <si>
    <t>Unique Region</t>
  </si>
  <si>
    <t>Unique Empolyee</t>
  </si>
  <si>
    <t>Average Sales</t>
  </si>
  <si>
    <t>Average Profit</t>
  </si>
  <si>
    <t>Avg Qty Sold</t>
  </si>
  <si>
    <t>Total Profit</t>
  </si>
  <si>
    <t>Total Cost</t>
  </si>
  <si>
    <t>Items</t>
  </si>
  <si>
    <t>Category</t>
  </si>
  <si>
    <t>Overalll Sales</t>
  </si>
  <si>
    <t>Total  Qutantity</t>
  </si>
  <si>
    <t>Total</t>
  </si>
  <si>
    <t xml:space="preserve">West </t>
  </si>
  <si>
    <t>Max</t>
  </si>
  <si>
    <t>Min</t>
  </si>
  <si>
    <t xml:space="preserve">Overall Max </t>
  </si>
  <si>
    <t>Product  Category</t>
  </si>
  <si>
    <t>Question</t>
  </si>
  <si>
    <t>Answers</t>
  </si>
  <si>
    <t>Avg Sales</t>
  </si>
  <si>
    <t>Avg Profit</t>
  </si>
  <si>
    <t>Product Category</t>
  </si>
  <si>
    <t xml:space="preserve">Max </t>
  </si>
  <si>
    <t>Customers</t>
  </si>
  <si>
    <t>Trim()</t>
  </si>
  <si>
    <t>Proper()</t>
  </si>
  <si>
    <t>Qutantity Purchased</t>
  </si>
  <si>
    <t>MAX</t>
  </si>
  <si>
    <t>Total Quantity</t>
  </si>
  <si>
    <t>Total Sales</t>
  </si>
  <si>
    <t>SOUTH</t>
  </si>
  <si>
    <t>Products</t>
  </si>
  <si>
    <t>NORTH</t>
  </si>
  <si>
    <t>WEST</t>
  </si>
  <si>
    <t>MIN</t>
  </si>
  <si>
    <t>EAST</t>
  </si>
  <si>
    <t>Working Days</t>
  </si>
  <si>
    <t>Delivery Duration</t>
  </si>
  <si>
    <t>Employee Working Hours</t>
  </si>
  <si>
    <t>Timing</t>
  </si>
  <si>
    <t>Hours</t>
  </si>
  <si>
    <t>Minutes</t>
  </si>
  <si>
    <t>Seconds</t>
  </si>
  <si>
    <t>HyperLink</t>
  </si>
  <si>
    <t>Most Sold Item West</t>
  </si>
  <si>
    <t>Less Sold Item East</t>
  </si>
  <si>
    <t>Overall Max sales is in West Region for Furniture</t>
  </si>
  <si>
    <t>Overall Min sales is in East Region for Office Supplies</t>
  </si>
  <si>
    <t>Order Date</t>
  </si>
  <si>
    <t>Year</t>
  </si>
  <si>
    <t>Month</t>
  </si>
  <si>
    <t>Day</t>
  </si>
  <si>
    <t>Delivery Date</t>
  </si>
  <si>
    <t xml:space="preserve">Ending </t>
  </si>
  <si>
    <t>* Max Quantity sold in South region is Printer</t>
  </si>
  <si>
    <t>* Min Quantity sold in South region is Pen</t>
  </si>
  <si>
    <t>*Max Quantity sold in West region is Chair</t>
  </si>
  <si>
    <t>*Min Quantity sold in West region is Sofa</t>
  </si>
  <si>
    <t>*Max Quantity sold in North region is Desk</t>
  </si>
  <si>
    <t>*Min Quantity sold in North region is Smarthphone</t>
  </si>
  <si>
    <t>*Max Quantity sold in East region is Cupboard</t>
  </si>
  <si>
    <t>*Min Quantity sold in East region is Pen</t>
  </si>
  <si>
    <t>Date</t>
  </si>
  <si>
    <t>Time</t>
  </si>
  <si>
    <t>Overall Min</t>
  </si>
  <si>
    <t>CUSTOMER NAME</t>
  </si>
  <si>
    <t>PRODUCT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</si>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</sst>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(&quot;$&quot;* #,##0.00_);_(&quot;$&quot;* \(#,##0.00\);_(&quot;$&quot;* &quot;-&quot;??_);_(@_)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3">
    <xf numFmtId="0" fontId="0" fillId="0" borderId="0" xfId="0"/>
    <xf numFmtId="0" fontId="6" fillId="2" borderId="1" xfId="0" applyFont="1" applyFill="1" applyBorder="1" applyAlignment="1">
      <alignment horizontal="center" vertical="top"/>
    </xf>
    <xf numFmtId="0" fontId="9" fillId="0" borderId="0" xfId="0" applyFont="1"/>
    <xf numFmtId="49" fontId="0" fillId="0" borderId="0" xfId="0" applyNumberFormat="1"/>
    <xf numFmtId="0" fontId="4" fillId="0" borderId="2" xfId="1" applyBorder="1" applyAlignment="1">
      <alignment horizontal="center" vertical="center"/>
    </xf>
    <xf numFmtId="0" fontId="0" fillId="0" borderId="2" xfId="0" applyBorder="1"/>
    <xf numFmtId="0" fontId="9" fillId="4" borderId="0" xfId="1" applyFont="1" applyFill="1" applyAlignment="1">
      <alignment horizontal="center" vertical="center"/>
    </xf>
    <xf numFmtId="2" fontId="0" fillId="0" borderId="0" xfId="0" applyNumberFormat="1"/>
    <xf numFmtId="0" fontId="2" fillId="0" borderId="0" xfId="0" applyFont="1"/>
    <xf numFmtId="0" fontId="17" fillId="0" borderId="0" xfId="3"/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16" fillId="12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2" fontId="0" fillId="15" borderId="2" xfId="0" applyNumberForma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9" fillId="7" borderId="17" xfId="0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9" borderId="2" xfId="0" applyFont="1" applyFill="1" applyBorder="1"/>
    <xf numFmtId="18" fontId="0" fillId="0" borderId="2" xfId="0" applyNumberFormat="1" applyBorder="1" applyAlignment="1">
      <alignment horizontal="center"/>
    </xf>
    <xf numFmtId="18" fontId="0" fillId="0" borderId="2" xfId="0" applyNumberFormat="1" applyBorder="1"/>
    <xf numFmtId="0" fontId="18" fillId="9" borderId="17" xfId="0" applyFont="1" applyFill="1" applyBorder="1" applyAlignment="1">
      <alignment horizontal="center"/>
    </xf>
    <xf numFmtId="0" fontId="18" fillId="9" borderId="19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14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9" fillId="9" borderId="2" xfId="0" applyFont="1" applyFill="1" applyBorder="1" applyAlignment="1">
      <alignment horizontal="center"/>
    </xf>
    <xf numFmtId="2" fontId="9" fillId="15" borderId="0" xfId="0" applyNumberFormat="1" applyFont="1" applyFill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9" fillId="17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7" fillId="0" borderId="2" xfId="3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7" fillId="0" borderId="21" xfId="3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15" borderId="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17" borderId="2" xfId="0" applyFont="1" applyFill="1" applyBorder="1" applyAlignment="1">
      <alignment horizontal="center"/>
    </xf>
    <xf numFmtId="0" fontId="13" fillId="17" borderId="2" xfId="0" applyFont="1" applyFill="1" applyBorder="1" applyAlignment="1">
      <alignment horizontal="center"/>
    </xf>
    <xf numFmtId="0" fontId="22" fillId="7" borderId="13" xfId="0" applyFont="1" applyFill="1" applyBorder="1" applyAlignment="1">
      <alignment horizontal="center"/>
    </xf>
    <xf numFmtId="0" fontId="22" fillId="7" borderId="14" xfId="0" applyFont="1" applyFill="1" applyBorder="1" applyAlignment="1">
      <alignment horizontal="center"/>
    </xf>
    <xf numFmtId="0" fontId="22" fillId="7" borderId="16" xfId="0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3" fillId="13" borderId="0" xfId="0" applyFont="1" applyFill="1" applyAlignment="1">
      <alignment horizontal="center"/>
    </xf>
  </cellXfs>
  <cellStyles count="4">
    <cellStyle name="Currency 2" xfId="2" xr:uid="{38B51010-00E7-4102-9709-606D220956D1}"/>
    <cellStyle name="Hyperlink" xfId="3" builtinId="8"/>
    <cellStyle name="Normal" xfId="0" builtinId="0"/>
    <cellStyle name="Normal 2" xfId="1" xr:uid="{332173B5-489D-428D-89D8-36B9AA0AA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B1" workbookViewId="0">
      <selection activeCell="N979" sqref="N979"/>
    </sheetView>
  </sheetViews>
  <sheetFormatPr defaultColWidth="14.44140625" defaultRowHeight="15" customHeight="1" x14ac:dyDescent="0.3"/>
  <cols>
    <col min="1" max="1" width="9.109375" customWidth="1"/>
    <col min="2" max="2" width="26" customWidth="1"/>
    <col min="3" max="3" width="14.109375" customWidth="1"/>
    <col min="4" max="4" width="16.6640625" customWidth="1"/>
    <col min="5" max="5" width="7.109375" customWidth="1"/>
    <col min="6" max="6" width="14.33203125" customWidth="1"/>
    <col min="7" max="7" width="10.33203125" customWidth="1"/>
    <col min="8" max="8" width="13.6640625" customWidth="1"/>
    <col min="9" max="10" width="9.109375" customWidth="1"/>
    <col min="11" max="11" width="11.33203125" customWidth="1"/>
    <col min="12" max="12" width="13.44140625" customWidth="1"/>
    <col min="13" max="13" width="15.88671875" customWidth="1"/>
    <col min="14" max="14" width="16.109375" customWidth="1"/>
    <col min="15" max="15" width="11.109375" customWidth="1"/>
    <col min="16" max="16" width="14.5546875" customWidth="1"/>
    <col min="17" max="17" width="11.77734375" customWidth="1"/>
    <col min="18" max="26" width="8.664062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 x14ac:dyDescent="0.3">
      <c r="A2" s="35" t="s">
        <v>16</v>
      </c>
      <c r="B2" s="35" t="s">
        <v>17</v>
      </c>
      <c r="C2" s="36" t="s">
        <v>18</v>
      </c>
      <c r="D2" s="35" t="s">
        <v>19</v>
      </c>
      <c r="E2" s="35" t="s">
        <v>20</v>
      </c>
      <c r="F2" s="35">
        <v>4</v>
      </c>
      <c r="G2" s="35">
        <v>1578.68</v>
      </c>
      <c r="H2" s="35">
        <v>6314.72</v>
      </c>
      <c r="I2" s="35">
        <v>4409.1400000000003</v>
      </c>
      <c r="J2" s="35">
        <v>1905.58</v>
      </c>
      <c r="K2" s="37">
        <v>45913</v>
      </c>
      <c r="L2" s="37">
        <v>45922</v>
      </c>
      <c r="M2" s="35" t="s">
        <v>21</v>
      </c>
      <c r="N2" s="35">
        <v>5</v>
      </c>
      <c r="O2" s="35" t="s">
        <v>22</v>
      </c>
      <c r="P2" s="35">
        <v>8.9</v>
      </c>
    </row>
    <row r="3" spans="1:16" ht="14.4" x14ac:dyDescent="0.3">
      <c r="A3" s="35" t="s">
        <v>23</v>
      </c>
      <c r="B3" s="35" t="s">
        <v>24</v>
      </c>
      <c r="C3" s="35" t="s">
        <v>18</v>
      </c>
      <c r="D3" s="35" t="s">
        <v>19</v>
      </c>
      <c r="E3" s="35" t="s">
        <v>25</v>
      </c>
      <c r="F3" s="35">
        <v>18</v>
      </c>
      <c r="G3" s="35">
        <v>1427.85</v>
      </c>
      <c r="H3" s="35">
        <v>25701.3</v>
      </c>
      <c r="I3" s="35">
        <v>15663.81</v>
      </c>
      <c r="J3" s="35">
        <v>10037.49</v>
      </c>
      <c r="K3" s="37">
        <v>46023</v>
      </c>
      <c r="L3" s="37">
        <v>46026</v>
      </c>
      <c r="M3" s="35" t="s">
        <v>26</v>
      </c>
      <c r="N3" s="35">
        <v>1</v>
      </c>
      <c r="O3" s="35" t="s">
        <v>27</v>
      </c>
      <c r="P3" s="35">
        <v>8.6</v>
      </c>
    </row>
    <row r="4" spans="1:16" ht="14.4" x14ac:dyDescent="0.3">
      <c r="A4" s="35" t="s">
        <v>28</v>
      </c>
      <c r="B4" s="35" t="s">
        <v>29</v>
      </c>
      <c r="C4" s="35" t="s">
        <v>30</v>
      </c>
      <c r="D4" s="35" t="s">
        <v>31</v>
      </c>
      <c r="E4" s="35" t="s">
        <v>32</v>
      </c>
      <c r="F4" s="35">
        <v>18</v>
      </c>
      <c r="G4" s="35">
        <v>3667.53</v>
      </c>
      <c r="H4" s="35">
        <v>66015.539999999994</v>
      </c>
      <c r="I4" s="35">
        <v>41337.25</v>
      </c>
      <c r="J4" s="35">
        <v>24678.29</v>
      </c>
      <c r="K4" s="37">
        <v>46152</v>
      </c>
      <c r="L4" s="37">
        <v>46161</v>
      </c>
      <c r="M4" s="35" t="s">
        <v>33</v>
      </c>
      <c r="N4" s="35">
        <v>5</v>
      </c>
      <c r="O4" s="35" t="s">
        <v>34</v>
      </c>
      <c r="P4" s="35">
        <v>7.3</v>
      </c>
    </row>
    <row r="5" spans="1:16" ht="14.4" x14ac:dyDescent="0.3">
      <c r="A5" s="35" t="s">
        <v>35</v>
      </c>
      <c r="B5" s="35" t="s">
        <v>36</v>
      </c>
      <c r="C5" s="35" t="s">
        <v>37</v>
      </c>
      <c r="D5" s="35" t="s">
        <v>19</v>
      </c>
      <c r="E5" s="35" t="s">
        <v>25</v>
      </c>
      <c r="F5" s="35">
        <v>1</v>
      </c>
      <c r="G5" s="35">
        <v>3550.31</v>
      </c>
      <c r="H5" s="35">
        <v>3550.31</v>
      </c>
      <c r="I5" s="35">
        <v>2061.79</v>
      </c>
      <c r="J5" s="35">
        <v>1488.52</v>
      </c>
      <c r="K5" s="37">
        <v>45483</v>
      </c>
      <c r="L5" s="37">
        <v>45491</v>
      </c>
      <c r="M5" s="35" t="s">
        <v>38</v>
      </c>
      <c r="N5" s="35">
        <v>4</v>
      </c>
      <c r="O5" s="35" t="s">
        <v>39</v>
      </c>
      <c r="P5" s="35">
        <v>6.5</v>
      </c>
    </row>
    <row r="6" spans="1:16" ht="14.4" x14ac:dyDescent="0.3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>
        <v>13</v>
      </c>
      <c r="G6" s="35">
        <v>1838.36</v>
      </c>
      <c r="H6" s="35">
        <v>23898.68</v>
      </c>
      <c r="I6" s="35">
        <v>17283.830000000002</v>
      </c>
      <c r="J6" s="35">
        <v>6614.85</v>
      </c>
      <c r="K6" s="37">
        <v>46052</v>
      </c>
      <c r="L6" s="37">
        <v>46062</v>
      </c>
      <c r="M6" s="35" t="s">
        <v>45</v>
      </c>
      <c r="N6" s="35">
        <v>1</v>
      </c>
      <c r="O6" s="35" t="s">
        <v>46</v>
      </c>
      <c r="P6" s="35">
        <v>8.6999999999999993</v>
      </c>
    </row>
    <row r="7" spans="1:16" ht="14.4" x14ac:dyDescent="0.3">
      <c r="A7" s="35" t="s">
        <v>47</v>
      </c>
      <c r="B7" s="35" t="s">
        <v>48</v>
      </c>
      <c r="C7" s="35" t="s">
        <v>49</v>
      </c>
      <c r="D7" s="35" t="s">
        <v>43</v>
      </c>
      <c r="E7" s="35" t="s">
        <v>32</v>
      </c>
      <c r="F7" s="35">
        <v>1</v>
      </c>
      <c r="G7" s="35">
        <v>4093.77</v>
      </c>
      <c r="H7" s="35">
        <v>4093.77</v>
      </c>
      <c r="I7" s="35">
        <v>2721.22</v>
      </c>
      <c r="J7" s="35">
        <v>1372.55</v>
      </c>
      <c r="K7" s="37">
        <v>45502</v>
      </c>
      <c r="L7" s="37">
        <v>45505</v>
      </c>
      <c r="M7" s="35" t="s">
        <v>50</v>
      </c>
      <c r="N7" s="35">
        <v>1</v>
      </c>
      <c r="O7" s="35" t="s">
        <v>51</v>
      </c>
      <c r="P7" s="35">
        <v>8.6</v>
      </c>
    </row>
    <row r="8" spans="1:16" ht="14.4" x14ac:dyDescent="0.3">
      <c r="A8" s="35" t="s">
        <v>52</v>
      </c>
      <c r="B8" s="35" t="s">
        <v>53</v>
      </c>
      <c r="C8" s="35" t="s">
        <v>42</v>
      </c>
      <c r="D8" s="35" t="s">
        <v>43</v>
      </c>
      <c r="E8" s="35" t="s">
        <v>32</v>
      </c>
      <c r="F8" s="35">
        <v>17</v>
      </c>
      <c r="G8" s="35">
        <v>2540.86</v>
      </c>
      <c r="H8" s="35">
        <v>43194.62</v>
      </c>
      <c r="I8" s="35">
        <v>22584.560000000001</v>
      </c>
      <c r="J8" s="35">
        <v>20610.060000000001</v>
      </c>
      <c r="K8" s="37">
        <v>45494</v>
      </c>
      <c r="L8" s="37">
        <v>45498</v>
      </c>
      <c r="M8" s="35" t="s">
        <v>21</v>
      </c>
      <c r="N8" s="35">
        <v>1</v>
      </c>
      <c r="O8" s="35" t="s">
        <v>54</v>
      </c>
      <c r="P8" s="35">
        <v>8.9</v>
      </c>
    </row>
    <row r="9" spans="1:16" ht="14.4" x14ac:dyDescent="0.3">
      <c r="A9" s="35" t="s">
        <v>55</v>
      </c>
      <c r="B9" s="35" t="s">
        <v>56</v>
      </c>
      <c r="C9" s="35" t="s">
        <v>57</v>
      </c>
      <c r="D9" s="35" t="s">
        <v>19</v>
      </c>
      <c r="E9" s="35" t="s">
        <v>44</v>
      </c>
      <c r="F9" s="35">
        <v>12</v>
      </c>
      <c r="G9" s="35">
        <v>4957.92</v>
      </c>
      <c r="H9" s="35">
        <v>59495.040000000001</v>
      </c>
      <c r="I9" s="35">
        <v>49409.66</v>
      </c>
      <c r="J9" s="35">
        <v>10085.379999999999</v>
      </c>
      <c r="K9" s="37">
        <v>46147</v>
      </c>
      <c r="L9" s="37">
        <v>46150</v>
      </c>
      <c r="M9" s="35" t="s">
        <v>58</v>
      </c>
      <c r="N9" s="35">
        <v>2</v>
      </c>
      <c r="O9" s="35" t="s">
        <v>59</v>
      </c>
      <c r="P9" s="35">
        <v>8</v>
      </c>
    </row>
    <row r="10" spans="1:16" ht="14.4" x14ac:dyDescent="0.3">
      <c r="A10" s="35" t="s">
        <v>60</v>
      </c>
      <c r="B10" s="35" t="s">
        <v>61</v>
      </c>
      <c r="C10" s="35" t="s">
        <v>62</v>
      </c>
      <c r="D10" s="35" t="s">
        <v>31</v>
      </c>
      <c r="E10" s="35" t="s">
        <v>44</v>
      </c>
      <c r="F10" s="35">
        <v>2</v>
      </c>
      <c r="G10" s="35">
        <v>3280.82</v>
      </c>
      <c r="H10" s="35">
        <v>6561.64</v>
      </c>
      <c r="I10" s="35">
        <v>5871.1</v>
      </c>
      <c r="J10" s="35">
        <v>690.54</v>
      </c>
      <c r="K10" s="37">
        <v>45607</v>
      </c>
      <c r="L10" s="37">
        <v>45610</v>
      </c>
      <c r="M10" s="35" t="s">
        <v>38</v>
      </c>
      <c r="N10" s="35">
        <v>1</v>
      </c>
      <c r="O10" s="35" t="s">
        <v>63</v>
      </c>
      <c r="P10" s="35">
        <v>6.6</v>
      </c>
    </row>
    <row r="11" spans="1:16" ht="14.4" x14ac:dyDescent="0.3">
      <c r="A11" s="35" t="s">
        <v>64</v>
      </c>
      <c r="B11" s="35" t="s">
        <v>65</v>
      </c>
      <c r="C11" s="35" t="s">
        <v>18</v>
      </c>
      <c r="D11" s="35" t="s">
        <v>19</v>
      </c>
      <c r="E11" s="35" t="s">
        <v>25</v>
      </c>
      <c r="F11" s="35">
        <v>14</v>
      </c>
      <c r="G11" s="35">
        <v>1988.47</v>
      </c>
      <c r="H11" s="35">
        <v>27838.58</v>
      </c>
      <c r="I11" s="35">
        <v>19080.73</v>
      </c>
      <c r="J11" s="35">
        <v>8757.85</v>
      </c>
      <c r="K11" s="37">
        <v>45712</v>
      </c>
      <c r="L11" s="37">
        <v>45716</v>
      </c>
      <c r="M11" s="35" t="s">
        <v>21</v>
      </c>
      <c r="N11" s="35">
        <v>2</v>
      </c>
      <c r="O11" s="35" t="s">
        <v>66</v>
      </c>
      <c r="P11" s="35">
        <v>9.4</v>
      </c>
    </row>
    <row r="12" spans="1:16" ht="14.4" x14ac:dyDescent="0.3">
      <c r="A12" s="35" t="s">
        <v>67</v>
      </c>
      <c r="B12" s="35" t="s">
        <v>68</v>
      </c>
      <c r="C12" s="35" t="s">
        <v>30</v>
      </c>
      <c r="D12" s="35" t="s">
        <v>31</v>
      </c>
      <c r="E12" s="35" t="s">
        <v>25</v>
      </c>
      <c r="F12" s="35">
        <v>15</v>
      </c>
      <c r="G12" s="35">
        <v>991.66</v>
      </c>
      <c r="H12" s="35">
        <v>14874.9</v>
      </c>
      <c r="I12" s="35">
        <v>11249.49</v>
      </c>
      <c r="J12" s="35">
        <v>3625.41</v>
      </c>
      <c r="K12" s="37">
        <v>45628</v>
      </c>
      <c r="L12" s="37">
        <v>45634</v>
      </c>
      <c r="M12" s="35" t="s">
        <v>69</v>
      </c>
      <c r="N12" s="35">
        <v>5</v>
      </c>
      <c r="O12" s="35" t="s">
        <v>66</v>
      </c>
      <c r="P12" s="35">
        <v>9.5</v>
      </c>
    </row>
    <row r="13" spans="1:16" ht="14.4" x14ac:dyDescent="0.3">
      <c r="A13" s="35" t="s">
        <v>70</v>
      </c>
      <c r="B13" s="35" t="s">
        <v>71</v>
      </c>
      <c r="C13" s="35" t="s">
        <v>72</v>
      </c>
      <c r="D13" s="35" t="s">
        <v>31</v>
      </c>
      <c r="E13" s="35" t="s">
        <v>20</v>
      </c>
      <c r="F13" s="35">
        <v>12</v>
      </c>
      <c r="G13" s="35">
        <v>4247.3</v>
      </c>
      <c r="H13" s="35">
        <v>50967.6</v>
      </c>
      <c r="I13" s="35">
        <v>39899.980000000003</v>
      </c>
      <c r="J13" s="35">
        <v>11067.62</v>
      </c>
      <c r="K13" s="37">
        <v>45786</v>
      </c>
      <c r="L13" s="37">
        <v>45795</v>
      </c>
      <c r="M13" s="35" t="s">
        <v>58</v>
      </c>
      <c r="N13" s="35">
        <v>3</v>
      </c>
      <c r="O13" s="35" t="s">
        <v>73</v>
      </c>
      <c r="P13" s="35">
        <v>6.8</v>
      </c>
    </row>
    <row r="14" spans="1:16" ht="14.4" x14ac:dyDescent="0.3">
      <c r="A14" s="35" t="s">
        <v>74</v>
      </c>
      <c r="B14" s="35" t="s">
        <v>75</v>
      </c>
      <c r="C14" s="35" t="s">
        <v>30</v>
      </c>
      <c r="D14" s="35" t="s">
        <v>31</v>
      </c>
      <c r="E14" s="35" t="s">
        <v>44</v>
      </c>
      <c r="F14" s="35">
        <v>10</v>
      </c>
      <c r="G14" s="35">
        <v>761.02</v>
      </c>
      <c r="H14" s="35">
        <v>7610.2</v>
      </c>
      <c r="I14" s="35">
        <v>4990.8500000000004</v>
      </c>
      <c r="J14" s="35">
        <v>2619.35</v>
      </c>
      <c r="K14" s="37">
        <v>45812</v>
      </c>
      <c r="L14" s="37">
        <v>45817</v>
      </c>
      <c r="M14" s="35" t="s">
        <v>21</v>
      </c>
      <c r="N14" s="35">
        <v>1</v>
      </c>
      <c r="O14" s="35" t="s">
        <v>76</v>
      </c>
      <c r="P14" s="35">
        <v>8.1</v>
      </c>
    </row>
    <row r="15" spans="1:16" ht="14.4" x14ac:dyDescent="0.3">
      <c r="A15" s="35" t="s">
        <v>77</v>
      </c>
      <c r="B15" s="35" t="s">
        <v>78</v>
      </c>
      <c r="C15" s="35" t="s">
        <v>42</v>
      </c>
      <c r="D15" s="35" t="s">
        <v>43</v>
      </c>
      <c r="E15" s="35" t="s">
        <v>32</v>
      </c>
      <c r="F15" s="35">
        <v>4</v>
      </c>
      <c r="G15" s="35">
        <v>2151.6999999999998</v>
      </c>
      <c r="H15" s="35">
        <v>8606.7999999999993</v>
      </c>
      <c r="I15" s="35">
        <v>7408.45</v>
      </c>
      <c r="J15" s="35">
        <v>1198.3499999999999</v>
      </c>
      <c r="K15" s="37">
        <v>45747</v>
      </c>
      <c r="L15" s="37">
        <v>45754</v>
      </c>
      <c r="M15" s="35" t="s">
        <v>38</v>
      </c>
      <c r="N15" s="35">
        <v>1</v>
      </c>
      <c r="O15" s="35" t="s">
        <v>79</v>
      </c>
      <c r="P15" s="35">
        <v>7.5</v>
      </c>
    </row>
    <row r="16" spans="1:16" ht="14.4" x14ac:dyDescent="0.3">
      <c r="A16" s="35" t="s">
        <v>80</v>
      </c>
      <c r="B16" s="35" t="s">
        <v>81</v>
      </c>
      <c r="C16" s="35" t="s">
        <v>62</v>
      </c>
      <c r="D16" s="35" t="s">
        <v>31</v>
      </c>
      <c r="E16" s="35" t="s">
        <v>20</v>
      </c>
      <c r="F16" s="35">
        <v>1</v>
      </c>
      <c r="G16" s="35">
        <v>1909.53</v>
      </c>
      <c r="H16" s="35">
        <v>1909.53</v>
      </c>
      <c r="I16" s="35">
        <v>1574.6</v>
      </c>
      <c r="J16" s="35">
        <v>334.93</v>
      </c>
      <c r="K16" s="37">
        <v>45765</v>
      </c>
      <c r="L16" s="37">
        <v>45766</v>
      </c>
      <c r="M16" s="35" t="s">
        <v>26</v>
      </c>
      <c r="N16" s="35">
        <v>4</v>
      </c>
      <c r="O16" s="35" t="s">
        <v>82</v>
      </c>
      <c r="P16" s="35">
        <v>8.5</v>
      </c>
    </row>
    <row r="17" spans="1:16" ht="14.4" x14ac:dyDescent="0.3">
      <c r="A17" s="35" t="s">
        <v>83</v>
      </c>
      <c r="B17" s="35" t="s">
        <v>84</v>
      </c>
      <c r="C17" s="35" t="s">
        <v>42</v>
      </c>
      <c r="D17" s="35" t="s">
        <v>43</v>
      </c>
      <c r="E17" s="35" t="s">
        <v>32</v>
      </c>
      <c r="F17" s="35">
        <v>13</v>
      </c>
      <c r="G17" s="35">
        <v>4687.55</v>
      </c>
      <c r="H17" s="35">
        <v>60938.15</v>
      </c>
      <c r="I17" s="35">
        <v>46078.82</v>
      </c>
      <c r="J17" s="35">
        <v>14859.33</v>
      </c>
      <c r="K17" s="37">
        <v>45880</v>
      </c>
      <c r="L17" s="37">
        <v>45883</v>
      </c>
      <c r="M17" s="35" t="s">
        <v>26</v>
      </c>
      <c r="N17" s="35">
        <v>4</v>
      </c>
      <c r="O17" s="35" t="s">
        <v>85</v>
      </c>
      <c r="P17" s="35">
        <v>7.1</v>
      </c>
    </row>
    <row r="18" spans="1:16" ht="14.4" x14ac:dyDescent="0.3">
      <c r="A18" s="35" t="s">
        <v>86</v>
      </c>
      <c r="B18" s="35" t="s">
        <v>87</v>
      </c>
      <c r="C18" s="35" t="s">
        <v>88</v>
      </c>
      <c r="D18" s="35" t="s">
        <v>31</v>
      </c>
      <c r="E18" s="35" t="s">
        <v>32</v>
      </c>
      <c r="F18" s="35">
        <v>17</v>
      </c>
      <c r="G18" s="35">
        <v>4690.3100000000004</v>
      </c>
      <c r="H18" s="35">
        <v>79735.27</v>
      </c>
      <c r="I18" s="35">
        <v>45830.53</v>
      </c>
      <c r="J18" s="35">
        <v>33904.74</v>
      </c>
      <c r="K18" s="37">
        <v>46152</v>
      </c>
      <c r="L18" s="37">
        <v>46153</v>
      </c>
      <c r="M18" s="35" t="s">
        <v>50</v>
      </c>
      <c r="N18" s="35">
        <v>5</v>
      </c>
      <c r="O18" s="35" t="s">
        <v>89</v>
      </c>
      <c r="P18" s="35">
        <v>7.7</v>
      </c>
    </row>
    <row r="19" spans="1:16" ht="14.4" x14ac:dyDescent="0.3">
      <c r="A19" s="35" t="s">
        <v>90</v>
      </c>
      <c r="B19" s="35" t="s">
        <v>91</v>
      </c>
      <c r="C19" s="35" t="s">
        <v>42</v>
      </c>
      <c r="D19" s="35" t="s">
        <v>43</v>
      </c>
      <c r="E19" s="35" t="s">
        <v>25</v>
      </c>
      <c r="F19" s="35">
        <v>19</v>
      </c>
      <c r="G19" s="35">
        <v>4107.3999999999996</v>
      </c>
      <c r="H19" s="35">
        <v>78040.600000000006</v>
      </c>
      <c r="I19" s="35">
        <v>57454.36</v>
      </c>
      <c r="J19" s="35">
        <v>20586.240000000002</v>
      </c>
      <c r="K19" s="37">
        <v>45814</v>
      </c>
      <c r="L19" s="37">
        <v>45817</v>
      </c>
      <c r="M19" s="35" t="s">
        <v>50</v>
      </c>
      <c r="N19" s="35">
        <v>3</v>
      </c>
      <c r="O19" s="35" t="s">
        <v>92</v>
      </c>
      <c r="P19" s="35">
        <v>6</v>
      </c>
    </row>
    <row r="20" spans="1:16" ht="14.4" x14ac:dyDescent="0.3">
      <c r="A20" s="35" t="s">
        <v>93</v>
      </c>
      <c r="B20" s="35" t="s">
        <v>94</v>
      </c>
      <c r="C20" s="35" t="s">
        <v>95</v>
      </c>
      <c r="D20" s="35" t="s">
        <v>19</v>
      </c>
      <c r="E20" s="35" t="s">
        <v>20</v>
      </c>
      <c r="F20" s="35">
        <v>8</v>
      </c>
      <c r="G20" s="35">
        <v>1560.78</v>
      </c>
      <c r="H20" s="35">
        <v>12486.24</v>
      </c>
      <c r="I20" s="35">
        <v>9150.61</v>
      </c>
      <c r="J20" s="35">
        <v>3335.63</v>
      </c>
      <c r="K20" s="37">
        <v>46104</v>
      </c>
      <c r="L20" s="37">
        <v>46112</v>
      </c>
      <c r="M20" s="35" t="s">
        <v>50</v>
      </c>
      <c r="N20" s="35">
        <v>3</v>
      </c>
      <c r="O20" s="35" t="s">
        <v>96</v>
      </c>
      <c r="P20" s="35">
        <v>7</v>
      </c>
    </row>
    <row r="21" spans="1:16" ht="15.75" customHeight="1" x14ac:dyDescent="0.3">
      <c r="A21" s="35" t="s">
        <v>97</v>
      </c>
      <c r="B21" s="35" t="s">
        <v>98</v>
      </c>
      <c r="C21" s="35" t="s">
        <v>72</v>
      </c>
      <c r="D21" s="35" t="s">
        <v>31</v>
      </c>
      <c r="E21" s="35" t="s">
        <v>44</v>
      </c>
      <c r="F21" s="35">
        <v>7</v>
      </c>
      <c r="G21" s="35">
        <v>581.16</v>
      </c>
      <c r="H21" s="35">
        <v>4068.12</v>
      </c>
      <c r="I21" s="35">
        <v>2668.67</v>
      </c>
      <c r="J21" s="35">
        <v>1399.45</v>
      </c>
      <c r="K21" s="37">
        <v>45805</v>
      </c>
      <c r="L21" s="37">
        <v>45814</v>
      </c>
      <c r="M21" s="35" t="s">
        <v>69</v>
      </c>
      <c r="N21" s="35">
        <v>4</v>
      </c>
      <c r="O21" s="35" t="s">
        <v>99</v>
      </c>
      <c r="P21" s="35">
        <v>8.1</v>
      </c>
    </row>
    <row r="22" spans="1:16" ht="15.75" customHeight="1" x14ac:dyDescent="0.3">
      <c r="A22" s="35" t="s">
        <v>100</v>
      </c>
      <c r="B22" s="35" t="s">
        <v>101</v>
      </c>
      <c r="C22" s="35" t="s">
        <v>42</v>
      </c>
      <c r="D22" s="35" t="s">
        <v>43</v>
      </c>
      <c r="E22" s="35" t="s">
        <v>44</v>
      </c>
      <c r="F22" s="35">
        <v>16</v>
      </c>
      <c r="G22" s="35">
        <v>3094.38</v>
      </c>
      <c r="H22" s="35">
        <v>49510.080000000002</v>
      </c>
      <c r="I22" s="35">
        <v>33974.06</v>
      </c>
      <c r="J22" s="35">
        <v>15536.02</v>
      </c>
      <c r="K22" s="37">
        <v>45623</v>
      </c>
      <c r="L22" s="37">
        <v>45626</v>
      </c>
      <c r="M22" s="35" t="s">
        <v>26</v>
      </c>
      <c r="N22" s="35">
        <v>1</v>
      </c>
      <c r="O22" s="35" t="s">
        <v>102</v>
      </c>
      <c r="P22" s="35">
        <v>6.7</v>
      </c>
    </row>
    <row r="23" spans="1:16" ht="15.75" customHeight="1" x14ac:dyDescent="0.3">
      <c r="A23" s="35" t="s">
        <v>103</v>
      </c>
      <c r="B23" s="35" t="s">
        <v>104</v>
      </c>
      <c r="C23" s="35" t="s">
        <v>88</v>
      </c>
      <c r="D23" s="35" t="s">
        <v>31</v>
      </c>
      <c r="E23" s="35" t="s">
        <v>44</v>
      </c>
      <c r="F23" s="35">
        <v>17</v>
      </c>
      <c r="G23" s="35">
        <v>4018.59</v>
      </c>
      <c r="H23" s="35">
        <v>68316.03</v>
      </c>
      <c r="I23" s="35">
        <v>51272.800000000003</v>
      </c>
      <c r="J23" s="35">
        <v>17043.23</v>
      </c>
      <c r="K23" s="37">
        <v>46092</v>
      </c>
      <c r="L23" s="37">
        <v>46101</v>
      </c>
      <c r="M23" s="35" t="s">
        <v>45</v>
      </c>
      <c r="N23" s="35">
        <v>5</v>
      </c>
      <c r="O23" s="35" t="s">
        <v>105</v>
      </c>
      <c r="P23" s="35">
        <v>7.1</v>
      </c>
    </row>
    <row r="24" spans="1:16" ht="15.75" customHeight="1" x14ac:dyDescent="0.3">
      <c r="A24" s="35" t="s">
        <v>106</v>
      </c>
      <c r="B24" s="35" t="s">
        <v>107</v>
      </c>
      <c r="C24" s="35" t="s">
        <v>95</v>
      </c>
      <c r="D24" s="35" t="s">
        <v>19</v>
      </c>
      <c r="E24" s="35" t="s">
        <v>25</v>
      </c>
      <c r="F24" s="35">
        <v>6</v>
      </c>
      <c r="G24" s="35">
        <v>3184.36</v>
      </c>
      <c r="H24" s="35">
        <v>19106.16</v>
      </c>
      <c r="I24" s="35">
        <v>10404.209999999999</v>
      </c>
      <c r="J24" s="35">
        <v>8701.9500000000007</v>
      </c>
      <c r="K24" s="37">
        <v>45826</v>
      </c>
      <c r="L24" s="37">
        <v>45832</v>
      </c>
      <c r="M24" s="35" t="s">
        <v>58</v>
      </c>
      <c r="N24" s="35">
        <v>5</v>
      </c>
      <c r="O24" s="35" t="s">
        <v>108</v>
      </c>
      <c r="P24" s="35">
        <v>6.3</v>
      </c>
    </row>
    <row r="25" spans="1:16" ht="15.75" customHeight="1" x14ac:dyDescent="0.3">
      <c r="A25" s="35" t="s">
        <v>109</v>
      </c>
      <c r="B25" s="35" t="s">
        <v>110</v>
      </c>
      <c r="C25" s="35" t="s">
        <v>30</v>
      </c>
      <c r="D25" s="35" t="s">
        <v>31</v>
      </c>
      <c r="E25" s="35" t="s">
        <v>25</v>
      </c>
      <c r="F25" s="35">
        <v>20</v>
      </c>
      <c r="G25" s="35">
        <v>267.77999999999997</v>
      </c>
      <c r="H25" s="35">
        <v>5355.6</v>
      </c>
      <c r="I25" s="35">
        <v>2790.07</v>
      </c>
      <c r="J25" s="35">
        <v>2565.5300000000002</v>
      </c>
      <c r="K25" s="37">
        <v>45603</v>
      </c>
      <c r="L25" s="37">
        <v>45613</v>
      </c>
      <c r="M25" s="35" t="s">
        <v>26</v>
      </c>
      <c r="N25" s="35">
        <v>5</v>
      </c>
      <c r="O25" s="35" t="s">
        <v>111</v>
      </c>
      <c r="P25" s="35">
        <v>7.6</v>
      </c>
    </row>
    <row r="26" spans="1:16" ht="15.75" customHeight="1" x14ac:dyDescent="0.3">
      <c r="A26" s="35" t="s">
        <v>112</v>
      </c>
      <c r="B26" s="35" t="s">
        <v>113</v>
      </c>
      <c r="C26" s="35" t="s">
        <v>72</v>
      </c>
      <c r="D26" s="35" t="s">
        <v>31</v>
      </c>
      <c r="E26" s="35" t="s">
        <v>20</v>
      </c>
      <c r="F26" s="35">
        <v>18</v>
      </c>
      <c r="G26" s="35">
        <v>1973.33</v>
      </c>
      <c r="H26" s="35">
        <v>35519.94</v>
      </c>
      <c r="I26" s="35">
        <v>18379.63</v>
      </c>
      <c r="J26" s="35">
        <v>17140.310000000001</v>
      </c>
      <c r="K26" s="37">
        <v>45520</v>
      </c>
      <c r="L26" s="37">
        <v>45521</v>
      </c>
      <c r="M26" s="35" t="s">
        <v>50</v>
      </c>
      <c r="N26" s="35">
        <v>3</v>
      </c>
      <c r="O26" s="35" t="s">
        <v>114</v>
      </c>
      <c r="P26" s="35">
        <v>8.3000000000000007</v>
      </c>
    </row>
    <row r="27" spans="1:16" ht="15.75" customHeight="1" x14ac:dyDescent="0.3">
      <c r="A27" s="35" t="s">
        <v>115</v>
      </c>
      <c r="B27" s="35" t="s">
        <v>116</v>
      </c>
      <c r="C27" s="35" t="s">
        <v>18</v>
      </c>
      <c r="D27" s="35" t="s">
        <v>19</v>
      </c>
      <c r="E27" s="35" t="s">
        <v>25</v>
      </c>
      <c r="F27" s="35">
        <v>10</v>
      </c>
      <c r="G27" s="35">
        <v>4872.29</v>
      </c>
      <c r="H27" s="35">
        <v>48722.9</v>
      </c>
      <c r="I27" s="35">
        <v>30720.080000000002</v>
      </c>
      <c r="J27" s="35">
        <v>18002.82</v>
      </c>
      <c r="K27" s="37">
        <v>45807</v>
      </c>
      <c r="L27" s="37">
        <v>45814</v>
      </c>
      <c r="M27" s="35" t="s">
        <v>69</v>
      </c>
      <c r="N27" s="35">
        <v>3</v>
      </c>
      <c r="O27" s="35" t="s">
        <v>117</v>
      </c>
      <c r="P27" s="35">
        <v>6.8</v>
      </c>
    </row>
    <row r="28" spans="1:16" ht="15.75" customHeight="1" x14ac:dyDescent="0.3">
      <c r="A28" s="35" t="s">
        <v>118</v>
      </c>
      <c r="B28" s="35" t="s">
        <v>119</v>
      </c>
      <c r="C28" s="35" t="s">
        <v>57</v>
      </c>
      <c r="D28" s="35" t="s">
        <v>19</v>
      </c>
      <c r="E28" s="35" t="s">
        <v>32</v>
      </c>
      <c r="F28" s="35">
        <v>12</v>
      </c>
      <c r="G28" s="35">
        <v>3399.13</v>
      </c>
      <c r="H28" s="35">
        <v>40789.56</v>
      </c>
      <c r="I28" s="35">
        <v>26160.75</v>
      </c>
      <c r="J28" s="35">
        <v>14628.81</v>
      </c>
      <c r="K28" s="37">
        <v>45643</v>
      </c>
      <c r="L28" s="37">
        <v>45645</v>
      </c>
      <c r="M28" s="35" t="s">
        <v>45</v>
      </c>
      <c r="N28" s="35">
        <v>3</v>
      </c>
      <c r="O28" s="35" t="s">
        <v>120</v>
      </c>
      <c r="P28" s="35">
        <v>6.9</v>
      </c>
    </row>
    <row r="29" spans="1:16" ht="15.75" customHeight="1" x14ac:dyDescent="0.3">
      <c r="A29" s="35" t="s">
        <v>121</v>
      </c>
      <c r="B29" s="35" t="s">
        <v>122</v>
      </c>
      <c r="C29" s="35" t="s">
        <v>42</v>
      </c>
      <c r="D29" s="35" t="s">
        <v>43</v>
      </c>
      <c r="E29" s="35" t="s">
        <v>44</v>
      </c>
      <c r="F29" s="35">
        <v>19</v>
      </c>
      <c r="G29" s="35">
        <v>352.92</v>
      </c>
      <c r="H29" s="35">
        <v>6705.48</v>
      </c>
      <c r="I29" s="35">
        <v>3564.37</v>
      </c>
      <c r="J29" s="35">
        <v>3141.11</v>
      </c>
      <c r="K29" s="37">
        <v>45666</v>
      </c>
      <c r="L29" s="37">
        <v>45675</v>
      </c>
      <c r="M29" s="35" t="s">
        <v>123</v>
      </c>
      <c r="N29" s="35">
        <v>2</v>
      </c>
      <c r="O29" s="35" t="s">
        <v>124</v>
      </c>
      <c r="P29" s="35">
        <v>8.5</v>
      </c>
    </row>
    <row r="30" spans="1:16" ht="15.75" customHeight="1" x14ac:dyDescent="0.3">
      <c r="A30" s="35" t="s">
        <v>125</v>
      </c>
      <c r="B30" s="35" t="s">
        <v>126</v>
      </c>
      <c r="C30" s="35" t="s">
        <v>57</v>
      </c>
      <c r="D30" s="35" t="s">
        <v>19</v>
      </c>
      <c r="E30" s="35" t="s">
        <v>32</v>
      </c>
      <c r="F30" s="35">
        <v>18</v>
      </c>
      <c r="G30" s="35">
        <v>1397.43</v>
      </c>
      <c r="H30" s="35">
        <v>25153.74</v>
      </c>
      <c r="I30" s="35">
        <v>16703.28</v>
      </c>
      <c r="J30" s="35">
        <v>8450.4599999999991</v>
      </c>
      <c r="K30" s="37">
        <v>45843</v>
      </c>
      <c r="L30" s="37">
        <v>45846</v>
      </c>
      <c r="M30" s="35" t="s">
        <v>26</v>
      </c>
      <c r="N30" s="35">
        <v>2</v>
      </c>
      <c r="O30" s="35" t="s">
        <v>127</v>
      </c>
      <c r="P30" s="35">
        <v>8.9</v>
      </c>
    </row>
    <row r="31" spans="1:16" ht="15.75" customHeight="1" x14ac:dyDescent="0.3">
      <c r="A31" s="35" t="s">
        <v>128</v>
      </c>
      <c r="B31" s="35" t="s">
        <v>129</v>
      </c>
      <c r="C31" s="35" t="s">
        <v>18</v>
      </c>
      <c r="D31" s="35" t="s">
        <v>19</v>
      </c>
      <c r="E31" s="35" t="s">
        <v>20</v>
      </c>
      <c r="F31" s="35">
        <v>17</v>
      </c>
      <c r="G31" s="35">
        <v>4186.24</v>
      </c>
      <c r="H31" s="35">
        <v>71166.080000000002</v>
      </c>
      <c r="I31" s="35">
        <v>58945.05</v>
      </c>
      <c r="J31" s="35">
        <v>12221.03</v>
      </c>
      <c r="K31" s="37">
        <v>45813</v>
      </c>
      <c r="L31" s="37">
        <v>45819</v>
      </c>
      <c r="M31" s="35" t="s">
        <v>50</v>
      </c>
      <c r="N31" s="35">
        <v>4</v>
      </c>
      <c r="O31" s="35" t="s">
        <v>130</v>
      </c>
      <c r="P31" s="35">
        <v>6.3</v>
      </c>
    </row>
    <row r="32" spans="1:16" ht="15.75" customHeight="1" x14ac:dyDescent="0.3">
      <c r="A32" s="35" t="s">
        <v>131</v>
      </c>
      <c r="B32" s="35" t="s">
        <v>132</v>
      </c>
      <c r="C32" s="35" t="s">
        <v>18</v>
      </c>
      <c r="D32" s="35" t="s">
        <v>19</v>
      </c>
      <c r="E32" s="35" t="s">
        <v>32</v>
      </c>
      <c r="F32" s="35">
        <v>1</v>
      </c>
      <c r="G32" s="35">
        <v>2612.0300000000002</v>
      </c>
      <c r="H32" s="35">
        <v>2612.0300000000002</v>
      </c>
      <c r="I32" s="35">
        <v>1575.12</v>
      </c>
      <c r="J32" s="35">
        <v>1036.9100000000001</v>
      </c>
      <c r="K32" s="37">
        <v>45480</v>
      </c>
      <c r="L32" s="37">
        <v>45485</v>
      </c>
      <c r="M32" s="35" t="s">
        <v>38</v>
      </c>
      <c r="N32" s="35">
        <v>3</v>
      </c>
      <c r="O32" s="35" t="s">
        <v>133</v>
      </c>
      <c r="P32" s="35">
        <v>6.5</v>
      </c>
    </row>
    <row r="33" spans="1:16" ht="15.75" customHeight="1" x14ac:dyDescent="0.3">
      <c r="A33" s="35" t="s">
        <v>134</v>
      </c>
      <c r="B33" s="35" t="s">
        <v>135</v>
      </c>
      <c r="C33" s="35" t="s">
        <v>72</v>
      </c>
      <c r="D33" s="35" t="s">
        <v>31</v>
      </c>
      <c r="E33" s="35" t="s">
        <v>32</v>
      </c>
      <c r="F33" s="35">
        <v>13</v>
      </c>
      <c r="G33" s="35">
        <v>3740.17</v>
      </c>
      <c r="H33" s="35">
        <v>48622.21</v>
      </c>
      <c r="I33" s="35">
        <v>41341.160000000003</v>
      </c>
      <c r="J33" s="35">
        <v>7281.05</v>
      </c>
      <c r="K33" s="37">
        <v>45808</v>
      </c>
      <c r="L33" s="37">
        <v>45812</v>
      </c>
      <c r="M33" s="35" t="s">
        <v>21</v>
      </c>
      <c r="N33" s="35">
        <v>3</v>
      </c>
      <c r="O33" s="35" t="s">
        <v>136</v>
      </c>
      <c r="P33" s="35">
        <v>6.3</v>
      </c>
    </row>
    <row r="34" spans="1:16" ht="15.75" customHeight="1" x14ac:dyDescent="0.3">
      <c r="A34" s="35" t="s">
        <v>137</v>
      </c>
      <c r="B34" s="35" t="s">
        <v>138</v>
      </c>
      <c r="C34" s="35" t="s">
        <v>139</v>
      </c>
      <c r="D34" s="35" t="s">
        <v>31</v>
      </c>
      <c r="E34" s="35" t="s">
        <v>44</v>
      </c>
      <c r="F34" s="35">
        <v>12</v>
      </c>
      <c r="G34" s="35">
        <v>3480.93</v>
      </c>
      <c r="H34" s="35">
        <v>41771.160000000003</v>
      </c>
      <c r="I34" s="35">
        <v>23955</v>
      </c>
      <c r="J34" s="35">
        <v>17816.16</v>
      </c>
      <c r="K34" s="37">
        <v>46026</v>
      </c>
      <c r="L34" s="37">
        <v>46032</v>
      </c>
      <c r="M34" s="35" t="s">
        <v>21</v>
      </c>
      <c r="N34" s="35">
        <v>2</v>
      </c>
      <c r="O34" s="35" t="s">
        <v>73</v>
      </c>
      <c r="P34" s="35">
        <v>7</v>
      </c>
    </row>
    <row r="35" spans="1:16" ht="15.75" customHeight="1" x14ac:dyDescent="0.3">
      <c r="A35" s="35" t="s">
        <v>140</v>
      </c>
      <c r="B35" s="35" t="s">
        <v>141</v>
      </c>
      <c r="C35" s="35" t="s">
        <v>95</v>
      </c>
      <c r="D35" s="35" t="s">
        <v>19</v>
      </c>
      <c r="E35" s="35" t="s">
        <v>32</v>
      </c>
      <c r="F35" s="35">
        <v>18</v>
      </c>
      <c r="G35" s="35">
        <v>4419.1000000000004</v>
      </c>
      <c r="H35" s="35">
        <v>79543.8</v>
      </c>
      <c r="I35" s="35">
        <v>47654.84</v>
      </c>
      <c r="J35" s="35">
        <v>31888.959999999999</v>
      </c>
      <c r="K35" s="37">
        <v>45629</v>
      </c>
      <c r="L35" s="37">
        <v>45639</v>
      </c>
      <c r="M35" s="35" t="s">
        <v>50</v>
      </c>
      <c r="N35" s="35">
        <v>4</v>
      </c>
      <c r="O35" s="35" t="s">
        <v>79</v>
      </c>
      <c r="P35" s="35">
        <v>7.7</v>
      </c>
    </row>
    <row r="36" spans="1:16" ht="15.75" customHeight="1" x14ac:dyDescent="0.3">
      <c r="A36" s="35" t="s">
        <v>142</v>
      </c>
      <c r="B36" s="35" t="s">
        <v>143</v>
      </c>
      <c r="C36" s="35" t="s">
        <v>144</v>
      </c>
      <c r="D36" s="35" t="s">
        <v>19</v>
      </c>
      <c r="E36" s="35" t="s">
        <v>20</v>
      </c>
      <c r="F36" s="35">
        <v>10</v>
      </c>
      <c r="G36" s="35">
        <v>4243.55</v>
      </c>
      <c r="H36" s="35">
        <v>42435.5</v>
      </c>
      <c r="I36" s="35">
        <v>29127.759999999998</v>
      </c>
      <c r="J36" s="35">
        <v>13307.74</v>
      </c>
      <c r="K36" s="37">
        <v>45916</v>
      </c>
      <c r="L36" s="37">
        <v>45925</v>
      </c>
      <c r="M36" s="35" t="s">
        <v>69</v>
      </c>
      <c r="N36" s="35">
        <v>2</v>
      </c>
      <c r="O36" s="35" t="s">
        <v>145</v>
      </c>
      <c r="P36" s="35">
        <v>9.4</v>
      </c>
    </row>
    <row r="37" spans="1:16" ht="15.75" customHeight="1" x14ac:dyDescent="0.3">
      <c r="A37" s="35" t="s">
        <v>146</v>
      </c>
      <c r="B37" s="35" t="s">
        <v>147</v>
      </c>
      <c r="C37" s="35" t="s">
        <v>144</v>
      </c>
      <c r="D37" s="35" t="s">
        <v>19</v>
      </c>
      <c r="E37" s="35" t="s">
        <v>44</v>
      </c>
      <c r="F37" s="35">
        <v>16</v>
      </c>
      <c r="G37" s="35">
        <v>2535.1799999999998</v>
      </c>
      <c r="H37" s="35">
        <v>40562.879999999997</v>
      </c>
      <c r="I37" s="35">
        <v>31992.98</v>
      </c>
      <c r="J37" s="35">
        <v>8569.9</v>
      </c>
      <c r="K37" s="37">
        <v>46117</v>
      </c>
      <c r="L37" s="37">
        <v>46121</v>
      </c>
      <c r="M37" s="35" t="s">
        <v>45</v>
      </c>
      <c r="N37" s="35">
        <v>2</v>
      </c>
      <c r="O37" s="35" t="s">
        <v>148</v>
      </c>
      <c r="P37" s="35">
        <v>9.4</v>
      </c>
    </row>
    <row r="38" spans="1:16" ht="15.75" customHeight="1" x14ac:dyDescent="0.3">
      <c r="A38" s="35" t="s">
        <v>149</v>
      </c>
      <c r="B38" s="35" t="s">
        <v>150</v>
      </c>
      <c r="C38" s="35" t="s">
        <v>49</v>
      </c>
      <c r="D38" s="35" t="s">
        <v>43</v>
      </c>
      <c r="E38" s="35" t="s">
        <v>32</v>
      </c>
      <c r="F38" s="35">
        <v>10</v>
      </c>
      <c r="G38" s="35">
        <v>2467.5700000000002</v>
      </c>
      <c r="H38" s="35">
        <v>24675.7</v>
      </c>
      <c r="I38" s="35">
        <v>16242.09</v>
      </c>
      <c r="J38" s="35">
        <v>8433.61</v>
      </c>
      <c r="K38" s="37">
        <v>45913</v>
      </c>
      <c r="L38" s="37">
        <v>45917</v>
      </c>
      <c r="M38" s="35" t="s">
        <v>21</v>
      </c>
      <c r="N38" s="35">
        <v>3</v>
      </c>
      <c r="O38" s="35" t="s">
        <v>151</v>
      </c>
      <c r="P38" s="35">
        <v>6.1</v>
      </c>
    </row>
    <row r="39" spans="1:16" ht="15.75" customHeight="1" x14ac:dyDescent="0.3">
      <c r="A39" s="35" t="s">
        <v>152</v>
      </c>
      <c r="B39" s="35" t="s">
        <v>153</v>
      </c>
      <c r="C39" s="35" t="s">
        <v>139</v>
      </c>
      <c r="D39" s="35" t="s">
        <v>31</v>
      </c>
      <c r="E39" s="35" t="s">
        <v>20</v>
      </c>
      <c r="F39" s="35">
        <v>7</v>
      </c>
      <c r="G39" s="35">
        <v>3511.87</v>
      </c>
      <c r="H39" s="35">
        <v>24583.09</v>
      </c>
      <c r="I39" s="35">
        <v>14650.99</v>
      </c>
      <c r="J39" s="35">
        <v>9932.1</v>
      </c>
      <c r="K39" s="37">
        <v>45726</v>
      </c>
      <c r="L39" s="37">
        <v>45728</v>
      </c>
      <c r="M39" s="35" t="s">
        <v>21</v>
      </c>
      <c r="N39" s="35">
        <v>5</v>
      </c>
      <c r="O39" s="35" t="s">
        <v>154</v>
      </c>
      <c r="P39" s="35">
        <v>7.5</v>
      </c>
    </row>
    <row r="40" spans="1:16" ht="15.75" customHeight="1" x14ac:dyDescent="0.3">
      <c r="A40" s="35" t="s">
        <v>155</v>
      </c>
      <c r="B40" s="35" t="s">
        <v>156</v>
      </c>
      <c r="C40" s="35" t="s">
        <v>72</v>
      </c>
      <c r="D40" s="35" t="s">
        <v>31</v>
      </c>
      <c r="E40" s="35" t="s">
        <v>25</v>
      </c>
      <c r="F40" s="35">
        <v>3</v>
      </c>
      <c r="G40" s="35">
        <v>2167.58</v>
      </c>
      <c r="H40" s="35">
        <v>6502.74</v>
      </c>
      <c r="I40" s="35">
        <v>5214.8100000000004</v>
      </c>
      <c r="J40" s="35">
        <v>1287.93</v>
      </c>
      <c r="K40" s="37">
        <v>45752</v>
      </c>
      <c r="L40" s="37">
        <v>45761</v>
      </c>
      <c r="M40" s="35" t="s">
        <v>50</v>
      </c>
      <c r="N40" s="35">
        <v>5</v>
      </c>
      <c r="O40" s="35" t="s">
        <v>82</v>
      </c>
      <c r="P40" s="35">
        <v>8.4</v>
      </c>
    </row>
    <row r="41" spans="1:16" ht="15.75" customHeight="1" x14ac:dyDescent="0.3">
      <c r="A41" s="35" t="s">
        <v>157</v>
      </c>
      <c r="B41" s="35" t="s">
        <v>158</v>
      </c>
      <c r="C41" s="35" t="s">
        <v>18</v>
      </c>
      <c r="D41" s="35" t="s">
        <v>19</v>
      </c>
      <c r="E41" s="35" t="s">
        <v>32</v>
      </c>
      <c r="F41" s="35">
        <v>2</v>
      </c>
      <c r="G41" s="35">
        <v>326.99</v>
      </c>
      <c r="H41" s="35">
        <v>653.98</v>
      </c>
      <c r="I41" s="35">
        <v>374.73</v>
      </c>
      <c r="J41" s="35">
        <v>279.25</v>
      </c>
      <c r="K41" s="37">
        <v>45799</v>
      </c>
      <c r="L41" s="37">
        <v>45803</v>
      </c>
      <c r="M41" s="35" t="s">
        <v>33</v>
      </c>
      <c r="N41" s="35">
        <v>1</v>
      </c>
      <c r="O41" s="35" t="s">
        <v>159</v>
      </c>
      <c r="P41" s="35">
        <v>6.8</v>
      </c>
    </row>
    <row r="42" spans="1:16" ht="15.75" customHeight="1" x14ac:dyDescent="0.3">
      <c r="A42" s="35" t="s">
        <v>160</v>
      </c>
      <c r="B42" s="35" t="s">
        <v>161</v>
      </c>
      <c r="C42" s="35" t="s">
        <v>37</v>
      </c>
      <c r="D42" s="35" t="s">
        <v>19</v>
      </c>
      <c r="E42" s="35" t="s">
        <v>25</v>
      </c>
      <c r="F42" s="35">
        <v>12</v>
      </c>
      <c r="G42" s="35">
        <v>1376.34</v>
      </c>
      <c r="H42" s="35">
        <v>16516.080000000002</v>
      </c>
      <c r="I42" s="35">
        <v>10337.790000000001</v>
      </c>
      <c r="J42" s="35">
        <v>6178.29</v>
      </c>
      <c r="K42" s="37">
        <v>45635</v>
      </c>
      <c r="L42" s="37">
        <v>45637</v>
      </c>
      <c r="M42" s="35" t="s">
        <v>45</v>
      </c>
      <c r="N42" s="35">
        <v>5</v>
      </c>
      <c r="O42" s="35" t="s">
        <v>162</v>
      </c>
      <c r="P42" s="35">
        <v>8.1999999999999993</v>
      </c>
    </row>
    <row r="43" spans="1:16" ht="15.75" customHeight="1" x14ac:dyDescent="0.3">
      <c r="A43" s="35" t="s">
        <v>163</v>
      </c>
      <c r="B43" s="35" t="s">
        <v>164</v>
      </c>
      <c r="C43" s="35" t="s">
        <v>62</v>
      </c>
      <c r="D43" s="35" t="s">
        <v>31</v>
      </c>
      <c r="E43" s="35" t="s">
        <v>20</v>
      </c>
      <c r="F43" s="35">
        <v>8</v>
      </c>
      <c r="G43" s="35">
        <v>2932.22</v>
      </c>
      <c r="H43" s="35">
        <v>23457.759999999998</v>
      </c>
      <c r="I43" s="35">
        <v>13646.01</v>
      </c>
      <c r="J43" s="35">
        <v>9811.75</v>
      </c>
      <c r="K43" s="37">
        <v>45992</v>
      </c>
      <c r="L43" s="37">
        <v>45994</v>
      </c>
      <c r="M43" s="35" t="s">
        <v>21</v>
      </c>
      <c r="N43" s="35">
        <v>3</v>
      </c>
      <c r="O43" s="35" t="s">
        <v>165</v>
      </c>
      <c r="P43" s="35">
        <v>6.1</v>
      </c>
    </row>
    <row r="44" spans="1:16" ht="15.75" customHeight="1" x14ac:dyDescent="0.3">
      <c r="A44" s="35" t="s">
        <v>166</v>
      </c>
      <c r="B44" s="35" t="s">
        <v>167</v>
      </c>
      <c r="C44" s="35" t="s">
        <v>168</v>
      </c>
      <c r="D44" s="35" t="s">
        <v>43</v>
      </c>
      <c r="E44" s="35" t="s">
        <v>25</v>
      </c>
      <c r="F44" s="35">
        <v>5</v>
      </c>
      <c r="G44" s="35">
        <v>3777.49</v>
      </c>
      <c r="H44" s="35">
        <v>18887.45</v>
      </c>
      <c r="I44" s="35">
        <v>10978.7</v>
      </c>
      <c r="J44" s="35">
        <v>7908.75</v>
      </c>
      <c r="K44" s="37">
        <v>46132</v>
      </c>
      <c r="L44" s="37">
        <v>46135</v>
      </c>
      <c r="M44" s="35" t="s">
        <v>123</v>
      </c>
      <c r="N44" s="35">
        <v>2</v>
      </c>
      <c r="O44" s="35" t="s">
        <v>169</v>
      </c>
      <c r="P44" s="35">
        <v>6.1</v>
      </c>
    </row>
    <row r="45" spans="1:16" ht="15.75" customHeight="1" x14ac:dyDescent="0.3">
      <c r="A45" s="35" t="s">
        <v>170</v>
      </c>
      <c r="B45" s="35" t="s">
        <v>171</v>
      </c>
      <c r="C45" s="35" t="s">
        <v>168</v>
      </c>
      <c r="D45" s="35" t="s">
        <v>43</v>
      </c>
      <c r="E45" s="35" t="s">
        <v>20</v>
      </c>
      <c r="F45" s="35">
        <v>3</v>
      </c>
      <c r="G45" s="35">
        <v>1195.02</v>
      </c>
      <c r="H45" s="35">
        <v>3585.06</v>
      </c>
      <c r="I45" s="35">
        <v>2786.04</v>
      </c>
      <c r="J45" s="35">
        <v>799.02</v>
      </c>
      <c r="K45" s="37">
        <v>46007</v>
      </c>
      <c r="L45" s="37">
        <v>46016</v>
      </c>
      <c r="M45" s="35" t="s">
        <v>123</v>
      </c>
      <c r="N45" s="35">
        <v>4</v>
      </c>
      <c r="O45" s="35" t="s">
        <v>172</v>
      </c>
      <c r="P45" s="35">
        <v>7.7</v>
      </c>
    </row>
    <row r="46" spans="1:16" ht="15.75" customHeight="1" x14ac:dyDescent="0.3">
      <c r="A46" s="35" t="s">
        <v>173</v>
      </c>
      <c r="B46" s="35" t="s">
        <v>174</v>
      </c>
      <c r="C46" s="35" t="s">
        <v>95</v>
      </c>
      <c r="D46" s="35" t="s">
        <v>19</v>
      </c>
      <c r="E46" s="35" t="s">
        <v>20</v>
      </c>
      <c r="F46" s="35">
        <v>14</v>
      </c>
      <c r="G46" s="35">
        <v>1904.14</v>
      </c>
      <c r="H46" s="35">
        <v>26657.96</v>
      </c>
      <c r="I46" s="35">
        <v>19571.080000000002</v>
      </c>
      <c r="J46" s="35">
        <v>7086.88</v>
      </c>
      <c r="K46" s="37">
        <v>45538</v>
      </c>
      <c r="L46" s="37">
        <v>45544</v>
      </c>
      <c r="M46" s="35" t="s">
        <v>50</v>
      </c>
      <c r="N46" s="35">
        <v>2</v>
      </c>
      <c r="O46" s="35" t="s">
        <v>175</v>
      </c>
      <c r="P46" s="35">
        <v>8.9</v>
      </c>
    </row>
    <row r="47" spans="1:16" ht="15.75" customHeight="1" x14ac:dyDescent="0.3">
      <c r="A47" s="35" t="s">
        <v>176</v>
      </c>
      <c r="B47" s="35" t="s">
        <v>177</v>
      </c>
      <c r="C47" s="35" t="s">
        <v>49</v>
      </c>
      <c r="D47" s="35" t="s">
        <v>43</v>
      </c>
      <c r="E47" s="35" t="s">
        <v>20</v>
      </c>
      <c r="F47" s="35">
        <v>7</v>
      </c>
      <c r="G47" s="35">
        <v>1040.8</v>
      </c>
      <c r="H47" s="35">
        <v>7285.6</v>
      </c>
      <c r="I47" s="35">
        <v>5260.34</v>
      </c>
      <c r="J47" s="35">
        <v>2025.26</v>
      </c>
      <c r="K47" s="37">
        <v>45606</v>
      </c>
      <c r="L47" s="37">
        <v>45616</v>
      </c>
      <c r="M47" s="35" t="s">
        <v>50</v>
      </c>
      <c r="N47" s="35">
        <v>2</v>
      </c>
      <c r="O47" s="35" t="s">
        <v>178</v>
      </c>
      <c r="P47" s="35">
        <v>7.3</v>
      </c>
    </row>
    <row r="48" spans="1:16" ht="15.75" customHeight="1" x14ac:dyDescent="0.3">
      <c r="A48" s="35" t="s">
        <v>179</v>
      </c>
      <c r="B48" s="35" t="s">
        <v>180</v>
      </c>
      <c r="C48" s="35" t="s">
        <v>49</v>
      </c>
      <c r="D48" s="35" t="s">
        <v>43</v>
      </c>
      <c r="E48" s="35" t="s">
        <v>44</v>
      </c>
      <c r="F48" s="35">
        <v>3</v>
      </c>
      <c r="G48" s="35">
        <v>1841.45</v>
      </c>
      <c r="H48" s="35">
        <v>5524.35</v>
      </c>
      <c r="I48" s="35">
        <v>4436.67</v>
      </c>
      <c r="J48" s="35">
        <v>1087.68</v>
      </c>
      <c r="K48" s="37">
        <v>46082</v>
      </c>
      <c r="L48" s="37">
        <v>46086</v>
      </c>
      <c r="M48" s="35" t="s">
        <v>181</v>
      </c>
      <c r="N48" s="35">
        <v>3</v>
      </c>
      <c r="O48" s="35" t="s">
        <v>151</v>
      </c>
      <c r="P48" s="35">
        <v>8.3000000000000007</v>
      </c>
    </row>
    <row r="49" spans="1:16" ht="15.75" customHeight="1" x14ac:dyDescent="0.3">
      <c r="A49" s="35" t="s">
        <v>182</v>
      </c>
      <c r="B49" s="35" t="s">
        <v>183</v>
      </c>
      <c r="C49" s="35" t="s">
        <v>57</v>
      </c>
      <c r="D49" s="35" t="s">
        <v>19</v>
      </c>
      <c r="E49" s="35" t="s">
        <v>25</v>
      </c>
      <c r="F49" s="35">
        <v>6</v>
      </c>
      <c r="G49" s="35">
        <v>3881.06</v>
      </c>
      <c r="H49" s="35">
        <v>23286.36</v>
      </c>
      <c r="I49" s="35">
        <v>19228.59</v>
      </c>
      <c r="J49" s="35">
        <v>4057.77</v>
      </c>
      <c r="K49" s="37">
        <v>45779</v>
      </c>
      <c r="L49" s="37">
        <v>45789</v>
      </c>
      <c r="M49" s="35" t="s">
        <v>123</v>
      </c>
      <c r="N49" s="35">
        <v>1</v>
      </c>
      <c r="O49" s="35" t="s">
        <v>184</v>
      </c>
      <c r="P49" s="35">
        <v>8.1999999999999993</v>
      </c>
    </row>
    <row r="50" spans="1:16" ht="15.75" customHeight="1" x14ac:dyDescent="0.3">
      <c r="A50" s="35" t="s">
        <v>185</v>
      </c>
      <c r="B50" s="35" t="s">
        <v>186</v>
      </c>
      <c r="C50" s="35" t="s">
        <v>30</v>
      </c>
      <c r="D50" s="35" t="s">
        <v>31</v>
      </c>
      <c r="E50" s="35" t="s">
        <v>20</v>
      </c>
      <c r="F50" s="35">
        <v>17</v>
      </c>
      <c r="G50" s="35">
        <v>4410.57</v>
      </c>
      <c r="H50" s="35">
        <v>74979.69</v>
      </c>
      <c r="I50" s="35">
        <v>59559.51</v>
      </c>
      <c r="J50" s="35">
        <v>15420.18</v>
      </c>
      <c r="K50" s="37">
        <v>45701</v>
      </c>
      <c r="L50" s="37">
        <v>45703</v>
      </c>
      <c r="M50" s="35" t="s">
        <v>181</v>
      </c>
      <c r="N50" s="35">
        <v>5</v>
      </c>
      <c r="O50" s="35" t="s">
        <v>187</v>
      </c>
      <c r="P50" s="35">
        <v>9.6</v>
      </c>
    </row>
    <row r="51" spans="1:16" ht="15.75" customHeight="1" x14ac:dyDescent="0.3">
      <c r="A51" s="35" t="s">
        <v>188</v>
      </c>
      <c r="B51" s="35" t="s">
        <v>189</v>
      </c>
      <c r="C51" s="35" t="s">
        <v>95</v>
      </c>
      <c r="D51" s="35" t="s">
        <v>19</v>
      </c>
      <c r="E51" s="35" t="s">
        <v>20</v>
      </c>
      <c r="F51" s="35">
        <v>1</v>
      </c>
      <c r="G51" s="35">
        <v>4982.5</v>
      </c>
      <c r="H51" s="35">
        <v>4982.5</v>
      </c>
      <c r="I51" s="35">
        <v>4359.99</v>
      </c>
      <c r="J51" s="35">
        <v>622.51</v>
      </c>
      <c r="K51" s="37">
        <v>45787</v>
      </c>
      <c r="L51" s="37">
        <v>45790</v>
      </c>
      <c r="M51" s="35" t="s">
        <v>38</v>
      </c>
      <c r="N51" s="35">
        <v>2</v>
      </c>
      <c r="O51" s="35" t="s">
        <v>82</v>
      </c>
      <c r="P51" s="35">
        <v>9.5</v>
      </c>
    </row>
    <row r="52" spans="1:16" ht="15.75" customHeight="1" x14ac:dyDescent="0.3">
      <c r="A52" s="35" t="s">
        <v>190</v>
      </c>
      <c r="B52" s="35" t="s">
        <v>191</v>
      </c>
      <c r="C52" s="35" t="s">
        <v>144</v>
      </c>
      <c r="D52" s="35" t="s">
        <v>19</v>
      </c>
      <c r="E52" s="35" t="s">
        <v>20</v>
      </c>
      <c r="F52" s="35">
        <v>14</v>
      </c>
      <c r="G52" s="35">
        <v>2778.81</v>
      </c>
      <c r="H52" s="35">
        <v>38903.339999999997</v>
      </c>
      <c r="I52" s="35">
        <v>31496.68</v>
      </c>
      <c r="J52" s="35">
        <v>7406.66</v>
      </c>
      <c r="K52" s="37">
        <v>45757</v>
      </c>
      <c r="L52" s="37">
        <v>45767</v>
      </c>
      <c r="M52" s="35" t="s">
        <v>58</v>
      </c>
      <c r="N52" s="35">
        <v>4</v>
      </c>
      <c r="O52" s="35" t="s">
        <v>192</v>
      </c>
      <c r="P52" s="35">
        <v>9.6999999999999993</v>
      </c>
    </row>
    <row r="53" spans="1:16" ht="15.75" customHeight="1" x14ac:dyDescent="0.3">
      <c r="A53" s="35" t="s">
        <v>193</v>
      </c>
      <c r="B53" s="35" t="s">
        <v>194</v>
      </c>
      <c r="C53" s="35" t="s">
        <v>195</v>
      </c>
      <c r="D53" s="35" t="s">
        <v>43</v>
      </c>
      <c r="E53" s="35" t="s">
        <v>20</v>
      </c>
      <c r="F53" s="35">
        <v>19</v>
      </c>
      <c r="G53" s="35">
        <v>401.55</v>
      </c>
      <c r="H53" s="35">
        <v>7629.45</v>
      </c>
      <c r="I53" s="35">
        <v>5247.09</v>
      </c>
      <c r="J53" s="35">
        <v>2382.36</v>
      </c>
      <c r="K53" s="37">
        <v>46156</v>
      </c>
      <c r="L53" s="37">
        <v>46160</v>
      </c>
      <c r="M53" s="35" t="s">
        <v>69</v>
      </c>
      <c r="N53" s="35">
        <v>4</v>
      </c>
      <c r="O53" s="35" t="s">
        <v>196</v>
      </c>
      <c r="P53" s="35">
        <v>7.1</v>
      </c>
    </row>
    <row r="54" spans="1:16" ht="15.75" customHeight="1" x14ac:dyDescent="0.3">
      <c r="A54" s="35" t="s">
        <v>197</v>
      </c>
      <c r="B54" s="35" t="s">
        <v>198</v>
      </c>
      <c r="C54" s="35" t="s">
        <v>49</v>
      </c>
      <c r="D54" s="35" t="s">
        <v>43</v>
      </c>
      <c r="E54" s="35" t="s">
        <v>32</v>
      </c>
      <c r="F54" s="35">
        <v>9</v>
      </c>
      <c r="G54" s="35">
        <v>1650.29</v>
      </c>
      <c r="H54" s="35">
        <v>14852.61</v>
      </c>
      <c r="I54" s="35">
        <v>10439.91</v>
      </c>
      <c r="J54" s="35">
        <v>4412.7</v>
      </c>
      <c r="K54" s="37">
        <v>46143</v>
      </c>
      <c r="L54" s="37">
        <v>46144</v>
      </c>
      <c r="M54" s="35" t="s">
        <v>26</v>
      </c>
      <c r="N54" s="35">
        <v>2</v>
      </c>
      <c r="O54" s="35" t="s">
        <v>199</v>
      </c>
      <c r="P54" s="35">
        <v>6</v>
      </c>
    </row>
    <row r="55" spans="1:16" ht="15.75" customHeight="1" x14ac:dyDescent="0.3">
      <c r="A55" s="35" t="s">
        <v>200</v>
      </c>
      <c r="B55" s="35" t="s">
        <v>201</v>
      </c>
      <c r="C55" s="35" t="s">
        <v>42</v>
      </c>
      <c r="D55" s="35" t="s">
        <v>43</v>
      </c>
      <c r="E55" s="35" t="s">
        <v>44</v>
      </c>
      <c r="F55" s="35">
        <v>1</v>
      </c>
      <c r="G55" s="35">
        <v>3547.8</v>
      </c>
      <c r="H55" s="35">
        <v>3547.8</v>
      </c>
      <c r="I55" s="35">
        <v>2503.42</v>
      </c>
      <c r="J55" s="35">
        <v>1044.3800000000001</v>
      </c>
      <c r="K55" s="37">
        <v>45745</v>
      </c>
      <c r="L55" s="37">
        <v>45749</v>
      </c>
      <c r="M55" s="35" t="s">
        <v>123</v>
      </c>
      <c r="N55" s="35">
        <v>4</v>
      </c>
      <c r="O55" s="35" t="s">
        <v>202</v>
      </c>
      <c r="P55" s="35">
        <v>8</v>
      </c>
    </row>
    <row r="56" spans="1:16" ht="15.75" customHeight="1" x14ac:dyDescent="0.3">
      <c r="A56" s="35" t="s">
        <v>203</v>
      </c>
      <c r="B56" s="35" t="s">
        <v>204</v>
      </c>
      <c r="C56" s="35" t="s">
        <v>37</v>
      </c>
      <c r="D56" s="35" t="s">
        <v>19</v>
      </c>
      <c r="E56" s="35" t="s">
        <v>44</v>
      </c>
      <c r="F56" s="35">
        <v>15</v>
      </c>
      <c r="G56" s="35">
        <v>797.77</v>
      </c>
      <c r="H56" s="35">
        <v>11966.55</v>
      </c>
      <c r="I56" s="35">
        <v>7761.32</v>
      </c>
      <c r="J56" s="35">
        <v>4205.2299999999996</v>
      </c>
      <c r="K56" s="37">
        <v>46008</v>
      </c>
      <c r="L56" s="37">
        <v>46015</v>
      </c>
      <c r="M56" s="35" t="s">
        <v>26</v>
      </c>
      <c r="N56" s="35">
        <v>5</v>
      </c>
      <c r="O56" s="35" t="s">
        <v>205</v>
      </c>
      <c r="P56" s="35">
        <v>6.7</v>
      </c>
    </row>
    <row r="57" spans="1:16" ht="15.75" customHeight="1" x14ac:dyDescent="0.3">
      <c r="A57" s="35" t="s">
        <v>206</v>
      </c>
      <c r="B57" s="35" t="s">
        <v>207</v>
      </c>
      <c r="C57" s="35" t="s">
        <v>37</v>
      </c>
      <c r="D57" s="35" t="s">
        <v>19</v>
      </c>
      <c r="E57" s="35" t="s">
        <v>25</v>
      </c>
      <c r="F57" s="35">
        <v>14</v>
      </c>
      <c r="G57" s="35">
        <v>3390.11</v>
      </c>
      <c r="H57" s="35">
        <v>47461.54</v>
      </c>
      <c r="I57" s="35">
        <v>33888.910000000003</v>
      </c>
      <c r="J57" s="35">
        <v>13572.63</v>
      </c>
      <c r="K57" s="37">
        <v>46096</v>
      </c>
      <c r="L57" s="37">
        <v>46105</v>
      </c>
      <c r="M57" s="35" t="s">
        <v>181</v>
      </c>
      <c r="N57" s="35">
        <v>3</v>
      </c>
      <c r="O57" s="35" t="s">
        <v>208</v>
      </c>
      <c r="P57" s="35">
        <v>9.4</v>
      </c>
    </row>
    <row r="58" spans="1:16" ht="15.75" customHeight="1" x14ac:dyDescent="0.3">
      <c r="A58" s="35" t="s">
        <v>209</v>
      </c>
      <c r="B58" s="35" t="s">
        <v>210</v>
      </c>
      <c r="C58" s="35" t="s">
        <v>62</v>
      </c>
      <c r="D58" s="35" t="s">
        <v>31</v>
      </c>
      <c r="E58" s="35" t="s">
        <v>20</v>
      </c>
      <c r="F58" s="35">
        <v>16</v>
      </c>
      <c r="G58" s="35">
        <v>4225.43</v>
      </c>
      <c r="H58" s="35">
        <v>67606.880000000005</v>
      </c>
      <c r="I58" s="35">
        <v>36274.629999999997</v>
      </c>
      <c r="J58" s="35">
        <v>31332.25</v>
      </c>
      <c r="K58" s="37">
        <v>45734</v>
      </c>
      <c r="L58" s="37">
        <v>45742</v>
      </c>
      <c r="M58" s="35" t="s">
        <v>26</v>
      </c>
      <c r="N58" s="35">
        <v>2</v>
      </c>
      <c r="O58" s="35" t="s">
        <v>211</v>
      </c>
      <c r="P58" s="35">
        <v>6.2</v>
      </c>
    </row>
    <row r="59" spans="1:16" ht="15.75" customHeight="1" x14ac:dyDescent="0.3">
      <c r="A59" s="35" t="s">
        <v>212</v>
      </c>
      <c r="B59" s="35" t="s">
        <v>213</v>
      </c>
      <c r="C59" s="35" t="s">
        <v>30</v>
      </c>
      <c r="D59" s="35" t="s">
        <v>31</v>
      </c>
      <c r="E59" s="35" t="s">
        <v>25</v>
      </c>
      <c r="F59" s="35">
        <v>13</v>
      </c>
      <c r="G59" s="35">
        <v>808.06</v>
      </c>
      <c r="H59" s="35">
        <v>10504.78</v>
      </c>
      <c r="I59" s="35">
        <v>6587.76</v>
      </c>
      <c r="J59" s="35">
        <v>3917.02</v>
      </c>
      <c r="K59" s="37">
        <v>45887</v>
      </c>
      <c r="L59" s="37">
        <v>45897</v>
      </c>
      <c r="M59" s="35" t="s">
        <v>45</v>
      </c>
      <c r="N59" s="35">
        <v>5</v>
      </c>
      <c r="O59" s="35" t="s">
        <v>214</v>
      </c>
      <c r="P59" s="35">
        <v>7.9</v>
      </c>
    </row>
    <row r="60" spans="1:16" ht="15.75" customHeight="1" x14ac:dyDescent="0.3">
      <c r="A60" s="35" t="s">
        <v>215</v>
      </c>
      <c r="B60" s="35" t="s">
        <v>216</v>
      </c>
      <c r="C60" s="35" t="s">
        <v>49</v>
      </c>
      <c r="D60" s="35" t="s">
        <v>43</v>
      </c>
      <c r="E60" s="35" t="s">
        <v>44</v>
      </c>
      <c r="F60" s="35">
        <v>17</v>
      </c>
      <c r="G60" s="35">
        <v>3010.68</v>
      </c>
      <c r="H60" s="35">
        <v>51181.56</v>
      </c>
      <c r="I60" s="35">
        <v>35293.480000000003</v>
      </c>
      <c r="J60" s="35">
        <v>15888.08</v>
      </c>
      <c r="K60" s="37">
        <v>46120</v>
      </c>
      <c r="L60" s="37">
        <v>46130</v>
      </c>
      <c r="M60" s="35" t="s">
        <v>58</v>
      </c>
      <c r="N60" s="35">
        <v>1</v>
      </c>
      <c r="O60" s="35" t="s">
        <v>99</v>
      </c>
      <c r="P60" s="35">
        <v>6.5</v>
      </c>
    </row>
    <row r="61" spans="1:16" ht="15.75" customHeight="1" x14ac:dyDescent="0.3">
      <c r="A61" s="35" t="s">
        <v>217</v>
      </c>
      <c r="B61" s="35" t="s">
        <v>218</v>
      </c>
      <c r="C61" s="35" t="s">
        <v>219</v>
      </c>
      <c r="D61" s="35" t="s">
        <v>43</v>
      </c>
      <c r="E61" s="35" t="s">
        <v>32</v>
      </c>
      <c r="F61" s="35">
        <v>3</v>
      </c>
      <c r="G61" s="35">
        <v>2680.27</v>
      </c>
      <c r="H61" s="35">
        <v>8040.81</v>
      </c>
      <c r="I61" s="35">
        <v>6408.63</v>
      </c>
      <c r="J61" s="35">
        <v>1632.18</v>
      </c>
      <c r="K61" s="37">
        <v>46161</v>
      </c>
      <c r="L61" s="37">
        <v>46162</v>
      </c>
      <c r="M61" s="35" t="s">
        <v>181</v>
      </c>
      <c r="N61" s="35">
        <v>5</v>
      </c>
      <c r="O61" s="35" t="s">
        <v>220</v>
      </c>
      <c r="P61" s="35">
        <v>8.9</v>
      </c>
    </row>
    <row r="62" spans="1:16" ht="15.75" customHeight="1" x14ac:dyDescent="0.3">
      <c r="A62" s="35" t="s">
        <v>221</v>
      </c>
      <c r="B62" s="35" t="s">
        <v>222</v>
      </c>
      <c r="C62" s="35" t="s">
        <v>195</v>
      </c>
      <c r="D62" s="35" t="s">
        <v>43</v>
      </c>
      <c r="E62" s="35" t="s">
        <v>25</v>
      </c>
      <c r="F62" s="35">
        <v>16</v>
      </c>
      <c r="G62" s="35">
        <v>2587.86</v>
      </c>
      <c r="H62" s="35">
        <v>41405.760000000002</v>
      </c>
      <c r="I62" s="35">
        <v>30864.46</v>
      </c>
      <c r="J62" s="35">
        <v>10541.3</v>
      </c>
      <c r="K62" s="37">
        <v>45741</v>
      </c>
      <c r="L62" s="37">
        <v>45748</v>
      </c>
      <c r="M62" s="35" t="s">
        <v>58</v>
      </c>
      <c r="N62" s="35">
        <v>4</v>
      </c>
      <c r="O62" s="35" t="s">
        <v>223</v>
      </c>
      <c r="P62" s="35">
        <v>6.2</v>
      </c>
    </row>
    <row r="63" spans="1:16" ht="15.75" customHeight="1" x14ac:dyDescent="0.3">
      <c r="A63" s="35" t="s">
        <v>224</v>
      </c>
      <c r="B63" s="35" t="s">
        <v>225</v>
      </c>
      <c r="C63" s="35" t="s">
        <v>219</v>
      </c>
      <c r="D63" s="35" t="s">
        <v>43</v>
      </c>
      <c r="E63" s="35" t="s">
        <v>25</v>
      </c>
      <c r="F63" s="35">
        <v>8</v>
      </c>
      <c r="G63" s="35">
        <v>1185.57</v>
      </c>
      <c r="H63" s="35">
        <v>9484.56</v>
      </c>
      <c r="I63" s="35">
        <v>5385.46</v>
      </c>
      <c r="J63" s="35">
        <v>4099.1000000000004</v>
      </c>
      <c r="K63" s="37">
        <v>46118</v>
      </c>
      <c r="L63" s="37">
        <v>46121</v>
      </c>
      <c r="M63" s="35" t="s">
        <v>69</v>
      </c>
      <c r="N63" s="35">
        <v>2</v>
      </c>
      <c r="O63" s="35" t="s">
        <v>226</v>
      </c>
      <c r="P63" s="35">
        <v>8.1999999999999993</v>
      </c>
    </row>
    <row r="64" spans="1:16" ht="15.75" customHeight="1" x14ac:dyDescent="0.3">
      <c r="A64" s="35" t="s">
        <v>227</v>
      </c>
      <c r="B64" s="35" t="s">
        <v>228</v>
      </c>
      <c r="C64" s="35" t="s">
        <v>88</v>
      </c>
      <c r="D64" s="35" t="s">
        <v>31</v>
      </c>
      <c r="E64" s="35" t="s">
        <v>32</v>
      </c>
      <c r="F64" s="35">
        <v>9</v>
      </c>
      <c r="G64" s="35">
        <v>3551.24</v>
      </c>
      <c r="H64" s="35">
        <v>31961.16</v>
      </c>
      <c r="I64" s="35">
        <v>26905.37</v>
      </c>
      <c r="J64" s="35">
        <v>5055.79</v>
      </c>
      <c r="K64" s="37">
        <v>46002</v>
      </c>
      <c r="L64" s="37">
        <v>46004</v>
      </c>
      <c r="M64" s="35" t="s">
        <v>58</v>
      </c>
      <c r="N64" s="35">
        <v>5</v>
      </c>
      <c r="O64" s="35" t="s">
        <v>229</v>
      </c>
      <c r="P64" s="35">
        <v>7.8</v>
      </c>
    </row>
    <row r="65" spans="1:16" ht="15.75" customHeight="1" x14ac:dyDescent="0.3">
      <c r="A65" s="35" t="s">
        <v>230</v>
      </c>
      <c r="B65" s="35" t="s">
        <v>231</v>
      </c>
      <c r="C65" s="35" t="s">
        <v>37</v>
      </c>
      <c r="D65" s="35" t="s">
        <v>19</v>
      </c>
      <c r="E65" s="35" t="s">
        <v>32</v>
      </c>
      <c r="F65" s="35">
        <v>15</v>
      </c>
      <c r="G65" s="35">
        <v>994.46</v>
      </c>
      <c r="H65" s="35">
        <v>14916.9</v>
      </c>
      <c r="I65" s="35">
        <v>11569.14</v>
      </c>
      <c r="J65" s="35">
        <v>3347.76</v>
      </c>
      <c r="K65" s="37">
        <v>46012</v>
      </c>
      <c r="L65" s="37">
        <v>46017</v>
      </c>
      <c r="M65" s="35" t="s">
        <v>123</v>
      </c>
      <c r="N65" s="35">
        <v>5</v>
      </c>
      <c r="O65" s="35" t="s">
        <v>232</v>
      </c>
      <c r="P65" s="35">
        <v>7.2</v>
      </c>
    </row>
    <row r="66" spans="1:16" ht="15.75" customHeight="1" x14ac:dyDescent="0.3">
      <c r="A66" s="35" t="s">
        <v>233</v>
      </c>
      <c r="B66" s="35" t="s">
        <v>234</v>
      </c>
      <c r="C66" s="35" t="s">
        <v>195</v>
      </c>
      <c r="D66" s="35" t="s">
        <v>43</v>
      </c>
      <c r="E66" s="35" t="s">
        <v>25</v>
      </c>
      <c r="F66" s="35">
        <v>6</v>
      </c>
      <c r="G66" s="35">
        <v>452.56</v>
      </c>
      <c r="H66" s="35">
        <v>2715.36</v>
      </c>
      <c r="I66" s="35">
        <v>1367.52</v>
      </c>
      <c r="J66" s="35">
        <v>1347.84</v>
      </c>
      <c r="K66" s="37">
        <v>45841</v>
      </c>
      <c r="L66" s="37">
        <v>45846</v>
      </c>
      <c r="M66" s="35" t="s">
        <v>181</v>
      </c>
      <c r="N66" s="35">
        <v>4</v>
      </c>
      <c r="O66" s="35" t="s">
        <v>235</v>
      </c>
      <c r="P66" s="35">
        <v>10</v>
      </c>
    </row>
    <row r="67" spans="1:16" ht="15.75" customHeight="1" x14ac:dyDescent="0.3">
      <c r="A67" s="35" t="s">
        <v>236</v>
      </c>
      <c r="B67" s="35" t="s">
        <v>237</v>
      </c>
      <c r="C67" s="35" t="s">
        <v>37</v>
      </c>
      <c r="D67" s="35" t="s">
        <v>19</v>
      </c>
      <c r="E67" s="35" t="s">
        <v>44</v>
      </c>
      <c r="F67" s="35">
        <v>12</v>
      </c>
      <c r="G67" s="35">
        <v>1278.1400000000001</v>
      </c>
      <c r="H67" s="35">
        <v>15337.68</v>
      </c>
      <c r="I67" s="35">
        <v>9634.06</v>
      </c>
      <c r="J67" s="35">
        <v>5703.62</v>
      </c>
      <c r="K67" s="37">
        <v>45986</v>
      </c>
      <c r="L67" s="37">
        <v>45987</v>
      </c>
      <c r="M67" s="35" t="s">
        <v>69</v>
      </c>
      <c r="N67" s="35">
        <v>1</v>
      </c>
      <c r="O67" s="35" t="s">
        <v>133</v>
      </c>
      <c r="P67" s="35">
        <v>9.6999999999999993</v>
      </c>
    </row>
    <row r="68" spans="1:16" ht="15.75" customHeight="1" x14ac:dyDescent="0.3">
      <c r="A68" s="35" t="s">
        <v>238</v>
      </c>
      <c r="B68" s="35" t="s">
        <v>239</v>
      </c>
      <c r="C68" s="35" t="s">
        <v>72</v>
      </c>
      <c r="D68" s="35" t="s">
        <v>31</v>
      </c>
      <c r="E68" s="35" t="s">
        <v>32</v>
      </c>
      <c r="F68" s="35">
        <v>10</v>
      </c>
      <c r="G68" s="35">
        <v>4133.33</v>
      </c>
      <c r="H68" s="35">
        <v>41333.300000000003</v>
      </c>
      <c r="I68" s="35">
        <v>22322.27</v>
      </c>
      <c r="J68" s="35">
        <v>19011.03</v>
      </c>
      <c r="K68" s="37">
        <v>45979</v>
      </c>
      <c r="L68" s="37">
        <v>45982</v>
      </c>
      <c r="M68" s="35" t="s">
        <v>45</v>
      </c>
      <c r="N68" s="35">
        <v>1</v>
      </c>
      <c r="O68" s="35" t="s">
        <v>240</v>
      </c>
      <c r="P68" s="35">
        <v>7.6</v>
      </c>
    </row>
    <row r="69" spans="1:16" ht="15.75" customHeight="1" x14ac:dyDescent="0.3">
      <c r="A69" s="35" t="s">
        <v>241</v>
      </c>
      <c r="B69" s="35" t="s">
        <v>242</v>
      </c>
      <c r="C69" s="35" t="s">
        <v>144</v>
      </c>
      <c r="D69" s="35" t="s">
        <v>19</v>
      </c>
      <c r="E69" s="35" t="s">
        <v>44</v>
      </c>
      <c r="F69" s="35">
        <v>6</v>
      </c>
      <c r="G69" s="35">
        <v>4048.69</v>
      </c>
      <c r="H69" s="35">
        <v>24292.14</v>
      </c>
      <c r="I69" s="35">
        <v>20691.89</v>
      </c>
      <c r="J69" s="35">
        <v>3600.25</v>
      </c>
      <c r="K69" s="37">
        <v>45491</v>
      </c>
      <c r="L69" s="37">
        <v>45493</v>
      </c>
      <c r="M69" s="35" t="s">
        <v>26</v>
      </c>
      <c r="N69" s="35">
        <v>1</v>
      </c>
      <c r="O69" s="35" t="s">
        <v>243</v>
      </c>
      <c r="P69" s="35">
        <v>6.4</v>
      </c>
    </row>
    <row r="70" spans="1:16" ht="15.75" customHeight="1" x14ac:dyDescent="0.3">
      <c r="A70" s="35" t="s">
        <v>244</v>
      </c>
      <c r="B70" s="35" t="s">
        <v>245</v>
      </c>
      <c r="C70" s="35" t="s">
        <v>195</v>
      </c>
      <c r="D70" s="35" t="s">
        <v>43</v>
      </c>
      <c r="E70" s="35" t="s">
        <v>25</v>
      </c>
      <c r="F70" s="35">
        <v>7</v>
      </c>
      <c r="G70" s="35">
        <v>4179.3999999999996</v>
      </c>
      <c r="H70" s="35">
        <v>29255.8</v>
      </c>
      <c r="I70" s="35">
        <v>22646.47</v>
      </c>
      <c r="J70" s="35">
        <v>6609.33</v>
      </c>
      <c r="K70" s="37">
        <v>46040</v>
      </c>
      <c r="L70" s="37">
        <v>46042</v>
      </c>
      <c r="M70" s="35" t="s">
        <v>69</v>
      </c>
      <c r="N70" s="35">
        <v>1</v>
      </c>
      <c r="O70" s="35" t="s">
        <v>246</v>
      </c>
      <c r="P70" s="35">
        <v>8.1</v>
      </c>
    </row>
    <row r="71" spans="1:16" ht="15.75" customHeight="1" x14ac:dyDescent="0.3">
      <c r="A71" s="35" t="s">
        <v>247</v>
      </c>
      <c r="B71" s="35" t="s">
        <v>248</v>
      </c>
      <c r="C71" s="35" t="s">
        <v>88</v>
      </c>
      <c r="D71" s="35" t="s">
        <v>31</v>
      </c>
      <c r="E71" s="35" t="s">
        <v>32</v>
      </c>
      <c r="F71" s="35">
        <v>3</v>
      </c>
      <c r="G71" s="35">
        <v>3879.58</v>
      </c>
      <c r="H71" s="35">
        <v>11638.74</v>
      </c>
      <c r="I71" s="35">
        <v>9029.6299999999992</v>
      </c>
      <c r="J71" s="35">
        <v>2609.11</v>
      </c>
      <c r="K71" s="37">
        <v>46075</v>
      </c>
      <c r="L71" s="37">
        <v>46080</v>
      </c>
      <c r="M71" s="35" t="s">
        <v>45</v>
      </c>
      <c r="N71" s="35">
        <v>2</v>
      </c>
      <c r="O71" s="35" t="s">
        <v>172</v>
      </c>
      <c r="P71" s="35">
        <v>8.3000000000000007</v>
      </c>
    </row>
    <row r="72" spans="1:16" ht="15.75" customHeight="1" x14ac:dyDescent="0.3">
      <c r="A72" s="35" t="s">
        <v>249</v>
      </c>
      <c r="B72" s="35" t="s">
        <v>250</v>
      </c>
      <c r="C72" s="35" t="s">
        <v>95</v>
      </c>
      <c r="D72" s="35" t="s">
        <v>19</v>
      </c>
      <c r="E72" s="35" t="s">
        <v>20</v>
      </c>
      <c r="F72" s="35">
        <v>13</v>
      </c>
      <c r="G72" s="35">
        <v>4057.48</v>
      </c>
      <c r="H72" s="35">
        <v>52747.24</v>
      </c>
      <c r="I72" s="35">
        <v>41071.51</v>
      </c>
      <c r="J72" s="35">
        <v>11675.73</v>
      </c>
      <c r="K72" s="37">
        <v>45609</v>
      </c>
      <c r="L72" s="37">
        <v>45613</v>
      </c>
      <c r="M72" s="35" t="s">
        <v>26</v>
      </c>
      <c r="N72" s="35">
        <v>4</v>
      </c>
      <c r="O72" s="35" t="s">
        <v>251</v>
      </c>
      <c r="P72" s="35">
        <v>9.9</v>
      </c>
    </row>
    <row r="73" spans="1:16" ht="15.75" customHeight="1" x14ac:dyDescent="0.3">
      <c r="A73" s="35" t="s">
        <v>252</v>
      </c>
      <c r="B73" s="35" t="s">
        <v>253</v>
      </c>
      <c r="C73" s="35" t="s">
        <v>72</v>
      </c>
      <c r="D73" s="35" t="s">
        <v>31</v>
      </c>
      <c r="E73" s="35" t="s">
        <v>44</v>
      </c>
      <c r="F73" s="35">
        <v>17</v>
      </c>
      <c r="G73" s="35">
        <v>3139.64</v>
      </c>
      <c r="H73" s="35">
        <v>53373.88</v>
      </c>
      <c r="I73" s="35">
        <v>31414.02</v>
      </c>
      <c r="J73" s="35">
        <v>21959.86</v>
      </c>
      <c r="K73" s="37">
        <v>46160</v>
      </c>
      <c r="L73" s="37">
        <v>46162</v>
      </c>
      <c r="M73" s="35" t="s">
        <v>21</v>
      </c>
      <c r="N73" s="35">
        <v>2</v>
      </c>
      <c r="O73" s="35" t="s">
        <v>254</v>
      </c>
      <c r="P73" s="35">
        <v>9.4</v>
      </c>
    </row>
    <row r="74" spans="1:16" ht="15.75" customHeight="1" x14ac:dyDescent="0.3">
      <c r="A74" s="35" t="s">
        <v>255</v>
      </c>
      <c r="B74" s="35" t="s">
        <v>256</v>
      </c>
      <c r="C74" s="35" t="s">
        <v>168</v>
      </c>
      <c r="D74" s="35" t="s">
        <v>43</v>
      </c>
      <c r="E74" s="35" t="s">
        <v>44</v>
      </c>
      <c r="F74" s="35">
        <v>13</v>
      </c>
      <c r="G74" s="35">
        <v>4633.59</v>
      </c>
      <c r="H74" s="35">
        <v>60236.67</v>
      </c>
      <c r="I74" s="35">
        <v>44395.17</v>
      </c>
      <c r="J74" s="35">
        <v>15841.5</v>
      </c>
      <c r="K74" s="37">
        <v>45617</v>
      </c>
      <c r="L74" s="37">
        <v>45626</v>
      </c>
      <c r="M74" s="35" t="s">
        <v>123</v>
      </c>
      <c r="N74" s="35">
        <v>3</v>
      </c>
      <c r="O74" s="35" t="s">
        <v>257</v>
      </c>
      <c r="P74" s="35">
        <v>6.6</v>
      </c>
    </row>
    <row r="75" spans="1:16" ht="15.75" customHeight="1" x14ac:dyDescent="0.3">
      <c r="A75" s="35" t="s">
        <v>258</v>
      </c>
      <c r="B75" s="35" t="s">
        <v>259</v>
      </c>
      <c r="C75" s="35" t="s">
        <v>37</v>
      </c>
      <c r="D75" s="35" t="s">
        <v>19</v>
      </c>
      <c r="E75" s="35" t="s">
        <v>44</v>
      </c>
      <c r="F75" s="35">
        <v>9</v>
      </c>
      <c r="G75" s="35">
        <v>336.24</v>
      </c>
      <c r="H75" s="35">
        <v>3026.16</v>
      </c>
      <c r="I75" s="35">
        <v>2097.92</v>
      </c>
      <c r="J75" s="35">
        <v>928.24</v>
      </c>
      <c r="K75" s="37">
        <v>45977</v>
      </c>
      <c r="L75" s="37">
        <v>45985</v>
      </c>
      <c r="M75" s="35" t="s">
        <v>26</v>
      </c>
      <c r="N75" s="35">
        <v>2</v>
      </c>
      <c r="O75" s="35" t="s">
        <v>260</v>
      </c>
      <c r="P75" s="35">
        <v>7.8</v>
      </c>
    </row>
    <row r="76" spans="1:16" ht="15.75" customHeight="1" x14ac:dyDescent="0.3">
      <c r="A76" s="35" t="s">
        <v>261</v>
      </c>
      <c r="B76" s="35" t="s">
        <v>262</v>
      </c>
      <c r="C76" s="35" t="s">
        <v>30</v>
      </c>
      <c r="D76" s="35" t="s">
        <v>31</v>
      </c>
      <c r="E76" s="35" t="s">
        <v>32</v>
      </c>
      <c r="F76" s="35">
        <v>18</v>
      </c>
      <c r="G76" s="35">
        <v>267.77999999999997</v>
      </c>
      <c r="H76" s="35">
        <v>4820.04</v>
      </c>
      <c r="I76" s="35">
        <v>2543.08</v>
      </c>
      <c r="J76" s="35">
        <v>2276.96</v>
      </c>
      <c r="K76" s="37">
        <v>45554</v>
      </c>
      <c r="L76" s="37">
        <v>45560</v>
      </c>
      <c r="M76" s="35" t="s">
        <v>58</v>
      </c>
      <c r="N76" s="35">
        <v>2</v>
      </c>
      <c r="O76" s="35" t="s">
        <v>178</v>
      </c>
      <c r="P76" s="35">
        <v>9.4</v>
      </c>
    </row>
    <row r="77" spans="1:16" ht="15.75" customHeight="1" x14ac:dyDescent="0.3">
      <c r="A77" s="35" t="s">
        <v>263</v>
      </c>
      <c r="B77" s="35" t="s">
        <v>264</v>
      </c>
      <c r="C77" s="35" t="s">
        <v>88</v>
      </c>
      <c r="D77" s="35" t="s">
        <v>31</v>
      </c>
      <c r="E77" s="35" t="s">
        <v>44</v>
      </c>
      <c r="F77" s="35">
        <v>7</v>
      </c>
      <c r="G77" s="35">
        <v>3200.55</v>
      </c>
      <c r="H77" s="35">
        <v>22403.85</v>
      </c>
      <c r="I77" s="35">
        <v>14603.06</v>
      </c>
      <c r="J77" s="35">
        <v>7800.79</v>
      </c>
      <c r="K77" s="37">
        <v>45668</v>
      </c>
      <c r="L77" s="37">
        <v>45669</v>
      </c>
      <c r="M77" s="35" t="s">
        <v>69</v>
      </c>
      <c r="N77" s="35">
        <v>2</v>
      </c>
      <c r="O77" s="35" t="s">
        <v>22</v>
      </c>
      <c r="P77" s="35">
        <v>6.6</v>
      </c>
    </row>
    <row r="78" spans="1:16" ht="15.75" customHeight="1" x14ac:dyDescent="0.3">
      <c r="A78" s="35" t="s">
        <v>265</v>
      </c>
      <c r="B78" s="35" t="s">
        <v>266</v>
      </c>
      <c r="C78" s="35" t="s">
        <v>72</v>
      </c>
      <c r="D78" s="35" t="s">
        <v>31</v>
      </c>
      <c r="E78" s="35" t="s">
        <v>32</v>
      </c>
      <c r="F78" s="35">
        <v>19</v>
      </c>
      <c r="G78" s="35">
        <v>4010.22</v>
      </c>
      <c r="H78" s="35">
        <v>76194.179999999993</v>
      </c>
      <c r="I78" s="35">
        <v>61509.24</v>
      </c>
      <c r="J78" s="35">
        <v>14684.94</v>
      </c>
      <c r="K78" s="37">
        <v>45840</v>
      </c>
      <c r="L78" s="37">
        <v>45841</v>
      </c>
      <c r="M78" s="35" t="s">
        <v>58</v>
      </c>
      <c r="N78" s="35">
        <v>5</v>
      </c>
      <c r="O78" s="35" t="s">
        <v>267</v>
      </c>
      <c r="P78" s="35">
        <v>9.6</v>
      </c>
    </row>
    <row r="79" spans="1:16" ht="15.75" customHeight="1" x14ac:dyDescent="0.3">
      <c r="A79" s="35" t="s">
        <v>268</v>
      </c>
      <c r="B79" s="35" t="s">
        <v>269</v>
      </c>
      <c r="C79" s="35" t="s">
        <v>57</v>
      </c>
      <c r="D79" s="35" t="s">
        <v>19</v>
      </c>
      <c r="E79" s="35" t="s">
        <v>44</v>
      </c>
      <c r="F79" s="35">
        <v>5</v>
      </c>
      <c r="G79" s="35">
        <v>4017.43</v>
      </c>
      <c r="H79" s="35">
        <v>20087.150000000001</v>
      </c>
      <c r="I79" s="35">
        <v>14211.59</v>
      </c>
      <c r="J79" s="35">
        <v>5875.56</v>
      </c>
      <c r="K79" s="37">
        <v>45909</v>
      </c>
      <c r="L79" s="37">
        <v>45916</v>
      </c>
      <c r="M79" s="35" t="s">
        <v>38</v>
      </c>
      <c r="N79" s="35">
        <v>2</v>
      </c>
      <c r="O79" s="35" t="s">
        <v>270</v>
      </c>
      <c r="P79" s="35">
        <v>6.4</v>
      </c>
    </row>
    <row r="80" spans="1:16" ht="15.75" customHeight="1" x14ac:dyDescent="0.3">
      <c r="A80" s="35" t="s">
        <v>271</v>
      </c>
      <c r="B80" s="35" t="s">
        <v>272</v>
      </c>
      <c r="C80" s="35" t="s">
        <v>168</v>
      </c>
      <c r="D80" s="35" t="s">
        <v>43</v>
      </c>
      <c r="E80" s="35" t="s">
        <v>44</v>
      </c>
      <c r="F80" s="35">
        <v>10</v>
      </c>
      <c r="G80" s="35">
        <v>4810.09</v>
      </c>
      <c r="H80" s="35">
        <v>48100.9</v>
      </c>
      <c r="I80" s="35">
        <v>40090.86</v>
      </c>
      <c r="J80" s="35">
        <v>8010.04</v>
      </c>
      <c r="K80" s="37">
        <v>45882</v>
      </c>
      <c r="L80" s="37">
        <v>45890</v>
      </c>
      <c r="M80" s="35" t="s">
        <v>58</v>
      </c>
      <c r="N80" s="35">
        <v>2</v>
      </c>
      <c r="O80" s="35" t="s">
        <v>273</v>
      </c>
      <c r="P80" s="35">
        <v>7.8</v>
      </c>
    </row>
    <row r="81" spans="1:16" ht="15.75" customHeight="1" x14ac:dyDescent="0.3">
      <c r="A81" s="35" t="s">
        <v>274</v>
      </c>
      <c r="B81" s="35" t="s">
        <v>275</v>
      </c>
      <c r="C81" s="35" t="s">
        <v>49</v>
      </c>
      <c r="D81" s="35" t="s">
        <v>43</v>
      </c>
      <c r="E81" s="35" t="s">
        <v>20</v>
      </c>
      <c r="F81" s="35">
        <v>16</v>
      </c>
      <c r="G81" s="35">
        <v>4578.78</v>
      </c>
      <c r="H81" s="35">
        <v>73260.479999999996</v>
      </c>
      <c r="I81" s="35">
        <v>53876.52</v>
      </c>
      <c r="J81" s="35">
        <v>19383.96</v>
      </c>
      <c r="K81" s="37">
        <v>45957</v>
      </c>
      <c r="L81" s="37">
        <v>45961</v>
      </c>
      <c r="M81" s="35" t="s">
        <v>45</v>
      </c>
      <c r="N81" s="35">
        <v>4</v>
      </c>
      <c r="O81" s="35" t="s">
        <v>276</v>
      </c>
      <c r="P81" s="35">
        <v>7.5</v>
      </c>
    </row>
    <row r="82" spans="1:16" ht="15.75" customHeight="1" x14ac:dyDescent="0.3">
      <c r="A82" s="35" t="s">
        <v>277</v>
      </c>
      <c r="B82" s="35" t="s">
        <v>278</v>
      </c>
      <c r="C82" s="35" t="s">
        <v>219</v>
      </c>
      <c r="D82" s="35" t="s">
        <v>43</v>
      </c>
      <c r="E82" s="35" t="s">
        <v>20</v>
      </c>
      <c r="F82" s="35">
        <v>5</v>
      </c>
      <c r="G82" s="35">
        <v>3520.24</v>
      </c>
      <c r="H82" s="35">
        <v>17601.2</v>
      </c>
      <c r="I82" s="35">
        <v>14368.41</v>
      </c>
      <c r="J82" s="35">
        <v>3232.79</v>
      </c>
      <c r="K82" s="37">
        <v>45508</v>
      </c>
      <c r="L82" s="37">
        <v>45510</v>
      </c>
      <c r="M82" s="35" t="s">
        <v>26</v>
      </c>
      <c r="N82" s="35">
        <v>3</v>
      </c>
      <c r="O82" s="35" t="s">
        <v>76</v>
      </c>
      <c r="P82" s="35">
        <v>8.6999999999999993</v>
      </c>
    </row>
    <row r="83" spans="1:16" ht="15.75" customHeight="1" x14ac:dyDescent="0.3">
      <c r="A83" s="35" t="s">
        <v>279</v>
      </c>
      <c r="B83" s="35" t="s">
        <v>280</v>
      </c>
      <c r="C83" s="35" t="s">
        <v>72</v>
      </c>
      <c r="D83" s="35" t="s">
        <v>31</v>
      </c>
      <c r="E83" s="35" t="s">
        <v>20</v>
      </c>
      <c r="F83" s="35">
        <v>17</v>
      </c>
      <c r="G83" s="35">
        <v>2068.91</v>
      </c>
      <c r="H83" s="35">
        <v>35171.47</v>
      </c>
      <c r="I83" s="35">
        <v>24374.54</v>
      </c>
      <c r="J83" s="35">
        <v>10796.93</v>
      </c>
      <c r="K83" s="37">
        <v>46101</v>
      </c>
      <c r="L83" s="37">
        <v>46105</v>
      </c>
      <c r="M83" s="35" t="s">
        <v>38</v>
      </c>
      <c r="N83" s="35">
        <v>4</v>
      </c>
      <c r="O83" s="35" t="s">
        <v>281</v>
      </c>
      <c r="P83" s="35">
        <v>7.1</v>
      </c>
    </row>
    <row r="84" spans="1:16" ht="15.75" customHeight="1" x14ac:dyDescent="0.3">
      <c r="A84" s="35" t="s">
        <v>282</v>
      </c>
      <c r="B84" s="35" t="s">
        <v>283</v>
      </c>
      <c r="C84" s="35" t="s">
        <v>219</v>
      </c>
      <c r="D84" s="35" t="s">
        <v>43</v>
      </c>
      <c r="E84" s="35" t="s">
        <v>44</v>
      </c>
      <c r="F84" s="35">
        <v>15</v>
      </c>
      <c r="G84" s="35">
        <v>1881.71</v>
      </c>
      <c r="H84" s="35">
        <v>28225.65</v>
      </c>
      <c r="I84" s="35">
        <v>23741.15</v>
      </c>
      <c r="J84" s="35">
        <v>4484.5</v>
      </c>
      <c r="K84" s="37">
        <v>45515</v>
      </c>
      <c r="L84" s="37">
        <v>45517</v>
      </c>
      <c r="M84" s="35" t="s">
        <v>45</v>
      </c>
      <c r="N84" s="35">
        <v>5</v>
      </c>
      <c r="O84" s="35" t="s">
        <v>284</v>
      </c>
      <c r="P84" s="35">
        <v>6.8</v>
      </c>
    </row>
    <row r="85" spans="1:16" ht="15.75" customHeight="1" x14ac:dyDescent="0.3">
      <c r="A85" s="35" t="s">
        <v>285</v>
      </c>
      <c r="B85" s="35" t="s">
        <v>286</v>
      </c>
      <c r="C85" s="35" t="s">
        <v>144</v>
      </c>
      <c r="D85" s="35" t="s">
        <v>19</v>
      </c>
      <c r="E85" s="35" t="s">
        <v>32</v>
      </c>
      <c r="F85" s="35">
        <v>16</v>
      </c>
      <c r="G85" s="35">
        <v>1475.5</v>
      </c>
      <c r="H85" s="35">
        <v>23608</v>
      </c>
      <c r="I85" s="35">
        <v>15605.22</v>
      </c>
      <c r="J85" s="35">
        <v>8002.78</v>
      </c>
      <c r="K85" s="37">
        <v>45533</v>
      </c>
      <c r="L85" s="37">
        <v>45535</v>
      </c>
      <c r="M85" s="35" t="s">
        <v>26</v>
      </c>
      <c r="N85" s="35">
        <v>5</v>
      </c>
      <c r="O85" s="35" t="s">
        <v>39</v>
      </c>
      <c r="P85" s="35">
        <v>7.6</v>
      </c>
    </row>
    <row r="86" spans="1:16" ht="15.75" customHeight="1" x14ac:dyDescent="0.3">
      <c r="A86" s="35" t="s">
        <v>287</v>
      </c>
      <c r="B86" s="35" t="s">
        <v>288</v>
      </c>
      <c r="C86" s="35" t="s">
        <v>72</v>
      </c>
      <c r="D86" s="35" t="s">
        <v>31</v>
      </c>
      <c r="E86" s="35" t="s">
        <v>25</v>
      </c>
      <c r="F86" s="35">
        <v>18</v>
      </c>
      <c r="G86" s="35">
        <v>3104.75</v>
      </c>
      <c r="H86" s="35">
        <v>55885.5</v>
      </c>
      <c r="I86" s="35">
        <v>36924.36</v>
      </c>
      <c r="J86" s="35">
        <v>18961.14</v>
      </c>
      <c r="K86" s="37">
        <v>46097</v>
      </c>
      <c r="L86" s="37">
        <v>46106</v>
      </c>
      <c r="M86" s="35" t="s">
        <v>45</v>
      </c>
      <c r="N86" s="35">
        <v>3</v>
      </c>
      <c r="O86" s="35" t="s">
        <v>289</v>
      </c>
      <c r="P86" s="35">
        <v>9.6</v>
      </c>
    </row>
    <row r="87" spans="1:16" ht="15.75" customHeight="1" x14ac:dyDescent="0.3">
      <c r="A87" s="35" t="s">
        <v>290</v>
      </c>
      <c r="B87" s="35" t="s">
        <v>291</v>
      </c>
      <c r="C87" s="35" t="s">
        <v>42</v>
      </c>
      <c r="D87" s="35" t="s">
        <v>43</v>
      </c>
      <c r="E87" s="35" t="s">
        <v>44</v>
      </c>
      <c r="F87" s="35">
        <v>8</v>
      </c>
      <c r="G87" s="35">
        <v>500.32</v>
      </c>
      <c r="H87" s="35">
        <v>4002.56</v>
      </c>
      <c r="I87" s="35">
        <v>3506.24</v>
      </c>
      <c r="J87" s="35">
        <v>496.32</v>
      </c>
      <c r="K87" s="37">
        <v>46003</v>
      </c>
      <c r="L87" s="37">
        <v>46007</v>
      </c>
      <c r="M87" s="35" t="s">
        <v>69</v>
      </c>
      <c r="N87" s="35">
        <v>5</v>
      </c>
      <c r="O87" s="35" t="s">
        <v>208</v>
      </c>
      <c r="P87" s="35">
        <v>6.8</v>
      </c>
    </row>
    <row r="88" spans="1:16" ht="15.75" customHeight="1" x14ac:dyDescent="0.3">
      <c r="A88" s="35" t="s">
        <v>292</v>
      </c>
      <c r="B88" s="35" t="s">
        <v>293</v>
      </c>
      <c r="C88" s="35" t="s">
        <v>42</v>
      </c>
      <c r="D88" s="35" t="s">
        <v>43</v>
      </c>
      <c r="E88" s="35" t="s">
        <v>44</v>
      </c>
      <c r="F88" s="35">
        <v>19</v>
      </c>
      <c r="G88" s="35">
        <v>4084.08</v>
      </c>
      <c r="H88" s="35">
        <v>77597.52</v>
      </c>
      <c r="I88" s="35">
        <v>63952.55</v>
      </c>
      <c r="J88" s="35">
        <v>13644.97</v>
      </c>
      <c r="K88" s="37">
        <v>46103</v>
      </c>
      <c r="L88" s="37">
        <v>46108</v>
      </c>
      <c r="M88" s="35" t="s">
        <v>123</v>
      </c>
      <c r="N88" s="35">
        <v>2</v>
      </c>
      <c r="O88" s="35" t="s">
        <v>294</v>
      </c>
      <c r="P88" s="35">
        <v>7.7</v>
      </c>
    </row>
    <row r="89" spans="1:16" ht="15.75" customHeight="1" x14ac:dyDescent="0.3">
      <c r="A89" s="35" t="s">
        <v>295</v>
      </c>
      <c r="B89" s="35" t="s">
        <v>296</v>
      </c>
      <c r="C89" s="35" t="s">
        <v>72</v>
      </c>
      <c r="D89" s="35" t="s">
        <v>31</v>
      </c>
      <c r="E89" s="35" t="s">
        <v>20</v>
      </c>
      <c r="F89" s="35">
        <v>7</v>
      </c>
      <c r="G89" s="35">
        <v>4753.59</v>
      </c>
      <c r="H89" s="35">
        <v>33275.129999999997</v>
      </c>
      <c r="I89" s="35">
        <v>29211.77</v>
      </c>
      <c r="J89" s="35">
        <v>4063.36</v>
      </c>
      <c r="K89" s="37">
        <v>45471</v>
      </c>
      <c r="L89" s="37">
        <v>45477</v>
      </c>
      <c r="M89" s="35" t="s">
        <v>181</v>
      </c>
      <c r="N89" s="35">
        <v>3</v>
      </c>
      <c r="O89" s="35" t="s">
        <v>297</v>
      </c>
      <c r="P89" s="35">
        <v>6.8</v>
      </c>
    </row>
    <row r="90" spans="1:16" ht="15.75" customHeight="1" x14ac:dyDescent="0.3">
      <c r="A90" s="35" t="s">
        <v>298</v>
      </c>
      <c r="B90" s="35" t="s">
        <v>299</v>
      </c>
      <c r="C90" s="35" t="s">
        <v>57</v>
      </c>
      <c r="D90" s="35" t="s">
        <v>19</v>
      </c>
      <c r="E90" s="35" t="s">
        <v>32</v>
      </c>
      <c r="F90" s="35">
        <v>11</v>
      </c>
      <c r="G90" s="35">
        <v>2880.98</v>
      </c>
      <c r="H90" s="35">
        <v>31690.78</v>
      </c>
      <c r="I90" s="35">
        <v>27343.8</v>
      </c>
      <c r="J90" s="35">
        <v>4346.9799999999996</v>
      </c>
      <c r="K90" s="37">
        <v>45899</v>
      </c>
      <c r="L90" s="37">
        <v>45903</v>
      </c>
      <c r="M90" s="35" t="s">
        <v>69</v>
      </c>
      <c r="N90" s="35">
        <v>4</v>
      </c>
      <c r="O90" s="35" t="s">
        <v>300</v>
      </c>
      <c r="P90" s="35">
        <v>7.4</v>
      </c>
    </row>
    <row r="91" spans="1:16" ht="15.75" customHeight="1" x14ac:dyDescent="0.3">
      <c r="A91" s="35" t="s">
        <v>301</v>
      </c>
      <c r="B91" s="35" t="s">
        <v>302</v>
      </c>
      <c r="C91" s="35" t="s">
        <v>30</v>
      </c>
      <c r="D91" s="35" t="s">
        <v>31</v>
      </c>
      <c r="E91" s="35" t="s">
        <v>44</v>
      </c>
      <c r="F91" s="35">
        <v>10</v>
      </c>
      <c r="G91" s="35">
        <v>3521.88</v>
      </c>
      <c r="H91" s="35">
        <v>35218.800000000003</v>
      </c>
      <c r="I91" s="35">
        <v>30325.49</v>
      </c>
      <c r="J91" s="35">
        <v>4893.3100000000004</v>
      </c>
      <c r="K91" s="37">
        <v>45775</v>
      </c>
      <c r="L91" s="37">
        <v>45776</v>
      </c>
      <c r="M91" s="35" t="s">
        <v>26</v>
      </c>
      <c r="N91" s="35">
        <v>1</v>
      </c>
      <c r="O91" s="35" t="s">
        <v>297</v>
      </c>
      <c r="P91" s="35">
        <v>6.5</v>
      </c>
    </row>
    <row r="92" spans="1:16" ht="15.75" customHeight="1" x14ac:dyDescent="0.3">
      <c r="A92" s="35" t="s">
        <v>303</v>
      </c>
      <c r="B92" s="35" t="s">
        <v>304</v>
      </c>
      <c r="C92" s="35" t="s">
        <v>72</v>
      </c>
      <c r="D92" s="35" t="s">
        <v>31</v>
      </c>
      <c r="E92" s="35" t="s">
        <v>20</v>
      </c>
      <c r="F92" s="35">
        <v>20</v>
      </c>
      <c r="G92" s="35">
        <v>2784.39</v>
      </c>
      <c r="H92" s="35">
        <v>55687.8</v>
      </c>
      <c r="I92" s="35">
        <v>39923.4</v>
      </c>
      <c r="J92" s="35">
        <v>15764.4</v>
      </c>
      <c r="K92" s="37">
        <v>45458</v>
      </c>
      <c r="L92" s="37">
        <v>45465</v>
      </c>
      <c r="M92" s="35" t="s">
        <v>26</v>
      </c>
      <c r="N92" s="35">
        <v>2</v>
      </c>
      <c r="O92" s="35" t="s">
        <v>305</v>
      </c>
      <c r="P92" s="35">
        <v>8</v>
      </c>
    </row>
    <row r="93" spans="1:16" ht="15.75" customHeight="1" x14ac:dyDescent="0.3">
      <c r="A93" s="35" t="s">
        <v>306</v>
      </c>
      <c r="B93" s="35" t="s">
        <v>307</v>
      </c>
      <c r="C93" s="35" t="s">
        <v>42</v>
      </c>
      <c r="D93" s="35" t="s">
        <v>43</v>
      </c>
      <c r="E93" s="35" t="s">
        <v>20</v>
      </c>
      <c r="F93" s="35">
        <v>4</v>
      </c>
      <c r="G93" s="35">
        <v>4871.3999999999996</v>
      </c>
      <c r="H93" s="35">
        <v>19485.599999999999</v>
      </c>
      <c r="I93" s="35">
        <v>15361.62</v>
      </c>
      <c r="J93" s="35">
        <v>4123.9799999999996</v>
      </c>
      <c r="K93" s="37">
        <v>46108</v>
      </c>
      <c r="L93" s="37">
        <v>46116</v>
      </c>
      <c r="M93" s="35" t="s">
        <v>45</v>
      </c>
      <c r="N93" s="35">
        <v>5</v>
      </c>
      <c r="O93" s="35" t="s">
        <v>308</v>
      </c>
      <c r="P93" s="35">
        <v>7.1</v>
      </c>
    </row>
    <row r="94" spans="1:16" ht="15.75" customHeight="1" x14ac:dyDescent="0.3">
      <c r="A94" s="35" t="s">
        <v>309</v>
      </c>
      <c r="B94" s="35" t="s">
        <v>310</v>
      </c>
      <c r="C94" s="35" t="s">
        <v>37</v>
      </c>
      <c r="D94" s="35" t="s">
        <v>19</v>
      </c>
      <c r="E94" s="35" t="s">
        <v>44</v>
      </c>
      <c r="F94" s="35">
        <v>13</v>
      </c>
      <c r="G94" s="35">
        <v>2833.33</v>
      </c>
      <c r="H94" s="35">
        <v>36833.29</v>
      </c>
      <c r="I94" s="35">
        <v>29350.76</v>
      </c>
      <c r="J94" s="35">
        <v>7482.53</v>
      </c>
      <c r="K94" s="37">
        <v>45859</v>
      </c>
      <c r="L94" s="37">
        <v>45862</v>
      </c>
      <c r="M94" s="35" t="s">
        <v>50</v>
      </c>
      <c r="N94" s="35">
        <v>4</v>
      </c>
      <c r="O94" s="35" t="s">
        <v>267</v>
      </c>
      <c r="P94" s="35">
        <v>7.5</v>
      </c>
    </row>
    <row r="95" spans="1:16" ht="15.75" customHeight="1" x14ac:dyDescent="0.3">
      <c r="A95" s="35" t="s">
        <v>311</v>
      </c>
      <c r="B95" s="35" t="s">
        <v>312</v>
      </c>
      <c r="C95" s="35" t="s">
        <v>42</v>
      </c>
      <c r="D95" s="35" t="s">
        <v>43</v>
      </c>
      <c r="E95" s="35" t="s">
        <v>32</v>
      </c>
      <c r="F95" s="35">
        <v>13</v>
      </c>
      <c r="G95" s="35">
        <v>655.20000000000005</v>
      </c>
      <c r="H95" s="35">
        <v>8517.6</v>
      </c>
      <c r="I95" s="35">
        <v>5244.88</v>
      </c>
      <c r="J95" s="35">
        <v>3272.72</v>
      </c>
      <c r="K95" s="37">
        <v>45618</v>
      </c>
      <c r="L95" s="37">
        <v>45627</v>
      </c>
      <c r="M95" s="35" t="s">
        <v>45</v>
      </c>
      <c r="N95" s="35">
        <v>3</v>
      </c>
      <c r="O95" s="35" t="s">
        <v>313</v>
      </c>
      <c r="P95" s="35">
        <v>6</v>
      </c>
    </row>
    <row r="96" spans="1:16" ht="15.75" customHeight="1" x14ac:dyDescent="0.3">
      <c r="A96" s="35" t="s">
        <v>314</v>
      </c>
      <c r="B96" s="35" t="s">
        <v>315</v>
      </c>
      <c r="C96" s="35" t="s">
        <v>18</v>
      </c>
      <c r="D96" s="35" t="s">
        <v>19</v>
      </c>
      <c r="E96" s="35" t="s">
        <v>25</v>
      </c>
      <c r="F96" s="35">
        <v>17</v>
      </c>
      <c r="G96" s="35">
        <v>3162.15</v>
      </c>
      <c r="H96" s="35">
        <v>53756.55</v>
      </c>
      <c r="I96" s="35">
        <v>41259.93</v>
      </c>
      <c r="J96" s="35">
        <v>12496.62</v>
      </c>
      <c r="K96" s="37">
        <v>45523</v>
      </c>
      <c r="L96" s="37">
        <v>45530</v>
      </c>
      <c r="M96" s="35" t="s">
        <v>38</v>
      </c>
      <c r="N96" s="35">
        <v>3</v>
      </c>
      <c r="O96" s="35" t="s">
        <v>108</v>
      </c>
      <c r="P96" s="35">
        <v>9.9</v>
      </c>
    </row>
    <row r="97" spans="1:16" ht="15.75" customHeight="1" x14ac:dyDescent="0.3">
      <c r="A97" s="35" t="s">
        <v>316</v>
      </c>
      <c r="B97" s="35" t="s">
        <v>317</v>
      </c>
      <c r="C97" s="35" t="s">
        <v>139</v>
      </c>
      <c r="D97" s="35" t="s">
        <v>31</v>
      </c>
      <c r="E97" s="35" t="s">
        <v>44</v>
      </c>
      <c r="F97" s="35">
        <v>17</v>
      </c>
      <c r="G97" s="35">
        <v>3335.57</v>
      </c>
      <c r="H97" s="35">
        <v>56704.69</v>
      </c>
      <c r="I97" s="35">
        <v>32110.959999999999</v>
      </c>
      <c r="J97" s="35">
        <v>24593.73</v>
      </c>
      <c r="K97" s="37">
        <v>45611</v>
      </c>
      <c r="L97" s="37">
        <v>45621</v>
      </c>
      <c r="M97" s="35" t="s">
        <v>181</v>
      </c>
      <c r="N97" s="35">
        <v>5</v>
      </c>
      <c r="O97" s="35" t="s">
        <v>318</v>
      </c>
      <c r="P97" s="35">
        <v>8.6999999999999993</v>
      </c>
    </row>
    <row r="98" spans="1:16" ht="15.75" customHeight="1" x14ac:dyDescent="0.3">
      <c r="A98" s="35" t="s">
        <v>319</v>
      </c>
      <c r="B98" s="35" t="s">
        <v>320</v>
      </c>
      <c r="C98" s="35" t="s">
        <v>144</v>
      </c>
      <c r="D98" s="35" t="s">
        <v>19</v>
      </c>
      <c r="E98" s="35" t="s">
        <v>25</v>
      </c>
      <c r="F98" s="35">
        <v>11</v>
      </c>
      <c r="G98" s="35">
        <v>3180.88</v>
      </c>
      <c r="H98" s="35">
        <v>34989.68</v>
      </c>
      <c r="I98" s="35">
        <v>21284.66</v>
      </c>
      <c r="J98" s="35">
        <v>13705.02</v>
      </c>
      <c r="K98" s="37">
        <v>45621</v>
      </c>
      <c r="L98" s="37">
        <v>45631</v>
      </c>
      <c r="M98" s="35" t="s">
        <v>69</v>
      </c>
      <c r="N98" s="35">
        <v>3</v>
      </c>
      <c r="O98" s="35" t="s">
        <v>27</v>
      </c>
      <c r="P98" s="35">
        <v>7.6</v>
      </c>
    </row>
    <row r="99" spans="1:16" ht="15.75" customHeight="1" x14ac:dyDescent="0.3">
      <c r="A99" s="35" t="s">
        <v>321</v>
      </c>
      <c r="B99" s="35" t="s">
        <v>322</v>
      </c>
      <c r="C99" s="35" t="s">
        <v>62</v>
      </c>
      <c r="D99" s="35" t="s">
        <v>31</v>
      </c>
      <c r="E99" s="35" t="s">
        <v>32</v>
      </c>
      <c r="F99" s="35">
        <v>4</v>
      </c>
      <c r="G99" s="35">
        <v>2162.7199999999998</v>
      </c>
      <c r="H99" s="35">
        <v>8650.8799999999992</v>
      </c>
      <c r="I99" s="35">
        <v>6105.24</v>
      </c>
      <c r="J99" s="35">
        <v>2545.64</v>
      </c>
      <c r="K99" s="37">
        <v>45704</v>
      </c>
      <c r="L99" s="37">
        <v>45705</v>
      </c>
      <c r="M99" s="35" t="s">
        <v>33</v>
      </c>
      <c r="N99" s="35">
        <v>2</v>
      </c>
      <c r="O99" s="35" t="s">
        <v>54</v>
      </c>
      <c r="P99" s="35">
        <v>9.5</v>
      </c>
    </row>
    <row r="100" spans="1:16" ht="15.75" customHeight="1" x14ac:dyDescent="0.3">
      <c r="A100" s="35" t="s">
        <v>323</v>
      </c>
      <c r="B100" s="35" t="s">
        <v>324</v>
      </c>
      <c r="C100" s="35" t="s">
        <v>219</v>
      </c>
      <c r="D100" s="35" t="s">
        <v>43</v>
      </c>
      <c r="E100" s="35" t="s">
        <v>20</v>
      </c>
      <c r="F100" s="35">
        <v>6</v>
      </c>
      <c r="G100" s="35">
        <v>2371.96</v>
      </c>
      <c r="H100" s="35">
        <v>14231.76</v>
      </c>
      <c r="I100" s="35">
        <v>8186.05</v>
      </c>
      <c r="J100" s="35">
        <v>6045.71</v>
      </c>
      <c r="K100" s="37">
        <v>45842</v>
      </c>
      <c r="L100" s="37">
        <v>45848</v>
      </c>
      <c r="M100" s="35" t="s">
        <v>21</v>
      </c>
      <c r="N100" s="35">
        <v>5</v>
      </c>
      <c r="O100" s="35" t="s">
        <v>325</v>
      </c>
      <c r="P100" s="35">
        <v>8.8000000000000007</v>
      </c>
    </row>
    <row r="101" spans="1:16" ht="15.75" customHeight="1" x14ac:dyDescent="0.3">
      <c r="A101" s="35" t="s">
        <v>326</v>
      </c>
      <c r="B101" s="35" t="s">
        <v>327</v>
      </c>
      <c r="C101" s="35" t="s">
        <v>42</v>
      </c>
      <c r="D101" s="35" t="s">
        <v>43</v>
      </c>
      <c r="E101" s="35" t="s">
        <v>32</v>
      </c>
      <c r="F101" s="35">
        <v>11</v>
      </c>
      <c r="G101" s="35">
        <v>2460.5300000000002</v>
      </c>
      <c r="H101" s="35">
        <v>27065.83</v>
      </c>
      <c r="I101" s="35">
        <v>17693.79</v>
      </c>
      <c r="J101" s="35">
        <v>9372.0400000000009</v>
      </c>
      <c r="K101" s="37">
        <v>45662</v>
      </c>
      <c r="L101" s="37">
        <v>45672</v>
      </c>
      <c r="M101" s="35" t="s">
        <v>26</v>
      </c>
      <c r="N101" s="35">
        <v>2</v>
      </c>
      <c r="O101" s="35" t="s">
        <v>96</v>
      </c>
      <c r="P101" s="35">
        <v>9.9</v>
      </c>
    </row>
    <row r="102" spans="1:16" ht="15.75" customHeight="1" x14ac:dyDescent="0.3">
      <c r="A102" s="35" t="s">
        <v>328</v>
      </c>
      <c r="B102" s="35" t="s">
        <v>329</v>
      </c>
      <c r="C102" s="35" t="s">
        <v>139</v>
      </c>
      <c r="D102" s="35" t="s">
        <v>31</v>
      </c>
      <c r="E102" s="35" t="s">
        <v>20</v>
      </c>
      <c r="F102" s="35">
        <v>1</v>
      </c>
      <c r="G102" s="35">
        <v>3659.4</v>
      </c>
      <c r="H102" s="35">
        <v>3659.4</v>
      </c>
      <c r="I102" s="35">
        <v>2933.66</v>
      </c>
      <c r="J102" s="35">
        <v>725.74</v>
      </c>
      <c r="K102" s="37">
        <v>46016</v>
      </c>
      <c r="L102" s="37">
        <v>46020</v>
      </c>
      <c r="M102" s="35" t="s">
        <v>38</v>
      </c>
      <c r="N102" s="35">
        <v>3</v>
      </c>
      <c r="O102" s="35" t="s">
        <v>254</v>
      </c>
      <c r="P102" s="35">
        <v>8.3000000000000007</v>
      </c>
    </row>
    <row r="103" spans="1:16" ht="15.75" customHeight="1" x14ac:dyDescent="0.3">
      <c r="A103" s="35" t="s">
        <v>330</v>
      </c>
      <c r="B103" s="35" t="s">
        <v>331</v>
      </c>
      <c r="C103" s="35" t="s">
        <v>72</v>
      </c>
      <c r="D103" s="35" t="s">
        <v>31</v>
      </c>
      <c r="E103" s="35" t="s">
        <v>20</v>
      </c>
      <c r="F103" s="35">
        <v>8</v>
      </c>
      <c r="G103" s="35">
        <v>3311.54</v>
      </c>
      <c r="H103" s="35">
        <v>26492.32</v>
      </c>
      <c r="I103" s="35">
        <v>20087.060000000001</v>
      </c>
      <c r="J103" s="35">
        <v>6405.26</v>
      </c>
      <c r="K103" s="37">
        <v>46074</v>
      </c>
      <c r="L103" s="37">
        <v>46078</v>
      </c>
      <c r="M103" s="35" t="s">
        <v>38</v>
      </c>
      <c r="N103" s="35">
        <v>5</v>
      </c>
      <c r="O103" s="35" t="s">
        <v>332</v>
      </c>
      <c r="P103" s="35">
        <v>6.2</v>
      </c>
    </row>
    <row r="104" spans="1:16" ht="15.75" customHeight="1" x14ac:dyDescent="0.3">
      <c r="A104" s="35" t="s">
        <v>333</v>
      </c>
      <c r="B104" s="35" t="s">
        <v>334</v>
      </c>
      <c r="C104" s="35" t="s">
        <v>72</v>
      </c>
      <c r="D104" s="35" t="s">
        <v>31</v>
      </c>
      <c r="E104" s="35" t="s">
        <v>32</v>
      </c>
      <c r="F104" s="35">
        <v>10</v>
      </c>
      <c r="G104" s="35">
        <v>4008.72</v>
      </c>
      <c r="H104" s="35">
        <v>40087.199999999997</v>
      </c>
      <c r="I104" s="35">
        <v>20958.46</v>
      </c>
      <c r="J104" s="35">
        <v>19128.740000000002</v>
      </c>
      <c r="K104" s="37">
        <v>46009</v>
      </c>
      <c r="L104" s="37">
        <v>46010</v>
      </c>
      <c r="M104" s="35" t="s">
        <v>181</v>
      </c>
      <c r="N104" s="35">
        <v>4</v>
      </c>
      <c r="O104" s="35" t="s">
        <v>335</v>
      </c>
      <c r="P104" s="35">
        <v>6.2</v>
      </c>
    </row>
    <row r="105" spans="1:16" ht="15.75" customHeight="1" x14ac:dyDescent="0.3">
      <c r="A105" s="35" t="s">
        <v>336</v>
      </c>
      <c r="B105" s="35" t="s">
        <v>337</v>
      </c>
      <c r="C105" s="35" t="s">
        <v>95</v>
      </c>
      <c r="D105" s="35" t="s">
        <v>19</v>
      </c>
      <c r="E105" s="35" t="s">
        <v>25</v>
      </c>
      <c r="F105" s="35">
        <v>1</v>
      </c>
      <c r="G105" s="35">
        <v>103.5</v>
      </c>
      <c r="H105" s="35">
        <v>103.5</v>
      </c>
      <c r="I105" s="35">
        <v>93.02</v>
      </c>
      <c r="J105" s="35">
        <v>10.48</v>
      </c>
      <c r="K105" s="37">
        <v>46003</v>
      </c>
      <c r="L105" s="37">
        <v>46009</v>
      </c>
      <c r="M105" s="35" t="s">
        <v>33</v>
      </c>
      <c r="N105" s="35">
        <v>1</v>
      </c>
      <c r="O105" s="35" t="s">
        <v>108</v>
      </c>
      <c r="P105" s="35">
        <v>8.8000000000000007</v>
      </c>
    </row>
    <row r="106" spans="1:16" ht="15.75" customHeight="1" x14ac:dyDescent="0.3">
      <c r="A106" s="35" t="s">
        <v>338</v>
      </c>
      <c r="B106" s="35" t="s">
        <v>339</v>
      </c>
      <c r="C106" s="35" t="s">
        <v>57</v>
      </c>
      <c r="D106" s="35" t="s">
        <v>19</v>
      </c>
      <c r="E106" s="35" t="s">
        <v>25</v>
      </c>
      <c r="F106" s="35">
        <v>6</v>
      </c>
      <c r="G106" s="35">
        <v>3585.98</v>
      </c>
      <c r="H106" s="35">
        <v>21515.88</v>
      </c>
      <c r="I106" s="35">
        <v>18949.61</v>
      </c>
      <c r="J106" s="35">
        <v>2566.27</v>
      </c>
      <c r="K106" s="37">
        <v>45508</v>
      </c>
      <c r="L106" s="37">
        <v>45510</v>
      </c>
      <c r="M106" s="35" t="s">
        <v>69</v>
      </c>
      <c r="N106" s="35">
        <v>2</v>
      </c>
      <c r="O106" s="35" t="s">
        <v>340</v>
      </c>
      <c r="P106" s="35">
        <v>9.4</v>
      </c>
    </row>
    <row r="107" spans="1:16" ht="15.75" customHeight="1" x14ac:dyDescent="0.3">
      <c r="A107" s="35" t="s">
        <v>341</v>
      </c>
      <c r="B107" s="35" t="s">
        <v>342</v>
      </c>
      <c r="C107" s="35" t="s">
        <v>88</v>
      </c>
      <c r="D107" s="35" t="s">
        <v>31</v>
      </c>
      <c r="E107" s="35" t="s">
        <v>25</v>
      </c>
      <c r="F107" s="35">
        <v>4</v>
      </c>
      <c r="G107" s="35">
        <v>94</v>
      </c>
      <c r="H107" s="35">
        <v>376</v>
      </c>
      <c r="I107" s="35">
        <v>242.64</v>
      </c>
      <c r="J107" s="35">
        <v>133.36000000000001</v>
      </c>
      <c r="K107" s="37">
        <v>45541</v>
      </c>
      <c r="L107" s="37">
        <v>45544</v>
      </c>
      <c r="M107" s="35" t="s">
        <v>38</v>
      </c>
      <c r="N107" s="35">
        <v>5</v>
      </c>
      <c r="O107" s="35" t="s">
        <v>343</v>
      </c>
      <c r="P107" s="35">
        <v>6.9</v>
      </c>
    </row>
    <row r="108" spans="1:16" ht="15.75" customHeight="1" x14ac:dyDescent="0.3">
      <c r="A108" s="35" t="s">
        <v>344</v>
      </c>
      <c r="B108" s="35" t="s">
        <v>345</v>
      </c>
      <c r="C108" s="35" t="s">
        <v>42</v>
      </c>
      <c r="D108" s="35" t="s">
        <v>43</v>
      </c>
      <c r="E108" s="35" t="s">
        <v>44</v>
      </c>
      <c r="F108" s="35">
        <v>4</v>
      </c>
      <c r="G108" s="35">
        <v>1444.02</v>
      </c>
      <c r="H108" s="35">
        <v>5776.08</v>
      </c>
      <c r="I108" s="35">
        <v>3999.55</v>
      </c>
      <c r="J108" s="35">
        <v>1776.53</v>
      </c>
      <c r="K108" s="37">
        <v>45685</v>
      </c>
      <c r="L108" s="37">
        <v>45687</v>
      </c>
      <c r="M108" s="35" t="s">
        <v>26</v>
      </c>
      <c r="N108" s="35">
        <v>3</v>
      </c>
      <c r="O108" s="35" t="s">
        <v>223</v>
      </c>
      <c r="P108" s="35">
        <v>9.1</v>
      </c>
    </row>
    <row r="109" spans="1:16" ht="15.75" customHeight="1" x14ac:dyDescent="0.3">
      <c r="A109" s="35" t="s">
        <v>346</v>
      </c>
      <c r="B109" s="35" t="s">
        <v>347</v>
      </c>
      <c r="C109" s="35" t="s">
        <v>139</v>
      </c>
      <c r="D109" s="35" t="s">
        <v>31</v>
      </c>
      <c r="E109" s="35" t="s">
        <v>25</v>
      </c>
      <c r="F109" s="35">
        <v>3</v>
      </c>
      <c r="G109" s="35">
        <v>4381.29</v>
      </c>
      <c r="H109" s="35">
        <v>13143.87</v>
      </c>
      <c r="I109" s="35">
        <v>10723.04</v>
      </c>
      <c r="J109" s="35">
        <v>2420.83</v>
      </c>
      <c r="K109" s="37">
        <v>45882</v>
      </c>
      <c r="L109" s="37">
        <v>45891</v>
      </c>
      <c r="M109" s="35" t="s">
        <v>69</v>
      </c>
      <c r="N109" s="35">
        <v>4</v>
      </c>
      <c r="O109" s="35" t="s">
        <v>348</v>
      </c>
      <c r="P109" s="35">
        <v>7.2</v>
      </c>
    </row>
    <row r="110" spans="1:16" ht="15.75" customHeight="1" x14ac:dyDescent="0.3">
      <c r="A110" s="35" t="s">
        <v>349</v>
      </c>
      <c r="B110" s="35" t="s">
        <v>350</v>
      </c>
      <c r="C110" s="35" t="s">
        <v>219</v>
      </c>
      <c r="D110" s="35" t="s">
        <v>43</v>
      </c>
      <c r="E110" s="35" t="s">
        <v>44</v>
      </c>
      <c r="F110" s="35">
        <v>18</v>
      </c>
      <c r="G110" s="35">
        <v>1034.17</v>
      </c>
      <c r="H110" s="35">
        <v>18615.060000000001</v>
      </c>
      <c r="I110" s="35">
        <v>10318.59</v>
      </c>
      <c r="J110" s="35">
        <v>8296.4699999999993</v>
      </c>
      <c r="K110" s="37">
        <v>45628</v>
      </c>
      <c r="L110" s="37">
        <v>45636</v>
      </c>
      <c r="M110" s="35" t="s">
        <v>33</v>
      </c>
      <c r="N110" s="35">
        <v>1</v>
      </c>
      <c r="O110" s="35" t="s">
        <v>351</v>
      </c>
      <c r="P110" s="35">
        <v>8.6</v>
      </c>
    </row>
    <row r="111" spans="1:16" ht="15.75" customHeight="1" x14ac:dyDescent="0.3">
      <c r="A111" s="35" t="s">
        <v>352</v>
      </c>
      <c r="B111" s="35" t="s">
        <v>353</v>
      </c>
      <c r="C111" s="35" t="s">
        <v>62</v>
      </c>
      <c r="D111" s="35" t="s">
        <v>31</v>
      </c>
      <c r="E111" s="35" t="s">
        <v>44</v>
      </c>
      <c r="F111" s="35">
        <v>12</v>
      </c>
      <c r="G111" s="35">
        <v>3201.32</v>
      </c>
      <c r="H111" s="35">
        <v>38415.839999999997</v>
      </c>
      <c r="I111" s="35">
        <v>25204.81</v>
      </c>
      <c r="J111" s="35">
        <v>13211.03</v>
      </c>
      <c r="K111" s="37">
        <v>45599</v>
      </c>
      <c r="L111" s="37">
        <v>45603</v>
      </c>
      <c r="M111" s="35" t="s">
        <v>58</v>
      </c>
      <c r="N111" s="35">
        <v>3</v>
      </c>
      <c r="O111" s="35" t="s">
        <v>354</v>
      </c>
      <c r="P111" s="35">
        <v>8.1999999999999993</v>
      </c>
    </row>
    <row r="112" spans="1:16" ht="15.75" customHeight="1" x14ac:dyDescent="0.3">
      <c r="A112" s="35" t="s">
        <v>355</v>
      </c>
      <c r="B112" s="35" t="s">
        <v>356</v>
      </c>
      <c r="C112" s="35" t="s">
        <v>195</v>
      </c>
      <c r="D112" s="35" t="s">
        <v>43</v>
      </c>
      <c r="E112" s="35" t="s">
        <v>32</v>
      </c>
      <c r="F112" s="35">
        <v>1</v>
      </c>
      <c r="G112" s="35">
        <v>1809.51</v>
      </c>
      <c r="H112" s="35">
        <v>1809.51</v>
      </c>
      <c r="I112" s="35">
        <v>1035.46</v>
      </c>
      <c r="J112" s="35">
        <v>774.05</v>
      </c>
      <c r="K112" s="37">
        <v>45520</v>
      </c>
      <c r="L112" s="37">
        <v>45528</v>
      </c>
      <c r="M112" s="35" t="s">
        <v>45</v>
      </c>
      <c r="N112" s="35">
        <v>2</v>
      </c>
      <c r="O112" s="35" t="s">
        <v>294</v>
      </c>
      <c r="P112" s="35">
        <v>8.9</v>
      </c>
    </row>
    <row r="113" spans="1:16" ht="15.75" customHeight="1" x14ac:dyDescent="0.3">
      <c r="A113" s="35" t="s">
        <v>357</v>
      </c>
      <c r="B113" s="35" t="s">
        <v>358</v>
      </c>
      <c r="C113" s="35" t="s">
        <v>30</v>
      </c>
      <c r="D113" s="35" t="s">
        <v>31</v>
      </c>
      <c r="E113" s="35" t="s">
        <v>32</v>
      </c>
      <c r="F113" s="35">
        <v>15</v>
      </c>
      <c r="G113" s="35">
        <v>455.36</v>
      </c>
      <c r="H113" s="35">
        <v>6830.4</v>
      </c>
      <c r="I113" s="35">
        <v>4095.65</v>
      </c>
      <c r="J113" s="35">
        <v>2734.75</v>
      </c>
      <c r="K113" s="37">
        <v>45571</v>
      </c>
      <c r="L113" s="37">
        <v>45579</v>
      </c>
      <c r="M113" s="35" t="s">
        <v>21</v>
      </c>
      <c r="N113" s="35">
        <v>3</v>
      </c>
      <c r="O113" s="35" t="s">
        <v>359</v>
      </c>
      <c r="P113" s="35">
        <v>9.1</v>
      </c>
    </row>
    <row r="114" spans="1:16" ht="15.75" customHeight="1" x14ac:dyDescent="0.3">
      <c r="A114" s="35" t="s">
        <v>360</v>
      </c>
      <c r="B114" s="35" t="s">
        <v>361</v>
      </c>
      <c r="C114" s="35" t="s">
        <v>57</v>
      </c>
      <c r="D114" s="35" t="s">
        <v>19</v>
      </c>
      <c r="E114" s="35" t="s">
        <v>20</v>
      </c>
      <c r="F114" s="35">
        <v>16</v>
      </c>
      <c r="G114" s="35">
        <v>3481.54</v>
      </c>
      <c r="H114" s="35">
        <v>55704.639999999999</v>
      </c>
      <c r="I114" s="35">
        <v>35538.49</v>
      </c>
      <c r="J114" s="35">
        <v>20166.150000000001</v>
      </c>
      <c r="K114" s="37">
        <v>45461</v>
      </c>
      <c r="L114" s="37">
        <v>45463</v>
      </c>
      <c r="M114" s="35" t="s">
        <v>26</v>
      </c>
      <c r="N114" s="35">
        <v>1</v>
      </c>
      <c r="O114" s="35" t="s">
        <v>362</v>
      </c>
      <c r="P114" s="35">
        <v>6.9</v>
      </c>
    </row>
    <row r="115" spans="1:16" ht="15.75" customHeight="1" x14ac:dyDescent="0.3">
      <c r="A115" s="35" t="s">
        <v>363</v>
      </c>
      <c r="B115" s="35" t="s">
        <v>364</v>
      </c>
      <c r="C115" s="35" t="s">
        <v>139</v>
      </c>
      <c r="D115" s="35" t="s">
        <v>31</v>
      </c>
      <c r="E115" s="35" t="s">
        <v>20</v>
      </c>
      <c r="F115" s="35">
        <v>1</v>
      </c>
      <c r="G115" s="35">
        <v>4329.59</v>
      </c>
      <c r="H115" s="35">
        <v>4329.59</v>
      </c>
      <c r="I115" s="35">
        <v>3575.93</v>
      </c>
      <c r="J115" s="35">
        <v>753.66</v>
      </c>
      <c r="K115" s="37">
        <v>45577</v>
      </c>
      <c r="L115" s="37">
        <v>45584</v>
      </c>
      <c r="M115" s="35" t="s">
        <v>38</v>
      </c>
      <c r="N115" s="35">
        <v>2</v>
      </c>
      <c r="O115" s="35" t="s">
        <v>187</v>
      </c>
      <c r="P115" s="35">
        <v>7.3</v>
      </c>
    </row>
    <row r="116" spans="1:16" ht="15.75" customHeight="1" x14ac:dyDescent="0.3">
      <c r="A116" s="35" t="s">
        <v>365</v>
      </c>
      <c r="B116" s="35" t="s">
        <v>366</v>
      </c>
      <c r="C116" s="35" t="s">
        <v>88</v>
      </c>
      <c r="D116" s="35" t="s">
        <v>31</v>
      </c>
      <c r="E116" s="35" t="s">
        <v>32</v>
      </c>
      <c r="F116" s="35">
        <v>8</v>
      </c>
      <c r="G116" s="35">
        <v>4966.3999999999996</v>
      </c>
      <c r="H116" s="35">
        <v>39731.199999999997</v>
      </c>
      <c r="I116" s="35">
        <v>22242.880000000001</v>
      </c>
      <c r="J116" s="35">
        <v>17488.32</v>
      </c>
      <c r="K116" s="37">
        <v>45972</v>
      </c>
      <c r="L116" s="37">
        <v>45974</v>
      </c>
      <c r="M116" s="35" t="s">
        <v>33</v>
      </c>
      <c r="N116" s="35">
        <v>3</v>
      </c>
      <c r="O116" s="35" t="s">
        <v>367</v>
      </c>
      <c r="P116" s="35">
        <v>6.2</v>
      </c>
    </row>
    <row r="117" spans="1:16" ht="15.75" customHeight="1" x14ac:dyDescent="0.3">
      <c r="A117" s="35" t="s">
        <v>368</v>
      </c>
      <c r="B117" s="35" t="s">
        <v>369</v>
      </c>
      <c r="C117" s="35" t="s">
        <v>57</v>
      </c>
      <c r="D117" s="35" t="s">
        <v>19</v>
      </c>
      <c r="E117" s="35" t="s">
        <v>32</v>
      </c>
      <c r="F117" s="35">
        <v>13</v>
      </c>
      <c r="G117" s="35">
        <v>1767.37</v>
      </c>
      <c r="H117" s="35">
        <v>22975.81</v>
      </c>
      <c r="I117" s="35">
        <v>12245.7</v>
      </c>
      <c r="J117" s="35">
        <v>10730.11</v>
      </c>
      <c r="K117" s="37">
        <v>45999</v>
      </c>
      <c r="L117" s="37">
        <v>46002</v>
      </c>
      <c r="M117" s="35" t="s">
        <v>33</v>
      </c>
      <c r="N117" s="35">
        <v>2</v>
      </c>
      <c r="O117" s="35" t="s">
        <v>370</v>
      </c>
      <c r="P117" s="35">
        <v>6</v>
      </c>
    </row>
    <row r="118" spans="1:16" ht="15.75" customHeight="1" x14ac:dyDescent="0.3">
      <c r="A118" s="35" t="s">
        <v>371</v>
      </c>
      <c r="B118" s="35" t="s">
        <v>372</v>
      </c>
      <c r="C118" s="35" t="s">
        <v>57</v>
      </c>
      <c r="D118" s="35" t="s">
        <v>19</v>
      </c>
      <c r="E118" s="35" t="s">
        <v>25</v>
      </c>
      <c r="F118" s="35">
        <v>9</v>
      </c>
      <c r="G118" s="35">
        <v>779.28</v>
      </c>
      <c r="H118" s="35">
        <v>7013.52</v>
      </c>
      <c r="I118" s="35">
        <v>4936.46</v>
      </c>
      <c r="J118" s="35">
        <v>2077.06</v>
      </c>
      <c r="K118" s="37">
        <v>46009</v>
      </c>
      <c r="L118" s="37">
        <v>46014</v>
      </c>
      <c r="M118" s="35" t="s">
        <v>50</v>
      </c>
      <c r="N118" s="35">
        <v>3</v>
      </c>
      <c r="O118" s="35" t="s">
        <v>130</v>
      </c>
      <c r="P118" s="35">
        <v>7.1</v>
      </c>
    </row>
    <row r="119" spans="1:16" ht="15.75" customHeight="1" x14ac:dyDescent="0.3">
      <c r="A119" s="35" t="s">
        <v>373</v>
      </c>
      <c r="B119" s="35" t="s">
        <v>374</v>
      </c>
      <c r="C119" s="35" t="s">
        <v>62</v>
      </c>
      <c r="D119" s="35" t="s">
        <v>31</v>
      </c>
      <c r="E119" s="35" t="s">
        <v>32</v>
      </c>
      <c r="F119" s="35">
        <v>10</v>
      </c>
      <c r="G119" s="35">
        <v>4845.24</v>
      </c>
      <c r="H119" s="35">
        <v>48452.4</v>
      </c>
      <c r="I119" s="35">
        <v>33126.730000000003</v>
      </c>
      <c r="J119" s="35">
        <v>15325.67</v>
      </c>
      <c r="K119" s="37">
        <v>45732</v>
      </c>
      <c r="L119" s="37">
        <v>45740</v>
      </c>
      <c r="M119" s="35" t="s">
        <v>45</v>
      </c>
      <c r="N119" s="35">
        <v>4</v>
      </c>
      <c r="O119" s="35" t="s">
        <v>375</v>
      </c>
      <c r="P119" s="35">
        <v>6.6</v>
      </c>
    </row>
    <row r="120" spans="1:16" ht="15.75" customHeight="1" x14ac:dyDescent="0.3">
      <c r="A120" s="35" t="s">
        <v>376</v>
      </c>
      <c r="B120" s="35" t="s">
        <v>377</v>
      </c>
      <c r="C120" s="35" t="s">
        <v>30</v>
      </c>
      <c r="D120" s="35" t="s">
        <v>31</v>
      </c>
      <c r="E120" s="35" t="s">
        <v>32</v>
      </c>
      <c r="F120" s="35">
        <v>11</v>
      </c>
      <c r="G120" s="35">
        <v>2219.4</v>
      </c>
      <c r="H120" s="35">
        <v>24413.4</v>
      </c>
      <c r="I120" s="35">
        <v>14362.38</v>
      </c>
      <c r="J120" s="35">
        <v>10051.02</v>
      </c>
      <c r="K120" s="37">
        <v>45611</v>
      </c>
      <c r="L120" s="37">
        <v>45613</v>
      </c>
      <c r="M120" s="35" t="s">
        <v>26</v>
      </c>
      <c r="N120" s="35">
        <v>2</v>
      </c>
      <c r="O120" s="35" t="s">
        <v>378</v>
      </c>
      <c r="P120" s="35">
        <v>7.2</v>
      </c>
    </row>
    <row r="121" spans="1:16" ht="15.75" customHeight="1" x14ac:dyDescent="0.3">
      <c r="A121" s="35" t="s">
        <v>379</v>
      </c>
      <c r="B121" s="35" t="s">
        <v>380</v>
      </c>
      <c r="C121" s="35" t="s">
        <v>88</v>
      </c>
      <c r="D121" s="35" t="s">
        <v>31</v>
      </c>
      <c r="E121" s="35" t="s">
        <v>25</v>
      </c>
      <c r="F121" s="35">
        <v>1</v>
      </c>
      <c r="G121" s="35">
        <v>4102.47</v>
      </c>
      <c r="H121" s="35">
        <v>4102.47</v>
      </c>
      <c r="I121" s="35">
        <v>2591.46</v>
      </c>
      <c r="J121" s="35">
        <v>1511.01</v>
      </c>
      <c r="K121" s="37">
        <v>45447</v>
      </c>
      <c r="L121" s="37">
        <v>45450</v>
      </c>
      <c r="M121" s="35" t="s">
        <v>58</v>
      </c>
      <c r="N121" s="35">
        <v>4</v>
      </c>
      <c r="O121" s="35" t="s">
        <v>214</v>
      </c>
      <c r="P121" s="35">
        <v>8.5</v>
      </c>
    </row>
    <row r="122" spans="1:16" ht="15.75" customHeight="1" x14ac:dyDescent="0.3">
      <c r="A122" s="35" t="s">
        <v>381</v>
      </c>
      <c r="B122" s="35" t="s">
        <v>382</v>
      </c>
      <c r="C122" s="35" t="s">
        <v>18</v>
      </c>
      <c r="D122" s="35" t="s">
        <v>19</v>
      </c>
      <c r="E122" s="35" t="s">
        <v>32</v>
      </c>
      <c r="F122" s="35">
        <v>9</v>
      </c>
      <c r="G122" s="35">
        <v>1188.77</v>
      </c>
      <c r="H122" s="35">
        <v>10698.93</v>
      </c>
      <c r="I122" s="35">
        <v>5796.65</v>
      </c>
      <c r="J122" s="35">
        <v>4902.28</v>
      </c>
      <c r="K122" s="37">
        <v>45840</v>
      </c>
      <c r="L122" s="37">
        <v>45850</v>
      </c>
      <c r="M122" s="35" t="s">
        <v>26</v>
      </c>
      <c r="N122" s="35">
        <v>3</v>
      </c>
      <c r="O122" s="35" t="s">
        <v>383</v>
      </c>
      <c r="P122" s="35">
        <v>8.9</v>
      </c>
    </row>
    <row r="123" spans="1:16" ht="15.75" customHeight="1" x14ac:dyDescent="0.3">
      <c r="A123" s="35" t="s">
        <v>384</v>
      </c>
      <c r="B123" s="35" t="s">
        <v>385</v>
      </c>
      <c r="C123" s="35" t="s">
        <v>144</v>
      </c>
      <c r="D123" s="35" t="s">
        <v>19</v>
      </c>
      <c r="E123" s="35" t="s">
        <v>44</v>
      </c>
      <c r="F123" s="35">
        <v>10</v>
      </c>
      <c r="G123" s="35">
        <v>2934.11</v>
      </c>
      <c r="H123" s="35">
        <v>29341.1</v>
      </c>
      <c r="I123" s="35">
        <v>14732.07</v>
      </c>
      <c r="J123" s="35">
        <v>14609.03</v>
      </c>
      <c r="K123" s="37">
        <v>46059</v>
      </c>
      <c r="L123" s="37">
        <v>46067</v>
      </c>
      <c r="M123" s="35" t="s">
        <v>50</v>
      </c>
      <c r="N123" s="35">
        <v>3</v>
      </c>
      <c r="O123" s="35" t="s">
        <v>386</v>
      </c>
      <c r="P123" s="35">
        <v>6.4</v>
      </c>
    </row>
    <row r="124" spans="1:16" ht="15.75" customHeight="1" x14ac:dyDescent="0.3">
      <c r="A124" s="35" t="s">
        <v>387</v>
      </c>
      <c r="B124" s="35" t="s">
        <v>388</v>
      </c>
      <c r="C124" s="35" t="s">
        <v>144</v>
      </c>
      <c r="D124" s="35" t="s">
        <v>19</v>
      </c>
      <c r="E124" s="35" t="s">
        <v>44</v>
      </c>
      <c r="F124" s="35">
        <v>12</v>
      </c>
      <c r="G124" s="35">
        <v>4548.29</v>
      </c>
      <c r="H124" s="35">
        <v>54579.48</v>
      </c>
      <c r="I124" s="35">
        <v>27735.19</v>
      </c>
      <c r="J124" s="35">
        <v>26844.29</v>
      </c>
      <c r="K124" s="37">
        <v>45996</v>
      </c>
      <c r="L124" s="37">
        <v>46000</v>
      </c>
      <c r="M124" s="35" t="s">
        <v>123</v>
      </c>
      <c r="N124" s="35">
        <v>4</v>
      </c>
      <c r="O124" s="35" t="s">
        <v>211</v>
      </c>
      <c r="P124" s="35">
        <v>8.8000000000000007</v>
      </c>
    </row>
    <row r="125" spans="1:16" ht="15.75" customHeight="1" x14ac:dyDescent="0.3">
      <c r="A125" s="35" t="s">
        <v>389</v>
      </c>
      <c r="B125" s="35" t="s">
        <v>390</v>
      </c>
      <c r="C125" s="35" t="s">
        <v>49</v>
      </c>
      <c r="D125" s="35" t="s">
        <v>43</v>
      </c>
      <c r="E125" s="35" t="s">
        <v>25</v>
      </c>
      <c r="F125" s="35">
        <v>2</v>
      </c>
      <c r="G125" s="35">
        <v>1105.8</v>
      </c>
      <c r="H125" s="35">
        <v>2211.6</v>
      </c>
      <c r="I125" s="35">
        <v>1151.3399999999999</v>
      </c>
      <c r="J125" s="35">
        <v>1060.26</v>
      </c>
      <c r="K125" s="37">
        <v>45549</v>
      </c>
      <c r="L125" s="37">
        <v>45552</v>
      </c>
      <c r="M125" s="35" t="s">
        <v>33</v>
      </c>
      <c r="N125" s="35">
        <v>1</v>
      </c>
      <c r="O125" s="35" t="s">
        <v>391</v>
      </c>
      <c r="P125" s="35">
        <v>8.3000000000000007</v>
      </c>
    </row>
    <row r="126" spans="1:16" ht="15.75" customHeight="1" x14ac:dyDescent="0.3">
      <c r="A126" s="35" t="s">
        <v>392</v>
      </c>
      <c r="B126" s="35" t="s">
        <v>393</v>
      </c>
      <c r="C126" s="35" t="s">
        <v>30</v>
      </c>
      <c r="D126" s="35" t="s">
        <v>31</v>
      </c>
      <c r="E126" s="35" t="s">
        <v>25</v>
      </c>
      <c r="F126" s="35">
        <v>9</v>
      </c>
      <c r="G126" s="35">
        <v>2943.76</v>
      </c>
      <c r="H126" s="35">
        <v>26493.84</v>
      </c>
      <c r="I126" s="35">
        <v>19519.740000000002</v>
      </c>
      <c r="J126" s="35">
        <v>6974.1</v>
      </c>
      <c r="K126" s="37">
        <v>45837</v>
      </c>
      <c r="L126" s="37">
        <v>45838</v>
      </c>
      <c r="M126" s="35" t="s">
        <v>26</v>
      </c>
      <c r="N126" s="35">
        <v>3</v>
      </c>
      <c r="O126" s="35" t="s">
        <v>394</v>
      </c>
      <c r="P126" s="35">
        <v>8.5</v>
      </c>
    </row>
    <row r="127" spans="1:16" ht="15.75" customHeight="1" x14ac:dyDescent="0.3">
      <c r="A127" s="35" t="s">
        <v>395</v>
      </c>
      <c r="B127" s="35" t="s">
        <v>396</v>
      </c>
      <c r="C127" s="35" t="s">
        <v>88</v>
      </c>
      <c r="D127" s="35" t="s">
        <v>31</v>
      </c>
      <c r="E127" s="35" t="s">
        <v>25</v>
      </c>
      <c r="F127" s="35">
        <v>18</v>
      </c>
      <c r="G127" s="35">
        <v>4636.29</v>
      </c>
      <c r="H127" s="35">
        <v>83453.22</v>
      </c>
      <c r="I127" s="35">
        <v>56971.59</v>
      </c>
      <c r="J127" s="35">
        <v>26481.63</v>
      </c>
      <c r="K127" s="37">
        <v>45968</v>
      </c>
      <c r="L127" s="37">
        <v>45972</v>
      </c>
      <c r="M127" s="35" t="s">
        <v>45</v>
      </c>
      <c r="N127" s="35">
        <v>2</v>
      </c>
      <c r="O127" s="35" t="s">
        <v>240</v>
      </c>
      <c r="P127" s="35">
        <v>9.6999999999999993</v>
      </c>
    </row>
    <row r="128" spans="1:16" ht="15.75" customHeight="1" x14ac:dyDescent="0.3">
      <c r="A128" s="35" t="s">
        <v>397</v>
      </c>
      <c r="B128" s="35" t="s">
        <v>398</v>
      </c>
      <c r="C128" s="35" t="s">
        <v>168</v>
      </c>
      <c r="D128" s="35" t="s">
        <v>43</v>
      </c>
      <c r="E128" s="35" t="s">
        <v>20</v>
      </c>
      <c r="F128" s="35">
        <v>12</v>
      </c>
      <c r="G128" s="35">
        <v>3206.43</v>
      </c>
      <c r="H128" s="35">
        <v>38477.160000000003</v>
      </c>
      <c r="I128" s="35">
        <v>26993.03</v>
      </c>
      <c r="J128" s="35">
        <v>11484.13</v>
      </c>
      <c r="K128" s="37">
        <v>46052</v>
      </c>
      <c r="L128" s="37">
        <v>46057</v>
      </c>
      <c r="M128" s="35" t="s">
        <v>123</v>
      </c>
      <c r="N128" s="35">
        <v>4</v>
      </c>
      <c r="O128" s="35" t="s">
        <v>399</v>
      </c>
      <c r="P128" s="35">
        <v>8.1999999999999993</v>
      </c>
    </row>
    <row r="129" spans="1:16" ht="15.75" customHeight="1" x14ac:dyDescent="0.3">
      <c r="A129" s="35" t="s">
        <v>400</v>
      </c>
      <c r="B129" s="35" t="s">
        <v>401</v>
      </c>
      <c r="C129" s="35" t="s">
        <v>18</v>
      </c>
      <c r="D129" s="35" t="s">
        <v>19</v>
      </c>
      <c r="E129" s="35" t="s">
        <v>32</v>
      </c>
      <c r="F129" s="35">
        <v>14</v>
      </c>
      <c r="G129" s="35">
        <v>4105.76</v>
      </c>
      <c r="H129" s="35">
        <v>57480.639999999999</v>
      </c>
      <c r="I129" s="35">
        <v>39790.480000000003</v>
      </c>
      <c r="J129" s="35">
        <v>17690.16</v>
      </c>
      <c r="K129" s="37">
        <v>45993</v>
      </c>
      <c r="L129" s="37">
        <v>46003</v>
      </c>
      <c r="M129" s="35" t="s">
        <v>181</v>
      </c>
      <c r="N129" s="35">
        <v>4</v>
      </c>
      <c r="O129" s="35" t="s">
        <v>73</v>
      </c>
      <c r="P129" s="35">
        <v>9.6</v>
      </c>
    </row>
    <row r="130" spans="1:16" ht="15.75" customHeight="1" x14ac:dyDescent="0.3">
      <c r="A130" s="35" t="s">
        <v>402</v>
      </c>
      <c r="B130" s="35" t="s">
        <v>403</v>
      </c>
      <c r="C130" s="35" t="s">
        <v>72</v>
      </c>
      <c r="D130" s="35" t="s">
        <v>31</v>
      </c>
      <c r="E130" s="35" t="s">
        <v>32</v>
      </c>
      <c r="F130" s="35">
        <v>1</v>
      </c>
      <c r="G130" s="35">
        <v>2727.86</v>
      </c>
      <c r="H130" s="35">
        <v>2727.86</v>
      </c>
      <c r="I130" s="35">
        <v>1644.59</v>
      </c>
      <c r="J130" s="35">
        <v>1083.27</v>
      </c>
      <c r="K130" s="37">
        <v>46001</v>
      </c>
      <c r="L130" s="37">
        <v>46004</v>
      </c>
      <c r="M130" s="35" t="s">
        <v>33</v>
      </c>
      <c r="N130" s="35">
        <v>1</v>
      </c>
      <c r="O130" s="35" t="s">
        <v>246</v>
      </c>
      <c r="P130" s="35">
        <v>7</v>
      </c>
    </row>
    <row r="131" spans="1:16" ht="15.75" customHeight="1" x14ac:dyDescent="0.3">
      <c r="A131" s="35" t="s">
        <v>404</v>
      </c>
      <c r="B131" s="35" t="s">
        <v>405</v>
      </c>
      <c r="C131" s="35" t="s">
        <v>144</v>
      </c>
      <c r="D131" s="35" t="s">
        <v>19</v>
      </c>
      <c r="E131" s="35" t="s">
        <v>25</v>
      </c>
      <c r="F131" s="35">
        <v>19</v>
      </c>
      <c r="G131" s="35">
        <v>3719.11</v>
      </c>
      <c r="H131" s="35">
        <v>70663.09</v>
      </c>
      <c r="I131" s="35">
        <v>54596.35</v>
      </c>
      <c r="J131" s="35">
        <v>16066.74</v>
      </c>
      <c r="K131" s="37">
        <v>45768</v>
      </c>
      <c r="L131" s="37">
        <v>45769</v>
      </c>
      <c r="M131" s="35" t="s">
        <v>26</v>
      </c>
      <c r="N131" s="35">
        <v>4</v>
      </c>
      <c r="O131" s="35" t="s">
        <v>406</v>
      </c>
      <c r="P131" s="35">
        <v>6.7</v>
      </c>
    </row>
    <row r="132" spans="1:16" ht="15.75" customHeight="1" x14ac:dyDescent="0.3">
      <c r="A132" s="35" t="s">
        <v>407</v>
      </c>
      <c r="B132" s="35" t="s">
        <v>408</v>
      </c>
      <c r="C132" s="35" t="s">
        <v>195</v>
      </c>
      <c r="D132" s="35" t="s">
        <v>43</v>
      </c>
      <c r="E132" s="35" t="s">
        <v>20</v>
      </c>
      <c r="F132" s="35">
        <v>1</v>
      </c>
      <c r="G132" s="35">
        <v>4888.83</v>
      </c>
      <c r="H132" s="35">
        <v>4888.83</v>
      </c>
      <c r="I132" s="35">
        <v>2552.35</v>
      </c>
      <c r="J132" s="35">
        <v>2336.48</v>
      </c>
      <c r="K132" s="37">
        <v>45920</v>
      </c>
      <c r="L132" s="37">
        <v>45925</v>
      </c>
      <c r="M132" s="35" t="s">
        <v>38</v>
      </c>
      <c r="N132" s="35">
        <v>5</v>
      </c>
      <c r="O132" s="35" t="s">
        <v>409</v>
      </c>
      <c r="P132" s="35">
        <v>6.8</v>
      </c>
    </row>
    <row r="133" spans="1:16" ht="15.75" customHeight="1" x14ac:dyDescent="0.3">
      <c r="A133" s="35" t="s">
        <v>410</v>
      </c>
      <c r="B133" s="35" t="s">
        <v>411</v>
      </c>
      <c r="C133" s="35" t="s">
        <v>88</v>
      </c>
      <c r="D133" s="35" t="s">
        <v>31</v>
      </c>
      <c r="E133" s="35" t="s">
        <v>44</v>
      </c>
      <c r="F133" s="35">
        <v>11</v>
      </c>
      <c r="G133" s="35">
        <v>2971.45</v>
      </c>
      <c r="H133" s="35">
        <v>32685.95</v>
      </c>
      <c r="I133" s="35">
        <v>28439.65</v>
      </c>
      <c r="J133" s="35">
        <v>4246.3</v>
      </c>
      <c r="K133" s="37">
        <v>45901</v>
      </c>
      <c r="L133" s="37">
        <v>45904</v>
      </c>
      <c r="M133" s="35" t="s">
        <v>69</v>
      </c>
      <c r="N133" s="35">
        <v>4</v>
      </c>
      <c r="O133" s="35" t="s">
        <v>178</v>
      </c>
      <c r="P133" s="35">
        <v>8.5</v>
      </c>
    </row>
    <row r="134" spans="1:16" ht="15.75" customHeight="1" x14ac:dyDescent="0.3">
      <c r="A134" s="35" t="s">
        <v>412</v>
      </c>
      <c r="B134" s="35" t="s">
        <v>413</v>
      </c>
      <c r="C134" s="35" t="s">
        <v>72</v>
      </c>
      <c r="D134" s="35" t="s">
        <v>31</v>
      </c>
      <c r="E134" s="35" t="s">
        <v>25</v>
      </c>
      <c r="F134" s="35">
        <v>13</v>
      </c>
      <c r="G134" s="35">
        <v>2817.11</v>
      </c>
      <c r="H134" s="35">
        <v>36622.43</v>
      </c>
      <c r="I134" s="35">
        <v>22682.85</v>
      </c>
      <c r="J134" s="35">
        <v>13939.58</v>
      </c>
      <c r="K134" s="37">
        <v>45499</v>
      </c>
      <c r="L134" s="37">
        <v>45508</v>
      </c>
      <c r="M134" s="35" t="s">
        <v>69</v>
      </c>
      <c r="N134" s="35">
        <v>2</v>
      </c>
      <c r="O134" s="35" t="s">
        <v>414</v>
      </c>
      <c r="P134" s="35">
        <v>8</v>
      </c>
    </row>
    <row r="135" spans="1:16" ht="15.75" customHeight="1" x14ac:dyDescent="0.3">
      <c r="A135" s="35" t="s">
        <v>415</v>
      </c>
      <c r="B135" s="35" t="s">
        <v>416</v>
      </c>
      <c r="C135" s="35" t="s">
        <v>42</v>
      </c>
      <c r="D135" s="35" t="s">
        <v>43</v>
      </c>
      <c r="E135" s="35" t="s">
        <v>32</v>
      </c>
      <c r="F135" s="35">
        <v>5</v>
      </c>
      <c r="G135" s="35">
        <v>1967.72</v>
      </c>
      <c r="H135" s="35">
        <v>9838.6</v>
      </c>
      <c r="I135" s="35">
        <v>5859.69</v>
      </c>
      <c r="J135" s="35">
        <v>3978.91</v>
      </c>
      <c r="K135" s="37">
        <v>45697</v>
      </c>
      <c r="L135" s="37">
        <v>45700</v>
      </c>
      <c r="M135" s="35" t="s">
        <v>58</v>
      </c>
      <c r="N135" s="35">
        <v>4</v>
      </c>
      <c r="O135" s="35" t="s">
        <v>417</v>
      </c>
      <c r="P135" s="35">
        <v>8.8000000000000007</v>
      </c>
    </row>
    <row r="136" spans="1:16" ht="15.75" customHeight="1" x14ac:dyDescent="0.3">
      <c r="A136" s="35" t="s">
        <v>418</v>
      </c>
      <c r="B136" s="35" t="s">
        <v>419</v>
      </c>
      <c r="C136" s="35" t="s">
        <v>219</v>
      </c>
      <c r="D136" s="35" t="s">
        <v>43</v>
      </c>
      <c r="E136" s="35" t="s">
        <v>20</v>
      </c>
      <c r="F136" s="35">
        <v>20</v>
      </c>
      <c r="G136" s="35">
        <v>1130.3499999999999</v>
      </c>
      <c r="H136" s="35">
        <v>22607</v>
      </c>
      <c r="I136" s="35">
        <v>15054.71</v>
      </c>
      <c r="J136" s="35">
        <v>7552.29</v>
      </c>
      <c r="K136" s="37">
        <v>45890</v>
      </c>
      <c r="L136" s="37">
        <v>45899</v>
      </c>
      <c r="M136" s="35" t="s">
        <v>33</v>
      </c>
      <c r="N136" s="35">
        <v>4</v>
      </c>
      <c r="O136" s="35" t="s">
        <v>420</v>
      </c>
      <c r="P136" s="35">
        <v>8</v>
      </c>
    </row>
    <row r="137" spans="1:16" ht="15.75" customHeight="1" x14ac:dyDescent="0.3">
      <c r="A137" s="35" t="s">
        <v>421</v>
      </c>
      <c r="B137" s="35" t="s">
        <v>422</v>
      </c>
      <c r="C137" s="35" t="s">
        <v>195</v>
      </c>
      <c r="D137" s="35" t="s">
        <v>43</v>
      </c>
      <c r="E137" s="35" t="s">
        <v>44</v>
      </c>
      <c r="F137" s="35">
        <v>20</v>
      </c>
      <c r="G137" s="35">
        <v>1813.56</v>
      </c>
      <c r="H137" s="35">
        <v>36271.199999999997</v>
      </c>
      <c r="I137" s="35">
        <v>25918.6</v>
      </c>
      <c r="J137" s="35">
        <v>10352.6</v>
      </c>
      <c r="K137" s="37">
        <v>45531</v>
      </c>
      <c r="L137" s="37">
        <v>45533</v>
      </c>
      <c r="M137" s="35" t="s">
        <v>33</v>
      </c>
      <c r="N137" s="35">
        <v>4</v>
      </c>
      <c r="O137" s="35" t="s">
        <v>423</v>
      </c>
      <c r="P137" s="35">
        <v>8.3000000000000007</v>
      </c>
    </row>
    <row r="138" spans="1:16" ht="15.75" customHeight="1" x14ac:dyDescent="0.3">
      <c r="A138" s="35" t="s">
        <v>424</v>
      </c>
      <c r="B138" s="35" t="s">
        <v>425</v>
      </c>
      <c r="C138" s="35" t="s">
        <v>42</v>
      </c>
      <c r="D138" s="35" t="s">
        <v>43</v>
      </c>
      <c r="E138" s="35" t="s">
        <v>32</v>
      </c>
      <c r="F138" s="35">
        <v>5</v>
      </c>
      <c r="G138" s="35">
        <v>1763.78</v>
      </c>
      <c r="H138" s="35">
        <v>8818.9</v>
      </c>
      <c r="I138" s="35">
        <v>4823.21</v>
      </c>
      <c r="J138" s="35">
        <v>3995.69</v>
      </c>
      <c r="K138" s="37">
        <v>45775</v>
      </c>
      <c r="L138" s="37">
        <v>45780</v>
      </c>
      <c r="M138" s="35" t="s">
        <v>21</v>
      </c>
      <c r="N138" s="35">
        <v>4</v>
      </c>
      <c r="O138" s="35" t="s">
        <v>426</v>
      </c>
      <c r="P138" s="35">
        <v>6.8</v>
      </c>
    </row>
    <row r="139" spans="1:16" ht="15.75" customHeight="1" x14ac:dyDescent="0.3">
      <c r="A139" s="35" t="s">
        <v>427</v>
      </c>
      <c r="B139" s="35" t="s">
        <v>428</v>
      </c>
      <c r="C139" s="35" t="s">
        <v>57</v>
      </c>
      <c r="D139" s="35" t="s">
        <v>19</v>
      </c>
      <c r="E139" s="35" t="s">
        <v>25</v>
      </c>
      <c r="F139" s="35">
        <v>11</v>
      </c>
      <c r="G139" s="35">
        <v>1847.69</v>
      </c>
      <c r="H139" s="35">
        <v>20324.59</v>
      </c>
      <c r="I139" s="35">
        <v>11413.45</v>
      </c>
      <c r="J139" s="35">
        <v>8911.14</v>
      </c>
      <c r="K139" s="37">
        <v>45703</v>
      </c>
      <c r="L139" s="37">
        <v>45712</v>
      </c>
      <c r="M139" s="35" t="s">
        <v>33</v>
      </c>
      <c r="N139" s="35">
        <v>2</v>
      </c>
      <c r="O139" s="35" t="s">
        <v>429</v>
      </c>
      <c r="P139" s="35">
        <v>9.5</v>
      </c>
    </row>
    <row r="140" spans="1:16" ht="15.75" customHeight="1" x14ac:dyDescent="0.3">
      <c r="A140" s="35" t="s">
        <v>430</v>
      </c>
      <c r="B140" s="35" t="s">
        <v>431</v>
      </c>
      <c r="C140" s="35" t="s">
        <v>37</v>
      </c>
      <c r="D140" s="35" t="s">
        <v>19</v>
      </c>
      <c r="E140" s="35" t="s">
        <v>44</v>
      </c>
      <c r="F140" s="35">
        <v>12</v>
      </c>
      <c r="G140" s="35">
        <v>3236.66</v>
      </c>
      <c r="H140" s="35">
        <v>38839.919999999998</v>
      </c>
      <c r="I140" s="35">
        <v>29231.25</v>
      </c>
      <c r="J140" s="35">
        <v>9608.67</v>
      </c>
      <c r="K140" s="37">
        <v>46072</v>
      </c>
      <c r="L140" s="37">
        <v>46079</v>
      </c>
      <c r="M140" s="35" t="s">
        <v>33</v>
      </c>
      <c r="N140" s="35">
        <v>1</v>
      </c>
      <c r="O140" s="35" t="s">
        <v>313</v>
      </c>
      <c r="P140" s="35">
        <v>8.6</v>
      </c>
    </row>
    <row r="141" spans="1:16" ht="15.75" customHeight="1" x14ac:dyDescent="0.3">
      <c r="A141" s="35" t="s">
        <v>432</v>
      </c>
      <c r="B141" s="35" t="s">
        <v>433</v>
      </c>
      <c r="C141" s="35" t="s">
        <v>72</v>
      </c>
      <c r="D141" s="35" t="s">
        <v>31</v>
      </c>
      <c r="E141" s="35" t="s">
        <v>44</v>
      </c>
      <c r="F141" s="35">
        <v>18</v>
      </c>
      <c r="G141" s="35">
        <v>2087.0300000000002</v>
      </c>
      <c r="H141" s="35">
        <v>37566.54</v>
      </c>
      <c r="I141" s="35">
        <v>23695.3</v>
      </c>
      <c r="J141" s="35">
        <v>13871.24</v>
      </c>
      <c r="K141" s="37">
        <v>45881</v>
      </c>
      <c r="L141" s="37">
        <v>45884</v>
      </c>
      <c r="M141" s="35" t="s">
        <v>45</v>
      </c>
      <c r="N141" s="35">
        <v>4</v>
      </c>
      <c r="O141" s="35" t="s">
        <v>354</v>
      </c>
      <c r="P141" s="35">
        <v>9.6999999999999993</v>
      </c>
    </row>
    <row r="142" spans="1:16" ht="15.75" customHeight="1" x14ac:dyDescent="0.3">
      <c r="A142" s="35" t="s">
        <v>434</v>
      </c>
      <c r="B142" s="35" t="s">
        <v>435</v>
      </c>
      <c r="C142" s="35" t="s">
        <v>88</v>
      </c>
      <c r="D142" s="35" t="s">
        <v>31</v>
      </c>
      <c r="E142" s="35" t="s">
        <v>25</v>
      </c>
      <c r="F142" s="35">
        <v>4</v>
      </c>
      <c r="G142" s="35">
        <v>3524.72</v>
      </c>
      <c r="H142" s="35">
        <v>14098.88</v>
      </c>
      <c r="I142" s="35">
        <v>10013.14</v>
      </c>
      <c r="J142" s="35">
        <v>4085.74</v>
      </c>
      <c r="K142" s="37">
        <v>45826</v>
      </c>
      <c r="L142" s="37">
        <v>45830</v>
      </c>
      <c r="M142" s="35" t="s">
        <v>45</v>
      </c>
      <c r="N142" s="35">
        <v>2</v>
      </c>
      <c r="O142" s="35" t="s">
        <v>436</v>
      </c>
      <c r="P142" s="35">
        <v>7.5</v>
      </c>
    </row>
    <row r="143" spans="1:16" ht="15.75" customHeight="1" x14ac:dyDescent="0.3">
      <c r="A143" s="35" t="s">
        <v>437</v>
      </c>
      <c r="B143" s="35" t="s">
        <v>438</v>
      </c>
      <c r="C143" s="35" t="s">
        <v>37</v>
      </c>
      <c r="D143" s="35" t="s">
        <v>19</v>
      </c>
      <c r="E143" s="35" t="s">
        <v>32</v>
      </c>
      <c r="F143" s="35">
        <v>7</v>
      </c>
      <c r="G143" s="35">
        <v>4464.22</v>
      </c>
      <c r="H143" s="35">
        <v>31249.54</v>
      </c>
      <c r="I143" s="35">
        <v>23021.5</v>
      </c>
      <c r="J143" s="35">
        <v>8228.0400000000009</v>
      </c>
      <c r="K143" s="37">
        <v>45806</v>
      </c>
      <c r="L143" s="37">
        <v>45812</v>
      </c>
      <c r="M143" s="35" t="s">
        <v>33</v>
      </c>
      <c r="N143" s="35">
        <v>2</v>
      </c>
      <c r="O143" s="35" t="s">
        <v>208</v>
      </c>
      <c r="P143" s="35">
        <v>8.6</v>
      </c>
    </row>
    <row r="144" spans="1:16" ht="15.75" customHeight="1" x14ac:dyDescent="0.3">
      <c r="A144" s="35" t="s">
        <v>439</v>
      </c>
      <c r="B144" s="35" t="s">
        <v>440</v>
      </c>
      <c r="C144" s="35" t="s">
        <v>30</v>
      </c>
      <c r="D144" s="35" t="s">
        <v>31</v>
      </c>
      <c r="E144" s="35" t="s">
        <v>44</v>
      </c>
      <c r="F144" s="35">
        <v>2</v>
      </c>
      <c r="G144" s="35">
        <v>2673.59</v>
      </c>
      <c r="H144" s="35">
        <v>5347.18</v>
      </c>
      <c r="I144" s="35">
        <v>3188.17</v>
      </c>
      <c r="J144" s="35">
        <v>2159.0100000000002</v>
      </c>
      <c r="K144" s="37">
        <v>46103</v>
      </c>
      <c r="L144" s="37">
        <v>46113</v>
      </c>
      <c r="M144" s="35" t="s">
        <v>21</v>
      </c>
      <c r="N144" s="35">
        <v>2</v>
      </c>
      <c r="O144" s="35" t="s">
        <v>441</v>
      </c>
      <c r="P144" s="35">
        <v>6.4</v>
      </c>
    </row>
    <row r="145" spans="1:16" ht="15.75" customHeight="1" x14ac:dyDescent="0.3">
      <c r="A145" s="35" t="s">
        <v>442</v>
      </c>
      <c r="B145" s="35" t="s">
        <v>443</v>
      </c>
      <c r="C145" s="35" t="s">
        <v>88</v>
      </c>
      <c r="D145" s="35" t="s">
        <v>31</v>
      </c>
      <c r="E145" s="35" t="s">
        <v>32</v>
      </c>
      <c r="F145" s="35">
        <v>2</v>
      </c>
      <c r="G145" s="35">
        <v>3399.57</v>
      </c>
      <c r="H145" s="35">
        <v>6799.14</v>
      </c>
      <c r="I145" s="35">
        <v>4081.97</v>
      </c>
      <c r="J145" s="35">
        <v>2717.17</v>
      </c>
      <c r="K145" s="37">
        <v>45925</v>
      </c>
      <c r="L145" s="37">
        <v>45927</v>
      </c>
      <c r="M145" s="35" t="s">
        <v>58</v>
      </c>
      <c r="N145" s="35">
        <v>1</v>
      </c>
      <c r="O145" s="35" t="s">
        <v>59</v>
      </c>
      <c r="P145" s="35">
        <v>6.2</v>
      </c>
    </row>
    <row r="146" spans="1:16" ht="15.75" customHeight="1" x14ac:dyDescent="0.3">
      <c r="A146" s="35" t="s">
        <v>444</v>
      </c>
      <c r="B146" s="35" t="s">
        <v>445</v>
      </c>
      <c r="C146" s="35" t="s">
        <v>49</v>
      </c>
      <c r="D146" s="35" t="s">
        <v>43</v>
      </c>
      <c r="E146" s="35" t="s">
        <v>25</v>
      </c>
      <c r="F146" s="35">
        <v>17</v>
      </c>
      <c r="G146" s="35">
        <v>1355.88</v>
      </c>
      <c r="H146" s="35">
        <v>23049.96</v>
      </c>
      <c r="I146" s="35">
        <v>14086.49</v>
      </c>
      <c r="J146" s="35">
        <v>8963.4699999999993</v>
      </c>
      <c r="K146" s="37">
        <v>46094</v>
      </c>
      <c r="L146" s="37">
        <v>46097</v>
      </c>
      <c r="M146" s="35" t="s">
        <v>58</v>
      </c>
      <c r="N146" s="35">
        <v>1</v>
      </c>
      <c r="O146" s="35" t="s">
        <v>446</v>
      </c>
      <c r="P146" s="35">
        <v>6.2</v>
      </c>
    </row>
    <row r="147" spans="1:16" ht="15.75" customHeight="1" x14ac:dyDescent="0.3">
      <c r="A147" s="35" t="s">
        <v>447</v>
      </c>
      <c r="B147" s="35" t="s">
        <v>264</v>
      </c>
      <c r="C147" s="35" t="s">
        <v>18</v>
      </c>
      <c r="D147" s="35" t="s">
        <v>19</v>
      </c>
      <c r="E147" s="35" t="s">
        <v>25</v>
      </c>
      <c r="F147" s="35">
        <v>12</v>
      </c>
      <c r="G147" s="35">
        <v>2672.34</v>
      </c>
      <c r="H147" s="35">
        <v>32068.080000000002</v>
      </c>
      <c r="I147" s="35">
        <v>19776.61</v>
      </c>
      <c r="J147" s="35">
        <v>12291.47</v>
      </c>
      <c r="K147" s="37">
        <v>46090</v>
      </c>
      <c r="L147" s="37">
        <v>46100</v>
      </c>
      <c r="M147" s="35" t="s">
        <v>45</v>
      </c>
      <c r="N147" s="35">
        <v>4</v>
      </c>
      <c r="O147" s="35" t="s">
        <v>260</v>
      </c>
      <c r="P147" s="35">
        <v>10</v>
      </c>
    </row>
    <row r="148" spans="1:16" ht="15.75" customHeight="1" x14ac:dyDescent="0.3">
      <c r="A148" s="35" t="s">
        <v>448</v>
      </c>
      <c r="B148" s="35" t="s">
        <v>449</v>
      </c>
      <c r="C148" s="35" t="s">
        <v>195</v>
      </c>
      <c r="D148" s="35" t="s">
        <v>43</v>
      </c>
      <c r="E148" s="35" t="s">
        <v>25</v>
      </c>
      <c r="F148" s="35">
        <v>4</v>
      </c>
      <c r="G148" s="35">
        <v>2265.59</v>
      </c>
      <c r="H148" s="35">
        <v>9062.36</v>
      </c>
      <c r="I148" s="35">
        <v>4909.1400000000003</v>
      </c>
      <c r="J148" s="35">
        <v>4153.22</v>
      </c>
      <c r="K148" s="37">
        <v>45711</v>
      </c>
      <c r="L148" s="37">
        <v>45720</v>
      </c>
      <c r="M148" s="35" t="s">
        <v>181</v>
      </c>
      <c r="N148" s="35">
        <v>4</v>
      </c>
      <c r="O148" s="35" t="s">
        <v>172</v>
      </c>
      <c r="P148" s="35">
        <v>8.1999999999999993</v>
      </c>
    </row>
    <row r="149" spans="1:16" ht="15.75" customHeight="1" x14ac:dyDescent="0.3">
      <c r="A149" s="35" t="s">
        <v>450</v>
      </c>
      <c r="B149" s="35" t="s">
        <v>451</v>
      </c>
      <c r="C149" s="35" t="s">
        <v>168</v>
      </c>
      <c r="D149" s="35" t="s">
        <v>43</v>
      </c>
      <c r="E149" s="35" t="s">
        <v>25</v>
      </c>
      <c r="F149" s="35">
        <v>4</v>
      </c>
      <c r="G149" s="35">
        <v>262.98</v>
      </c>
      <c r="H149" s="35">
        <v>1051.92</v>
      </c>
      <c r="I149" s="35">
        <v>834.59</v>
      </c>
      <c r="J149" s="35">
        <v>217.33</v>
      </c>
      <c r="K149" s="37">
        <v>45486</v>
      </c>
      <c r="L149" s="37">
        <v>45487</v>
      </c>
      <c r="M149" s="35" t="s">
        <v>181</v>
      </c>
      <c r="N149" s="35">
        <v>2</v>
      </c>
      <c r="O149" s="35" t="s">
        <v>452</v>
      </c>
      <c r="P149" s="35">
        <v>6.4</v>
      </c>
    </row>
    <row r="150" spans="1:16" ht="15.75" customHeight="1" x14ac:dyDescent="0.3">
      <c r="A150" s="35" t="s">
        <v>453</v>
      </c>
      <c r="B150" s="35" t="s">
        <v>454</v>
      </c>
      <c r="C150" s="35" t="s">
        <v>72</v>
      </c>
      <c r="D150" s="35" t="s">
        <v>31</v>
      </c>
      <c r="E150" s="35" t="s">
        <v>44</v>
      </c>
      <c r="F150" s="35">
        <v>2</v>
      </c>
      <c r="G150" s="35">
        <v>2054.89</v>
      </c>
      <c r="H150" s="35">
        <v>4109.78</v>
      </c>
      <c r="I150" s="35">
        <v>2995.18</v>
      </c>
      <c r="J150" s="35">
        <v>1114.5999999999999</v>
      </c>
      <c r="K150" s="37">
        <v>45840</v>
      </c>
      <c r="L150" s="37">
        <v>45845</v>
      </c>
      <c r="M150" s="35" t="s">
        <v>181</v>
      </c>
      <c r="N150" s="35">
        <v>3</v>
      </c>
      <c r="O150" s="35" t="s">
        <v>455</v>
      </c>
      <c r="P150" s="35">
        <v>9.6</v>
      </c>
    </row>
    <row r="151" spans="1:16" ht="15.75" customHeight="1" x14ac:dyDescent="0.3">
      <c r="A151" s="35" t="s">
        <v>456</v>
      </c>
      <c r="B151" s="35" t="s">
        <v>457</v>
      </c>
      <c r="C151" s="35" t="s">
        <v>168</v>
      </c>
      <c r="D151" s="35" t="s">
        <v>43</v>
      </c>
      <c r="E151" s="35" t="s">
        <v>20</v>
      </c>
      <c r="F151" s="35">
        <v>15</v>
      </c>
      <c r="G151" s="35">
        <v>4558.08</v>
      </c>
      <c r="H151" s="35">
        <v>68371.199999999997</v>
      </c>
      <c r="I151" s="35">
        <v>42343.98</v>
      </c>
      <c r="J151" s="35">
        <v>26027.22</v>
      </c>
      <c r="K151" s="37">
        <v>45992</v>
      </c>
      <c r="L151" s="37">
        <v>45996</v>
      </c>
      <c r="M151" s="35" t="s">
        <v>123</v>
      </c>
      <c r="N151" s="35">
        <v>1</v>
      </c>
      <c r="O151" s="35" t="s">
        <v>325</v>
      </c>
      <c r="P151" s="35">
        <v>9.3000000000000007</v>
      </c>
    </row>
    <row r="152" spans="1:16" ht="15.75" customHeight="1" x14ac:dyDescent="0.3">
      <c r="A152" s="35" t="s">
        <v>458</v>
      </c>
      <c r="B152" s="35" t="s">
        <v>459</v>
      </c>
      <c r="C152" s="35" t="s">
        <v>62</v>
      </c>
      <c r="D152" s="35" t="s">
        <v>31</v>
      </c>
      <c r="E152" s="35" t="s">
        <v>32</v>
      </c>
      <c r="F152" s="35">
        <v>19</v>
      </c>
      <c r="G152" s="35">
        <v>1070.94</v>
      </c>
      <c r="H152" s="35">
        <v>20347.86</v>
      </c>
      <c r="I152" s="35">
        <v>12016.79</v>
      </c>
      <c r="J152" s="35">
        <v>8331.07</v>
      </c>
      <c r="K152" s="37">
        <v>45461</v>
      </c>
      <c r="L152" s="37">
        <v>45462</v>
      </c>
      <c r="M152" s="35" t="s">
        <v>38</v>
      </c>
      <c r="N152" s="35">
        <v>2</v>
      </c>
      <c r="O152" s="35" t="s">
        <v>460</v>
      </c>
      <c r="P152" s="35">
        <v>9.5</v>
      </c>
    </row>
    <row r="153" spans="1:16" ht="15.75" customHeight="1" x14ac:dyDescent="0.3">
      <c r="A153" s="35" t="s">
        <v>461</v>
      </c>
      <c r="B153" s="35" t="s">
        <v>462</v>
      </c>
      <c r="C153" s="35" t="s">
        <v>30</v>
      </c>
      <c r="D153" s="35" t="s">
        <v>31</v>
      </c>
      <c r="E153" s="35" t="s">
        <v>25</v>
      </c>
      <c r="F153" s="35">
        <v>9</v>
      </c>
      <c r="G153" s="35">
        <v>2890.89</v>
      </c>
      <c r="H153" s="35">
        <v>26018.01</v>
      </c>
      <c r="I153" s="35">
        <v>15365.19</v>
      </c>
      <c r="J153" s="35">
        <v>10652.82</v>
      </c>
      <c r="K153" s="37">
        <v>45914</v>
      </c>
      <c r="L153" s="37">
        <v>45921</v>
      </c>
      <c r="M153" s="35" t="s">
        <v>26</v>
      </c>
      <c r="N153" s="35">
        <v>5</v>
      </c>
      <c r="O153" s="35" t="s">
        <v>463</v>
      </c>
      <c r="P153" s="35">
        <v>7.5</v>
      </c>
    </row>
    <row r="154" spans="1:16" ht="15.75" customHeight="1" x14ac:dyDescent="0.3">
      <c r="A154" s="35" t="s">
        <v>464</v>
      </c>
      <c r="B154" s="35" t="s">
        <v>465</v>
      </c>
      <c r="C154" s="35" t="s">
        <v>37</v>
      </c>
      <c r="D154" s="35" t="s">
        <v>19</v>
      </c>
      <c r="E154" s="35" t="s">
        <v>44</v>
      </c>
      <c r="F154" s="35">
        <v>18</v>
      </c>
      <c r="G154" s="35">
        <v>2115.48</v>
      </c>
      <c r="H154" s="35">
        <v>38078.639999999999</v>
      </c>
      <c r="I154" s="35">
        <v>24032.66</v>
      </c>
      <c r="J154" s="35">
        <v>14045.98</v>
      </c>
      <c r="K154" s="37">
        <v>45972</v>
      </c>
      <c r="L154" s="37">
        <v>45982</v>
      </c>
      <c r="M154" s="35" t="s">
        <v>123</v>
      </c>
      <c r="N154" s="35">
        <v>5</v>
      </c>
      <c r="O154" s="35" t="s">
        <v>196</v>
      </c>
      <c r="P154" s="35">
        <v>6.9</v>
      </c>
    </row>
    <row r="155" spans="1:16" ht="15.75" customHeight="1" x14ac:dyDescent="0.3">
      <c r="A155" s="35" t="s">
        <v>466</v>
      </c>
      <c r="B155" s="35" t="s">
        <v>467</v>
      </c>
      <c r="C155" s="35" t="s">
        <v>37</v>
      </c>
      <c r="D155" s="35" t="s">
        <v>19</v>
      </c>
      <c r="E155" s="35" t="s">
        <v>20</v>
      </c>
      <c r="F155" s="35">
        <v>6</v>
      </c>
      <c r="G155" s="35">
        <v>1733.14</v>
      </c>
      <c r="H155" s="35">
        <v>10398.84</v>
      </c>
      <c r="I155" s="35">
        <v>8172.3</v>
      </c>
      <c r="J155" s="35">
        <v>2226.54</v>
      </c>
      <c r="K155" s="37">
        <v>45451</v>
      </c>
      <c r="L155" s="37">
        <v>45456</v>
      </c>
      <c r="M155" s="35" t="s">
        <v>181</v>
      </c>
      <c r="N155" s="35">
        <v>1</v>
      </c>
      <c r="O155" s="35" t="s">
        <v>199</v>
      </c>
      <c r="P155" s="35">
        <v>9</v>
      </c>
    </row>
    <row r="156" spans="1:16" ht="15.75" customHeight="1" x14ac:dyDescent="0.3">
      <c r="A156" s="35" t="s">
        <v>468</v>
      </c>
      <c r="B156" s="35" t="s">
        <v>469</v>
      </c>
      <c r="C156" s="35" t="s">
        <v>72</v>
      </c>
      <c r="D156" s="35" t="s">
        <v>31</v>
      </c>
      <c r="E156" s="35" t="s">
        <v>25</v>
      </c>
      <c r="F156" s="35">
        <v>2</v>
      </c>
      <c r="G156" s="35">
        <v>2727.68</v>
      </c>
      <c r="H156" s="35">
        <v>5455.36</v>
      </c>
      <c r="I156" s="35">
        <v>3137.3</v>
      </c>
      <c r="J156" s="35">
        <v>2318.06</v>
      </c>
      <c r="K156" s="37">
        <v>45581</v>
      </c>
      <c r="L156" s="37">
        <v>45588</v>
      </c>
      <c r="M156" s="35" t="s">
        <v>123</v>
      </c>
      <c r="N156" s="35">
        <v>3</v>
      </c>
      <c r="O156" s="35" t="s">
        <v>470</v>
      </c>
      <c r="P156" s="35">
        <v>8.4</v>
      </c>
    </row>
    <row r="157" spans="1:16" ht="15.75" customHeight="1" x14ac:dyDescent="0.3">
      <c r="A157" s="35" t="s">
        <v>471</v>
      </c>
      <c r="B157" s="35" t="s">
        <v>472</v>
      </c>
      <c r="C157" s="35" t="s">
        <v>42</v>
      </c>
      <c r="D157" s="35" t="s">
        <v>43</v>
      </c>
      <c r="E157" s="35" t="s">
        <v>32</v>
      </c>
      <c r="F157" s="35">
        <v>7</v>
      </c>
      <c r="G157" s="35">
        <v>1501.54</v>
      </c>
      <c r="H157" s="35">
        <v>10510.78</v>
      </c>
      <c r="I157" s="35">
        <v>9160.69</v>
      </c>
      <c r="J157" s="35">
        <v>1350.09</v>
      </c>
      <c r="K157" s="37">
        <v>45564</v>
      </c>
      <c r="L157" s="37">
        <v>45574</v>
      </c>
      <c r="M157" s="35" t="s">
        <v>50</v>
      </c>
      <c r="N157" s="35">
        <v>5</v>
      </c>
      <c r="O157" s="35" t="s">
        <v>318</v>
      </c>
      <c r="P157" s="35">
        <v>8.3000000000000007</v>
      </c>
    </row>
    <row r="158" spans="1:16" ht="15.75" customHeight="1" x14ac:dyDescent="0.3">
      <c r="A158" s="35" t="s">
        <v>473</v>
      </c>
      <c r="B158" s="35" t="s">
        <v>474</v>
      </c>
      <c r="C158" s="35" t="s">
        <v>62</v>
      </c>
      <c r="D158" s="35" t="s">
        <v>31</v>
      </c>
      <c r="E158" s="35" t="s">
        <v>25</v>
      </c>
      <c r="F158" s="35">
        <v>12</v>
      </c>
      <c r="G158" s="35">
        <v>2980.03</v>
      </c>
      <c r="H158" s="35">
        <v>35760.36</v>
      </c>
      <c r="I158" s="35">
        <v>20731.54</v>
      </c>
      <c r="J158" s="35">
        <v>15028.82</v>
      </c>
      <c r="K158" s="37">
        <v>45776</v>
      </c>
      <c r="L158" s="37">
        <v>45780</v>
      </c>
      <c r="M158" s="35" t="s">
        <v>50</v>
      </c>
      <c r="N158" s="35">
        <v>5</v>
      </c>
      <c r="O158" s="35" t="s">
        <v>475</v>
      </c>
      <c r="P158" s="35">
        <v>6.6</v>
      </c>
    </row>
    <row r="159" spans="1:16" ht="15.75" customHeight="1" x14ac:dyDescent="0.3">
      <c r="A159" s="35" t="s">
        <v>476</v>
      </c>
      <c r="B159" s="35" t="s">
        <v>477</v>
      </c>
      <c r="C159" s="35" t="s">
        <v>30</v>
      </c>
      <c r="D159" s="35" t="s">
        <v>31</v>
      </c>
      <c r="E159" s="35" t="s">
        <v>25</v>
      </c>
      <c r="F159" s="35">
        <v>10</v>
      </c>
      <c r="G159" s="35">
        <v>3697.68</v>
      </c>
      <c r="H159" s="35">
        <v>36976.800000000003</v>
      </c>
      <c r="I159" s="35">
        <v>19132.63</v>
      </c>
      <c r="J159" s="35">
        <v>17844.169999999998</v>
      </c>
      <c r="K159" s="37">
        <v>45933</v>
      </c>
      <c r="L159" s="37">
        <v>45937</v>
      </c>
      <c r="M159" s="35" t="s">
        <v>181</v>
      </c>
      <c r="N159" s="35">
        <v>1</v>
      </c>
      <c r="O159" s="35" t="s">
        <v>117</v>
      </c>
      <c r="P159" s="35">
        <v>7.5</v>
      </c>
    </row>
    <row r="160" spans="1:16" ht="15.75" customHeight="1" x14ac:dyDescent="0.3">
      <c r="A160" s="35" t="s">
        <v>478</v>
      </c>
      <c r="B160" s="35" t="s">
        <v>479</v>
      </c>
      <c r="C160" s="35" t="s">
        <v>30</v>
      </c>
      <c r="D160" s="35" t="s">
        <v>31</v>
      </c>
      <c r="E160" s="35" t="s">
        <v>20</v>
      </c>
      <c r="F160" s="35">
        <v>19</v>
      </c>
      <c r="G160" s="35">
        <v>3770.91</v>
      </c>
      <c r="H160" s="35">
        <v>71647.289999999994</v>
      </c>
      <c r="I160" s="35">
        <v>62133.36</v>
      </c>
      <c r="J160" s="35">
        <v>9513.93</v>
      </c>
      <c r="K160" s="37">
        <v>45933</v>
      </c>
      <c r="L160" s="37">
        <v>45936</v>
      </c>
      <c r="M160" s="35" t="s">
        <v>33</v>
      </c>
      <c r="N160" s="35">
        <v>5</v>
      </c>
      <c r="O160" s="35" t="s">
        <v>480</v>
      </c>
      <c r="P160" s="35">
        <v>6.3</v>
      </c>
    </row>
    <row r="161" spans="1:16" ht="15.75" customHeight="1" x14ac:dyDescent="0.3">
      <c r="A161" s="35" t="s">
        <v>481</v>
      </c>
      <c r="B161" s="35" t="s">
        <v>482</v>
      </c>
      <c r="C161" s="35" t="s">
        <v>30</v>
      </c>
      <c r="D161" s="35" t="s">
        <v>31</v>
      </c>
      <c r="E161" s="35" t="s">
        <v>32</v>
      </c>
      <c r="F161" s="35">
        <v>17</v>
      </c>
      <c r="G161" s="35">
        <v>4163</v>
      </c>
      <c r="H161" s="35">
        <v>70771</v>
      </c>
      <c r="I161" s="35">
        <v>36434.379999999997</v>
      </c>
      <c r="J161" s="35">
        <v>34336.620000000003</v>
      </c>
      <c r="K161" s="37">
        <v>45787</v>
      </c>
      <c r="L161" s="37">
        <v>45795</v>
      </c>
      <c r="M161" s="35" t="s">
        <v>181</v>
      </c>
      <c r="N161" s="35">
        <v>5</v>
      </c>
      <c r="O161" s="35" t="s">
        <v>483</v>
      </c>
      <c r="P161" s="35">
        <v>9.8000000000000007</v>
      </c>
    </row>
    <row r="162" spans="1:16" ht="15.75" customHeight="1" x14ac:dyDescent="0.3">
      <c r="A162" s="35" t="s">
        <v>484</v>
      </c>
      <c r="B162" s="35" t="s">
        <v>485</v>
      </c>
      <c r="C162" s="35" t="s">
        <v>30</v>
      </c>
      <c r="D162" s="35" t="s">
        <v>31</v>
      </c>
      <c r="E162" s="35" t="s">
        <v>25</v>
      </c>
      <c r="F162" s="35">
        <v>11</v>
      </c>
      <c r="G162" s="35">
        <v>2436.04</v>
      </c>
      <c r="H162" s="35">
        <v>26796.44</v>
      </c>
      <c r="I162" s="35">
        <v>14249.93</v>
      </c>
      <c r="J162" s="35">
        <v>12546.51</v>
      </c>
      <c r="K162" s="37">
        <v>45707</v>
      </c>
      <c r="L162" s="37">
        <v>45716</v>
      </c>
      <c r="M162" s="35" t="s">
        <v>58</v>
      </c>
      <c r="N162" s="35">
        <v>2</v>
      </c>
      <c r="O162" s="35" t="s">
        <v>486</v>
      </c>
      <c r="P162" s="35">
        <v>8.6999999999999993</v>
      </c>
    </row>
    <row r="163" spans="1:16" ht="15.75" customHeight="1" x14ac:dyDescent="0.3">
      <c r="A163" s="35" t="s">
        <v>487</v>
      </c>
      <c r="B163" s="35" t="s">
        <v>488</v>
      </c>
      <c r="C163" s="35" t="s">
        <v>144</v>
      </c>
      <c r="D163" s="35" t="s">
        <v>19</v>
      </c>
      <c r="E163" s="35" t="s">
        <v>32</v>
      </c>
      <c r="F163" s="35">
        <v>9</v>
      </c>
      <c r="G163" s="35">
        <v>1173.98</v>
      </c>
      <c r="H163" s="35">
        <v>10565.82</v>
      </c>
      <c r="I163" s="35">
        <v>8029.74</v>
      </c>
      <c r="J163" s="35">
        <v>2536.08</v>
      </c>
      <c r="K163" s="37">
        <v>45934</v>
      </c>
      <c r="L163" s="37">
        <v>45939</v>
      </c>
      <c r="M163" s="35" t="s">
        <v>21</v>
      </c>
      <c r="N163" s="35">
        <v>5</v>
      </c>
      <c r="O163" s="35" t="s">
        <v>367</v>
      </c>
      <c r="P163" s="35">
        <v>6.1</v>
      </c>
    </row>
    <row r="164" spans="1:16" ht="15.75" customHeight="1" x14ac:dyDescent="0.3">
      <c r="A164" s="35" t="s">
        <v>489</v>
      </c>
      <c r="B164" s="35" t="s">
        <v>490</v>
      </c>
      <c r="C164" s="35" t="s">
        <v>219</v>
      </c>
      <c r="D164" s="35" t="s">
        <v>43</v>
      </c>
      <c r="E164" s="35" t="s">
        <v>25</v>
      </c>
      <c r="F164" s="35">
        <v>9</v>
      </c>
      <c r="G164" s="35">
        <v>3684.57</v>
      </c>
      <c r="H164" s="35">
        <v>33161.129999999997</v>
      </c>
      <c r="I164" s="35">
        <v>23020.76</v>
      </c>
      <c r="J164" s="35">
        <v>10140.370000000001</v>
      </c>
      <c r="K164" s="37">
        <v>45914</v>
      </c>
      <c r="L164" s="37">
        <v>45918</v>
      </c>
      <c r="M164" s="35" t="s">
        <v>38</v>
      </c>
      <c r="N164" s="35">
        <v>2</v>
      </c>
      <c r="O164" s="35" t="s">
        <v>436</v>
      </c>
      <c r="P164" s="35">
        <v>6.8</v>
      </c>
    </row>
    <row r="165" spans="1:16" ht="15.75" customHeight="1" x14ac:dyDescent="0.3">
      <c r="A165" s="35" t="s">
        <v>491</v>
      </c>
      <c r="B165" s="35" t="s">
        <v>492</v>
      </c>
      <c r="C165" s="35" t="s">
        <v>72</v>
      </c>
      <c r="D165" s="35" t="s">
        <v>31</v>
      </c>
      <c r="E165" s="35" t="s">
        <v>20</v>
      </c>
      <c r="F165" s="35">
        <v>3</v>
      </c>
      <c r="G165" s="35">
        <v>732.36</v>
      </c>
      <c r="H165" s="35">
        <v>2197.08</v>
      </c>
      <c r="I165" s="35">
        <v>1724.7</v>
      </c>
      <c r="J165" s="35">
        <v>472.38</v>
      </c>
      <c r="K165" s="37">
        <v>45982</v>
      </c>
      <c r="L165" s="37">
        <v>45988</v>
      </c>
      <c r="M165" s="35" t="s">
        <v>45</v>
      </c>
      <c r="N165" s="35">
        <v>4</v>
      </c>
      <c r="O165" s="35" t="s">
        <v>493</v>
      </c>
      <c r="P165" s="35">
        <v>7.2</v>
      </c>
    </row>
    <row r="166" spans="1:16" ht="15.75" customHeight="1" x14ac:dyDescent="0.3">
      <c r="A166" s="35" t="s">
        <v>494</v>
      </c>
      <c r="B166" s="35" t="s">
        <v>495</v>
      </c>
      <c r="C166" s="35" t="s">
        <v>37</v>
      </c>
      <c r="D166" s="35" t="s">
        <v>19</v>
      </c>
      <c r="E166" s="35" t="s">
        <v>20</v>
      </c>
      <c r="F166" s="35">
        <v>5</v>
      </c>
      <c r="G166" s="35">
        <v>245.79</v>
      </c>
      <c r="H166" s="35">
        <v>1228.95</v>
      </c>
      <c r="I166" s="35">
        <v>679.85</v>
      </c>
      <c r="J166" s="35">
        <v>549.1</v>
      </c>
      <c r="K166" s="37">
        <v>45862</v>
      </c>
      <c r="L166" s="37">
        <v>45869</v>
      </c>
      <c r="M166" s="35" t="s">
        <v>38</v>
      </c>
      <c r="N166" s="35">
        <v>4</v>
      </c>
      <c r="O166" s="35" t="s">
        <v>496</v>
      </c>
      <c r="P166" s="35">
        <v>7.2</v>
      </c>
    </row>
    <row r="167" spans="1:16" ht="15.75" customHeight="1" x14ac:dyDescent="0.3">
      <c r="A167" s="35" t="s">
        <v>497</v>
      </c>
      <c r="B167" s="35" t="s">
        <v>498</v>
      </c>
      <c r="C167" s="35" t="s">
        <v>49</v>
      </c>
      <c r="D167" s="35" t="s">
        <v>43</v>
      </c>
      <c r="E167" s="35" t="s">
        <v>44</v>
      </c>
      <c r="F167" s="35">
        <v>7</v>
      </c>
      <c r="G167" s="35">
        <v>1421.01</v>
      </c>
      <c r="H167" s="35">
        <v>9947.07</v>
      </c>
      <c r="I167" s="35">
        <v>6478.97</v>
      </c>
      <c r="J167" s="35">
        <v>3468.1</v>
      </c>
      <c r="K167" s="37">
        <v>45475</v>
      </c>
      <c r="L167" s="37">
        <v>45477</v>
      </c>
      <c r="M167" s="35" t="s">
        <v>181</v>
      </c>
      <c r="N167" s="35">
        <v>4</v>
      </c>
      <c r="O167" s="35" t="s">
        <v>499</v>
      </c>
      <c r="P167" s="35">
        <v>7.1</v>
      </c>
    </row>
    <row r="168" spans="1:16" ht="15.75" customHeight="1" x14ac:dyDescent="0.3">
      <c r="A168" s="35" t="s">
        <v>500</v>
      </c>
      <c r="B168" s="35" t="s">
        <v>501</v>
      </c>
      <c r="C168" s="35" t="s">
        <v>139</v>
      </c>
      <c r="D168" s="35" t="s">
        <v>31</v>
      </c>
      <c r="E168" s="35" t="s">
        <v>44</v>
      </c>
      <c r="F168" s="35">
        <v>11</v>
      </c>
      <c r="G168" s="35">
        <v>1913.67</v>
      </c>
      <c r="H168" s="35">
        <v>21050.37</v>
      </c>
      <c r="I168" s="35">
        <v>18695.05</v>
      </c>
      <c r="J168" s="35">
        <v>2355.3200000000002</v>
      </c>
      <c r="K168" s="37">
        <v>45943</v>
      </c>
      <c r="L168" s="37">
        <v>45948</v>
      </c>
      <c r="M168" s="35" t="s">
        <v>50</v>
      </c>
      <c r="N168" s="35">
        <v>5</v>
      </c>
      <c r="O168" s="35" t="s">
        <v>214</v>
      </c>
      <c r="P168" s="35">
        <v>7.8</v>
      </c>
    </row>
    <row r="169" spans="1:16" ht="15.75" customHeight="1" x14ac:dyDescent="0.3">
      <c r="A169" s="35" t="s">
        <v>502</v>
      </c>
      <c r="B169" s="35" t="s">
        <v>503</v>
      </c>
      <c r="C169" s="35" t="s">
        <v>72</v>
      </c>
      <c r="D169" s="35" t="s">
        <v>31</v>
      </c>
      <c r="E169" s="35" t="s">
        <v>44</v>
      </c>
      <c r="F169" s="35">
        <v>15</v>
      </c>
      <c r="G169" s="35">
        <v>2006.04</v>
      </c>
      <c r="H169" s="35">
        <v>30090.6</v>
      </c>
      <c r="I169" s="35">
        <v>19687.71</v>
      </c>
      <c r="J169" s="35">
        <v>10402.89</v>
      </c>
      <c r="K169" s="37">
        <v>45444</v>
      </c>
      <c r="L169" s="37">
        <v>45452</v>
      </c>
      <c r="M169" s="35" t="s">
        <v>26</v>
      </c>
      <c r="N169" s="35">
        <v>3</v>
      </c>
      <c r="O169" s="35" t="s">
        <v>446</v>
      </c>
      <c r="P169" s="35">
        <v>6.5</v>
      </c>
    </row>
    <row r="170" spans="1:16" ht="15.75" customHeight="1" x14ac:dyDescent="0.3">
      <c r="A170" s="35" t="s">
        <v>504</v>
      </c>
      <c r="B170" s="35" t="s">
        <v>505</v>
      </c>
      <c r="C170" s="35" t="s">
        <v>57</v>
      </c>
      <c r="D170" s="35" t="s">
        <v>19</v>
      </c>
      <c r="E170" s="35" t="s">
        <v>20</v>
      </c>
      <c r="F170" s="35">
        <v>12</v>
      </c>
      <c r="G170" s="35">
        <v>2692.91</v>
      </c>
      <c r="H170" s="35">
        <v>32314.92</v>
      </c>
      <c r="I170" s="35">
        <v>28954.15</v>
      </c>
      <c r="J170" s="35">
        <v>3360.77</v>
      </c>
      <c r="K170" s="37">
        <v>45880</v>
      </c>
      <c r="L170" s="37">
        <v>45882</v>
      </c>
      <c r="M170" s="35" t="s">
        <v>181</v>
      </c>
      <c r="N170" s="35">
        <v>5</v>
      </c>
      <c r="O170" s="35" t="s">
        <v>506</v>
      </c>
      <c r="P170" s="35">
        <v>6.9</v>
      </c>
    </row>
    <row r="171" spans="1:16" ht="15.75" customHeight="1" x14ac:dyDescent="0.3">
      <c r="A171" s="35" t="s">
        <v>507</v>
      </c>
      <c r="B171" s="35" t="s">
        <v>508</v>
      </c>
      <c r="C171" s="35" t="s">
        <v>144</v>
      </c>
      <c r="D171" s="35" t="s">
        <v>19</v>
      </c>
      <c r="E171" s="35" t="s">
        <v>44</v>
      </c>
      <c r="F171" s="35">
        <v>14</v>
      </c>
      <c r="G171" s="35">
        <v>2851.97</v>
      </c>
      <c r="H171" s="35">
        <v>39927.58</v>
      </c>
      <c r="I171" s="35">
        <v>20920.669999999998</v>
      </c>
      <c r="J171" s="35">
        <v>19006.91</v>
      </c>
      <c r="K171" s="37">
        <v>45585</v>
      </c>
      <c r="L171" s="37">
        <v>45590</v>
      </c>
      <c r="M171" s="35" t="s">
        <v>50</v>
      </c>
      <c r="N171" s="35">
        <v>3</v>
      </c>
      <c r="O171" s="35" t="s">
        <v>509</v>
      </c>
      <c r="P171" s="35">
        <v>6.2</v>
      </c>
    </row>
    <row r="172" spans="1:16" ht="15.75" customHeight="1" x14ac:dyDescent="0.3">
      <c r="A172" s="35" t="s">
        <v>510</v>
      </c>
      <c r="B172" s="35" t="s">
        <v>511</v>
      </c>
      <c r="C172" s="35" t="s">
        <v>168</v>
      </c>
      <c r="D172" s="35" t="s">
        <v>43</v>
      </c>
      <c r="E172" s="35" t="s">
        <v>44</v>
      </c>
      <c r="F172" s="35">
        <v>7</v>
      </c>
      <c r="G172" s="35">
        <v>495.46</v>
      </c>
      <c r="H172" s="35">
        <v>3468.22</v>
      </c>
      <c r="I172" s="35">
        <v>2668.65</v>
      </c>
      <c r="J172" s="35">
        <v>799.57</v>
      </c>
      <c r="K172" s="37">
        <v>45460</v>
      </c>
      <c r="L172" s="37">
        <v>45470</v>
      </c>
      <c r="M172" s="35" t="s">
        <v>21</v>
      </c>
      <c r="N172" s="35">
        <v>3</v>
      </c>
      <c r="O172" s="35" t="s">
        <v>512</v>
      </c>
      <c r="P172" s="35">
        <v>7</v>
      </c>
    </row>
    <row r="173" spans="1:16" ht="15.75" customHeight="1" x14ac:dyDescent="0.3">
      <c r="A173" s="35" t="s">
        <v>513</v>
      </c>
      <c r="B173" s="35" t="s">
        <v>514</v>
      </c>
      <c r="C173" s="35" t="s">
        <v>30</v>
      </c>
      <c r="D173" s="35" t="s">
        <v>31</v>
      </c>
      <c r="E173" s="35" t="s">
        <v>32</v>
      </c>
      <c r="F173" s="35">
        <v>5</v>
      </c>
      <c r="G173" s="35">
        <v>2462.6999999999998</v>
      </c>
      <c r="H173" s="35">
        <v>12313.5</v>
      </c>
      <c r="I173" s="35">
        <v>8013.4</v>
      </c>
      <c r="J173" s="35">
        <v>4300.1000000000004</v>
      </c>
      <c r="K173" s="37">
        <v>45890</v>
      </c>
      <c r="L173" s="37">
        <v>45895</v>
      </c>
      <c r="M173" s="35" t="s">
        <v>38</v>
      </c>
      <c r="N173" s="35">
        <v>3</v>
      </c>
      <c r="O173" s="35" t="s">
        <v>515</v>
      </c>
      <c r="P173" s="35">
        <v>8.6</v>
      </c>
    </row>
    <row r="174" spans="1:16" ht="15.75" customHeight="1" x14ac:dyDescent="0.3">
      <c r="A174" s="35" t="s">
        <v>516</v>
      </c>
      <c r="B174" s="35" t="s">
        <v>517</v>
      </c>
      <c r="C174" s="35" t="s">
        <v>49</v>
      </c>
      <c r="D174" s="35" t="s">
        <v>43</v>
      </c>
      <c r="E174" s="35" t="s">
        <v>20</v>
      </c>
      <c r="F174" s="35">
        <v>20</v>
      </c>
      <c r="G174" s="35">
        <v>1166.3599999999999</v>
      </c>
      <c r="H174" s="35">
        <v>23327.200000000001</v>
      </c>
      <c r="I174" s="35">
        <v>20281.349999999999</v>
      </c>
      <c r="J174" s="35">
        <v>3045.85</v>
      </c>
      <c r="K174" s="37">
        <v>45738</v>
      </c>
      <c r="L174" s="37">
        <v>45742</v>
      </c>
      <c r="M174" s="35" t="s">
        <v>33</v>
      </c>
      <c r="N174" s="35">
        <v>1</v>
      </c>
      <c r="O174" s="35" t="s">
        <v>460</v>
      </c>
      <c r="P174" s="35">
        <v>9.9</v>
      </c>
    </row>
    <row r="175" spans="1:16" ht="15.75" customHeight="1" x14ac:dyDescent="0.3">
      <c r="A175" s="35" t="s">
        <v>518</v>
      </c>
      <c r="B175" s="35" t="s">
        <v>519</v>
      </c>
      <c r="C175" s="35" t="s">
        <v>57</v>
      </c>
      <c r="D175" s="35" t="s">
        <v>19</v>
      </c>
      <c r="E175" s="35" t="s">
        <v>32</v>
      </c>
      <c r="F175" s="35">
        <v>6</v>
      </c>
      <c r="G175" s="35">
        <v>1412.32</v>
      </c>
      <c r="H175" s="35">
        <v>8473.92</v>
      </c>
      <c r="I175" s="35">
        <v>7223.93</v>
      </c>
      <c r="J175" s="35">
        <v>1249.99</v>
      </c>
      <c r="K175" s="37">
        <v>45782</v>
      </c>
      <c r="L175" s="37">
        <v>45791</v>
      </c>
      <c r="M175" s="35" t="s">
        <v>58</v>
      </c>
      <c r="N175" s="35">
        <v>1</v>
      </c>
      <c r="O175" s="35" t="s">
        <v>343</v>
      </c>
      <c r="P175" s="35">
        <v>8</v>
      </c>
    </row>
    <row r="176" spans="1:16" ht="15.75" customHeight="1" x14ac:dyDescent="0.3">
      <c r="A176" s="35" t="s">
        <v>520</v>
      </c>
      <c r="B176" s="35" t="s">
        <v>521</v>
      </c>
      <c r="C176" s="35" t="s">
        <v>57</v>
      </c>
      <c r="D176" s="35" t="s">
        <v>19</v>
      </c>
      <c r="E176" s="35" t="s">
        <v>32</v>
      </c>
      <c r="F176" s="35">
        <v>12</v>
      </c>
      <c r="G176" s="35">
        <v>4748.83</v>
      </c>
      <c r="H176" s="35">
        <v>56985.96</v>
      </c>
      <c r="I176" s="35">
        <v>42465.49</v>
      </c>
      <c r="J176" s="35">
        <v>14520.47</v>
      </c>
      <c r="K176" s="37">
        <v>45848</v>
      </c>
      <c r="L176" s="37">
        <v>45854</v>
      </c>
      <c r="M176" s="35" t="s">
        <v>38</v>
      </c>
      <c r="N176" s="35">
        <v>4</v>
      </c>
      <c r="O176" s="35" t="s">
        <v>522</v>
      </c>
      <c r="P176" s="35">
        <v>9.5</v>
      </c>
    </row>
    <row r="177" spans="1:16" ht="15.75" customHeight="1" x14ac:dyDescent="0.3">
      <c r="A177" s="35" t="s">
        <v>523</v>
      </c>
      <c r="B177" s="35" t="s">
        <v>524</v>
      </c>
      <c r="C177" s="35" t="s">
        <v>95</v>
      </c>
      <c r="D177" s="35" t="s">
        <v>19</v>
      </c>
      <c r="E177" s="35" t="s">
        <v>25</v>
      </c>
      <c r="F177" s="35">
        <v>8</v>
      </c>
      <c r="G177" s="35">
        <v>2242.67</v>
      </c>
      <c r="H177" s="35">
        <v>17941.36</v>
      </c>
      <c r="I177" s="35">
        <v>15228.59</v>
      </c>
      <c r="J177" s="35">
        <v>2712.77</v>
      </c>
      <c r="K177" s="37">
        <v>45668</v>
      </c>
      <c r="L177" s="37">
        <v>45678</v>
      </c>
      <c r="M177" s="35" t="s">
        <v>181</v>
      </c>
      <c r="N177" s="35">
        <v>1</v>
      </c>
      <c r="O177" s="35" t="s">
        <v>525</v>
      </c>
      <c r="P177" s="35">
        <v>8.3000000000000007</v>
      </c>
    </row>
    <row r="178" spans="1:16" ht="15.75" customHeight="1" x14ac:dyDescent="0.3">
      <c r="A178" s="35" t="s">
        <v>526</v>
      </c>
      <c r="B178" s="35" t="s">
        <v>527</v>
      </c>
      <c r="C178" s="35" t="s">
        <v>37</v>
      </c>
      <c r="D178" s="35" t="s">
        <v>19</v>
      </c>
      <c r="E178" s="35" t="s">
        <v>20</v>
      </c>
      <c r="F178" s="35">
        <v>6</v>
      </c>
      <c r="G178" s="35">
        <v>3071.47</v>
      </c>
      <c r="H178" s="35">
        <v>18428.82</v>
      </c>
      <c r="I178" s="35">
        <v>11524.54</v>
      </c>
      <c r="J178" s="35">
        <v>6904.28</v>
      </c>
      <c r="K178" s="37">
        <v>45531</v>
      </c>
      <c r="L178" s="37">
        <v>45536</v>
      </c>
      <c r="M178" s="35" t="s">
        <v>123</v>
      </c>
      <c r="N178" s="35">
        <v>5</v>
      </c>
      <c r="O178" s="35" t="s">
        <v>79</v>
      </c>
      <c r="P178" s="35">
        <v>7.1</v>
      </c>
    </row>
    <row r="179" spans="1:16" ht="15.75" customHeight="1" x14ac:dyDescent="0.3">
      <c r="A179" s="35" t="s">
        <v>528</v>
      </c>
      <c r="B179" s="35" t="s">
        <v>529</v>
      </c>
      <c r="C179" s="35" t="s">
        <v>88</v>
      </c>
      <c r="D179" s="35" t="s">
        <v>31</v>
      </c>
      <c r="E179" s="35" t="s">
        <v>44</v>
      </c>
      <c r="F179" s="35">
        <v>12</v>
      </c>
      <c r="G179" s="35">
        <v>2542.91</v>
      </c>
      <c r="H179" s="35">
        <v>30514.92</v>
      </c>
      <c r="I179" s="35">
        <v>22028.66</v>
      </c>
      <c r="J179" s="35">
        <v>8486.26</v>
      </c>
      <c r="K179" s="37">
        <v>46118</v>
      </c>
      <c r="L179" s="37">
        <v>46121</v>
      </c>
      <c r="M179" s="35" t="s">
        <v>45</v>
      </c>
      <c r="N179" s="35">
        <v>5</v>
      </c>
      <c r="O179" s="35" t="s">
        <v>530</v>
      </c>
      <c r="P179" s="35">
        <v>6.1</v>
      </c>
    </row>
    <row r="180" spans="1:16" ht="15.75" customHeight="1" x14ac:dyDescent="0.3">
      <c r="A180" s="35" t="s">
        <v>531</v>
      </c>
      <c r="B180" s="35" t="s">
        <v>532</v>
      </c>
      <c r="C180" s="35" t="s">
        <v>57</v>
      </c>
      <c r="D180" s="35" t="s">
        <v>19</v>
      </c>
      <c r="E180" s="35" t="s">
        <v>32</v>
      </c>
      <c r="F180" s="35">
        <v>4</v>
      </c>
      <c r="G180" s="35">
        <v>2129.94</v>
      </c>
      <c r="H180" s="35">
        <v>8519.76</v>
      </c>
      <c r="I180" s="35">
        <v>4376.09</v>
      </c>
      <c r="J180" s="35">
        <v>4143.67</v>
      </c>
      <c r="K180" s="37">
        <v>45644</v>
      </c>
      <c r="L180" s="37">
        <v>45648</v>
      </c>
      <c r="M180" s="35" t="s">
        <v>38</v>
      </c>
      <c r="N180" s="35">
        <v>2</v>
      </c>
      <c r="O180" s="35" t="s">
        <v>533</v>
      </c>
      <c r="P180" s="35">
        <v>7.5</v>
      </c>
    </row>
    <row r="181" spans="1:16" ht="15.75" customHeight="1" x14ac:dyDescent="0.3">
      <c r="A181" s="35" t="s">
        <v>534</v>
      </c>
      <c r="B181" s="35" t="s">
        <v>535</v>
      </c>
      <c r="C181" s="35" t="s">
        <v>30</v>
      </c>
      <c r="D181" s="35" t="s">
        <v>31</v>
      </c>
      <c r="E181" s="35" t="s">
        <v>25</v>
      </c>
      <c r="F181" s="35">
        <v>19</v>
      </c>
      <c r="G181" s="35">
        <v>716.81</v>
      </c>
      <c r="H181" s="35">
        <v>13619.39</v>
      </c>
      <c r="I181" s="35">
        <v>8844.23</v>
      </c>
      <c r="J181" s="35">
        <v>4775.16</v>
      </c>
      <c r="K181" s="37">
        <v>45516</v>
      </c>
      <c r="L181" s="37">
        <v>45522</v>
      </c>
      <c r="M181" s="35" t="s">
        <v>50</v>
      </c>
      <c r="N181" s="35">
        <v>5</v>
      </c>
      <c r="O181" s="35" t="s">
        <v>162</v>
      </c>
      <c r="P181" s="35">
        <v>6.5</v>
      </c>
    </row>
    <row r="182" spans="1:16" ht="15.75" customHeight="1" x14ac:dyDescent="0.3">
      <c r="A182" s="35" t="s">
        <v>536</v>
      </c>
      <c r="B182" s="35" t="s">
        <v>537</v>
      </c>
      <c r="C182" s="35" t="s">
        <v>168</v>
      </c>
      <c r="D182" s="35" t="s">
        <v>43</v>
      </c>
      <c r="E182" s="35" t="s">
        <v>25</v>
      </c>
      <c r="F182" s="35">
        <v>1</v>
      </c>
      <c r="G182" s="35">
        <v>3251.45</v>
      </c>
      <c r="H182" s="35">
        <v>3251.45</v>
      </c>
      <c r="I182" s="35">
        <v>2282.02</v>
      </c>
      <c r="J182" s="35">
        <v>969.43</v>
      </c>
      <c r="K182" s="37">
        <v>45912</v>
      </c>
      <c r="L182" s="37">
        <v>45916</v>
      </c>
      <c r="M182" s="35" t="s">
        <v>50</v>
      </c>
      <c r="N182" s="35">
        <v>4</v>
      </c>
      <c r="O182" s="35" t="s">
        <v>538</v>
      </c>
      <c r="P182" s="35">
        <v>8.9</v>
      </c>
    </row>
    <row r="183" spans="1:16" ht="15.75" customHeight="1" x14ac:dyDescent="0.3">
      <c r="A183" s="35" t="s">
        <v>539</v>
      </c>
      <c r="B183" s="35" t="s">
        <v>540</v>
      </c>
      <c r="C183" s="35" t="s">
        <v>30</v>
      </c>
      <c r="D183" s="35" t="s">
        <v>31</v>
      </c>
      <c r="E183" s="35" t="s">
        <v>32</v>
      </c>
      <c r="F183" s="35">
        <v>15</v>
      </c>
      <c r="G183" s="35">
        <v>1750.93</v>
      </c>
      <c r="H183" s="35">
        <v>26263.95</v>
      </c>
      <c r="I183" s="35">
        <v>14170.81</v>
      </c>
      <c r="J183" s="35">
        <v>12093.14</v>
      </c>
      <c r="K183" s="37">
        <v>45712</v>
      </c>
      <c r="L183" s="37">
        <v>45719</v>
      </c>
      <c r="M183" s="35" t="s">
        <v>181</v>
      </c>
      <c r="N183" s="35">
        <v>1</v>
      </c>
      <c r="O183" s="35" t="s">
        <v>541</v>
      </c>
      <c r="P183" s="35">
        <v>9.9</v>
      </c>
    </row>
    <row r="184" spans="1:16" ht="15.75" customHeight="1" x14ac:dyDescent="0.3">
      <c r="A184" s="35" t="s">
        <v>542</v>
      </c>
      <c r="B184" s="35" t="s">
        <v>543</v>
      </c>
      <c r="C184" s="35" t="s">
        <v>95</v>
      </c>
      <c r="D184" s="35" t="s">
        <v>19</v>
      </c>
      <c r="E184" s="35" t="s">
        <v>20</v>
      </c>
      <c r="F184" s="35">
        <v>10</v>
      </c>
      <c r="G184" s="35">
        <v>1184.72</v>
      </c>
      <c r="H184" s="35">
        <v>11847.2</v>
      </c>
      <c r="I184" s="35">
        <v>7487.62</v>
      </c>
      <c r="J184" s="35">
        <v>4359.58</v>
      </c>
      <c r="K184" s="37">
        <v>45921</v>
      </c>
      <c r="L184" s="37">
        <v>45922</v>
      </c>
      <c r="M184" s="35" t="s">
        <v>38</v>
      </c>
      <c r="N184" s="35">
        <v>2</v>
      </c>
      <c r="O184" s="35" t="s">
        <v>300</v>
      </c>
      <c r="P184" s="35">
        <v>8.3000000000000007</v>
      </c>
    </row>
    <row r="185" spans="1:16" ht="15.75" customHeight="1" x14ac:dyDescent="0.3">
      <c r="A185" s="35" t="s">
        <v>544</v>
      </c>
      <c r="B185" s="35" t="s">
        <v>545</v>
      </c>
      <c r="C185" s="35" t="s">
        <v>95</v>
      </c>
      <c r="D185" s="35" t="s">
        <v>19</v>
      </c>
      <c r="E185" s="35" t="s">
        <v>25</v>
      </c>
      <c r="F185" s="35">
        <v>17</v>
      </c>
      <c r="G185" s="35">
        <v>2083.7800000000002</v>
      </c>
      <c r="H185" s="35">
        <v>35424.26</v>
      </c>
      <c r="I185" s="35">
        <v>27281.599999999999</v>
      </c>
      <c r="J185" s="35">
        <v>8142.66</v>
      </c>
      <c r="K185" s="37">
        <v>45597</v>
      </c>
      <c r="L185" s="37">
        <v>45600</v>
      </c>
      <c r="M185" s="35" t="s">
        <v>123</v>
      </c>
      <c r="N185" s="35">
        <v>5</v>
      </c>
      <c r="O185" s="35" t="s">
        <v>108</v>
      </c>
      <c r="P185" s="35">
        <v>9.5</v>
      </c>
    </row>
    <row r="186" spans="1:16" ht="15.75" customHeight="1" x14ac:dyDescent="0.3">
      <c r="A186" s="35" t="s">
        <v>546</v>
      </c>
      <c r="B186" s="35" t="s">
        <v>547</v>
      </c>
      <c r="C186" s="35" t="s">
        <v>144</v>
      </c>
      <c r="D186" s="35" t="s">
        <v>19</v>
      </c>
      <c r="E186" s="35" t="s">
        <v>32</v>
      </c>
      <c r="F186" s="35">
        <v>9</v>
      </c>
      <c r="G186" s="35">
        <v>313.17</v>
      </c>
      <c r="H186" s="35">
        <v>2818.53</v>
      </c>
      <c r="I186" s="35">
        <v>1538.57</v>
      </c>
      <c r="J186" s="35">
        <v>1279.96</v>
      </c>
      <c r="K186" s="37">
        <v>46157</v>
      </c>
      <c r="L186" s="37">
        <v>46167</v>
      </c>
      <c r="M186" s="35" t="s">
        <v>26</v>
      </c>
      <c r="N186" s="35">
        <v>4</v>
      </c>
      <c r="O186" s="35" t="s">
        <v>548</v>
      </c>
      <c r="P186" s="35">
        <v>9.1</v>
      </c>
    </row>
    <row r="187" spans="1:16" ht="15.75" customHeight="1" x14ac:dyDescent="0.3">
      <c r="A187" s="35" t="s">
        <v>549</v>
      </c>
      <c r="B187" s="35" t="s">
        <v>550</v>
      </c>
      <c r="C187" s="35" t="s">
        <v>62</v>
      </c>
      <c r="D187" s="35" t="s">
        <v>31</v>
      </c>
      <c r="E187" s="35" t="s">
        <v>20</v>
      </c>
      <c r="F187" s="35">
        <v>2</v>
      </c>
      <c r="G187" s="35">
        <v>3177.77</v>
      </c>
      <c r="H187" s="35">
        <v>6355.54</v>
      </c>
      <c r="I187" s="35">
        <v>3370.15</v>
      </c>
      <c r="J187" s="35">
        <v>2985.39</v>
      </c>
      <c r="K187" s="37">
        <v>45837</v>
      </c>
      <c r="L187" s="37">
        <v>45844</v>
      </c>
      <c r="M187" s="35" t="s">
        <v>50</v>
      </c>
      <c r="N187" s="35">
        <v>1</v>
      </c>
      <c r="O187" s="35" t="s">
        <v>551</v>
      </c>
      <c r="P187" s="35">
        <v>6.2</v>
      </c>
    </row>
    <row r="188" spans="1:16" ht="15.75" customHeight="1" x14ac:dyDescent="0.3">
      <c r="A188" s="35" t="s">
        <v>552</v>
      </c>
      <c r="B188" s="35" t="s">
        <v>553</v>
      </c>
      <c r="C188" s="35" t="s">
        <v>37</v>
      </c>
      <c r="D188" s="35" t="s">
        <v>19</v>
      </c>
      <c r="E188" s="35" t="s">
        <v>32</v>
      </c>
      <c r="F188" s="35">
        <v>10</v>
      </c>
      <c r="G188" s="35">
        <v>544.73</v>
      </c>
      <c r="H188" s="35">
        <v>5447.3</v>
      </c>
      <c r="I188" s="35">
        <v>4891.5600000000004</v>
      </c>
      <c r="J188" s="35">
        <v>555.74</v>
      </c>
      <c r="K188" s="37">
        <v>45713</v>
      </c>
      <c r="L188" s="37">
        <v>45723</v>
      </c>
      <c r="M188" s="35" t="s">
        <v>69</v>
      </c>
      <c r="N188" s="35">
        <v>4</v>
      </c>
      <c r="O188" s="35" t="s">
        <v>554</v>
      </c>
      <c r="P188" s="35">
        <v>6.6</v>
      </c>
    </row>
    <row r="189" spans="1:16" ht="15.75" customHeight="1" x14ac:dyDescent="0.3">
      <c r="A189" s="35" t="s">
        <v>555</v>
      </c>
      <c r="B189" s="35" t="s">
        <v>556</v>
      </c>
      <c r="C189" s="35" t="s">
        <v>18</v>
      </c>
      <c r="D189" s="35" t="s">
        <v>19</v>
      </c>
      <c r="E189" s="35" t="s">
        <v>32</v>
      </c>
      <c r="F189" s="35">
        <v>14</v>
      </c>
      <c r="G189" s="35">
        <v>3041.69</v>
      </c>
      <c r="H189" s="35">
        <v>42583.66</v>
      </c>
      <c r="I189" s="35">
        <v>26297.69</v>
      </c>
      <c r="J189" s="35">
        <v>16285.97</v>
      </c>
      <c r="K189" s="37">
        <v>46024</v>
      </c>
      <c r="L189" s="37">
        <v>46030</v>
      </c>
      <c r="M189" s="35" t="s">
        <v>181</v>
      </c>
      <c r="N189" s="35">
        <v>5</v>
      </c>
      <c r="O189" s="35" t="s">
        <v>557</v>
      </c>
      <c r="P189" s="35">
        <v>9.1</v>
      </c>
    </row>
    <row r="190" spans="1:16" ht="15.75" customHeight="1" x14ac:dyDescent="0.3">
      <c r="A190" s="35" t="s">
        <v>558</v>
      </c>
      <c r="B190" s="35" t="s">
        <v>559</v>
      </c>
      <c r="C190" s="35" t="s">
        <v>42</v>
      </c>
      <c r="D190" s="35" t="s">
        <v>43</v>
      </c>
      <c r="E190" s="35" t="s">
        <v>25</v>
      </c>
      <c r="F190" s="35">
        <v>7</v>
      </c>
      <c r="G190" s="35">
        <v>929.56</v>
      </c>
      <c r="H190" s="35">
        <v>6506.92</v>
      </c>
      <c r="I190" s="35">
        <v>5281.16</v>
      </c>
      <c r="J190" s="35">
        <v>1225.76</v>
      </c>
      <c r="K190" s="37">
        <v>45755</v>
      </c>
      <c r="L190" s="37">
        <v>45758</v>
      </c>
      <c r="M190" s="35" t="s">
        <v>26</v>
      </c>
      <c r="N190" s="35">
        <v>4</v>
      </c>
      <c r="O190" s="35" t="s">
        <v>560</v>
      </c>
      <c r="P190" s="35">
        <v>8.9</v>
      </c>
    </row>
    <row r="191" spans="1:16" ht="15.75" customHeight="1" x14ac:dyDescent="0.3">
      <c r="A191" s="35" t="s">
        <v>561</v>
      </c>
      <c r="B191" s="35" t="s">
        <v>562</v>
      </c>
      <c r="C191" s="35" t="s">
        <v>95</v>
      </c>
      <c r="D191" s="35" t="s">
        <v>19</v>
      </c>
      <c r="E191" s="35" t="s">
        <v>44</v>
      </c>
      <c r="F191" s="35">
        <v>15</v>
      </c>
      <c r="G191" s="35">
        <v>2987.05</v>
      </c>
      <c r="H191" s="35">
        <v>44805.75</v>
      </c>
      <c r="I191" s="35">
        <v>28649.31</v>
      </c>
      <c r="J191" s="35">
        <v>16156.44</v>
      </c>
      <c r="K191" s="37">
        <v>45737</v>
      </c>
      <c r="L191" s="37">
        <v>45743</v>
      </c>
      <c r="M191" s="35" t="s">
        <v>50</v>
      </c>
      <c r="N191" s="35">
        <v>1</v>
      </c>
      <c r="O191" s="35" t="s">
        <v>235</v>
      </c>
      <c r="P191" s="35">
        <v>9.6999999999999993</v>
      </c>
    </row>
    <row r="192" spans="1:16" ht="15.75" customHeight="1" x14ac:dyDescent="0.3">
      <c r="A192" s="35" t="s">
        <v>563</v>
      </c>
      <c r="B192" s="35" t="s">
        <v>564</v>
      </c>
      <c r="C192" s="35" t="s">
        <v>30</v>
      </c>
      <c r="D192" s="35" t="s">
        <v>31</v>
      </c>
      <c r="E192" s="35" t="s">
        <v>20</v>
      </c>
      <c r="F192" s="35">
        <v>6</v>
      </c>
      <c r="G192" s="35">
        <v>3781.92</v>
      </c>
      <c r="H192" s="35">
        <v>22691.52</v>
      </c>
      <c r="I192" s="35">
        <v>19915.09</v>
      </c>
      <c r="J192" s="35">
        <v>2776.43</v>
      </c>
      <c r="K192" s="37">
        <v>45617</v>
      </c>
      <c r="L192" s="37">
        <v>45626</v>
      </c>
      <c r="M192" s="35" t="s">
        <v>45</v>
      </c>
      <c r="N192" s="35">
        <v>3</v>
      </c>
      <c r="O192" s="35" t="s">
        <v>409</v>
      </c>
      <c r="P192" s="35">
        <v>7.5</v>
      </c>
    </row>
    <row r="193" spans="1:16" ht="15.75" customHeight="1" x14ac:dyDescent="0.3">
      <c r="A193" s="35" t="s">
        <v>565</v>
      </c>
      <c r="B193" s="35" t="s">
        <v>566</v>
      </c>
      <c r="C193" s="35" t="s">
        <v>139</v>
      </c>
      <c r="D193" s="35" t="s">
        <v>31</v>
      </c>
      <c r="E193" s="35" t="s">
        <v>25</v>
      </c>
      <c r="F193" s="35">
        <v>9</v>
      </c>
      <c r="G193" s="35">
        <v>2793.29</v>
      </c>
      <c r="H193" s="35">
        <v>25139.61</v>
      </c>
      <c r="I193" s="35">
        <v>17975.689999999999</v>
      </c>
      <c r="J193" s="35">
        <v>7163.92</v>
      </c>
      <c r="K193" s="37">
        <v>46154</v>
      </c>
      <c r="L193" s="37">
        <v>46159</v>
      </c>
      <c r="M193" s="35" t="s">
        <v>123</v>
      </c>
      <c r="N193" s="35">
        <v>1</v>
      </c>
      <c r="O193" s="35" t="s">
        <v>567</v>
      </c>
      <c r="P193" s="35">
        <v>7</v>
      </c>
    </row>
    <row r="194" spans="1:16" ht="15.75" customHeight="1" x14ac:dyDescent="0.3">
      <c r="A194" s="35" t="s">
        <v>568</v>
      </c>
      <c r="B194" s="35" t="s">
        <v>569</v>
      </c>
      <c r="C194" s="35" t="s">
        <v>144</v>
      </c>
      <c r="D194" s="35" t="s">
        <v>19</v>
      </c>
      <c r="E194" s="35" t="s">
        <v>20</v>
      </c>
      <c r="F194" s="35">
        <v>5</v>
      </c>
      <c r="G194" s="35">
        <v>3211.13</v>
      </c>
      <c r="H194" s="35">
        <v>16055.65</v>
      </c>
      <c r="I194" s="35">
        <v>9973.9599999999991</v>
      </c>
      <c r="J194" s="35">
        <v>6081.69</v>
      </c>
      <c r="K194" s="37">
        <v>45559</v>
      </c>
      <c r="L194" s="37">
        <v>45561</v>
      </c>
      <c r="M194" s="35" t="s">
        <v>58</v>
      </c>
      <c r="N194" s="35">
        <v>1</v>
      </c>
      <c r="O194" s="35" t="s">
        <v>570</v>
      </c>
      <c r="P194" s="35">
        <v>6.2</v>
      </c>
    </row>
    <row r="195" spans="1:16" ht="15.75" customHeight="1" x14ac:dyDescent="0.3">
      <c r="A195" s="35" t="s">
        <v>571</v>
      </c>
      <c r="B195" s="35" t="s">
        <v>572</v>
      </c>
      <c r="C195" s="35" t="s">
        <v>30</v>
      </c>
      <c r="D195" s="35" t="s">
        <v>31</v>
      </c>
      <c r="E195" s="35" t="s">
        <v>44</v>
      </c>
      <c r="F195" s="35">
        <v>15</v>
      </c>
      <c r="G195" s="35">
        <v>2327</v>
      </c>
      <c r="H195" s="35">
        <v>34905</v>
      </c>
      <c r="I195" s="35">
        <v>21559.47</v>
      </c>
      <c r="J195" s="35">
        <v>13345.53</v>
      </c>
      <c r="K195" s="37">
        <v>46051</v>
      </c>
      <c r="L195" s="37">
        <v>46054</v>
      </c>
      <c r="M195" s="35" t="s">
        <v>58</v>
      </c>
      <c r="N195" s="35">
        <v>2</v>
      </c>
      <c r="O195" s="35" t="s">
        <v>362</v>
      </c>
      <c r="P195" s="35">
        <v>6.7</v>
      </c>
    </row>
    <row r="196" spans="1:16" ht="15.75" customHeight="1" x14ac:dyDescent="0.3">
      <c r="A196" s="35" t="s">
        <v>573</v>
      </c>
      <c r="B196" s="35" t="s">
        <v>574</v>
      </c>
      <c r="C196" s="35" t="s">
        <v>168</v>
      </c>
      <c r="D196" s="35" t="s">
        <v>43</v>
      </c>
      <c r="E196" s="35" t="s">
        <v>32</v>
      </c>
      <c r="F196" s="35">
        <v>20</v>
      </c>
      <c r="G196" s="35">
        <v>1659.6</v>
      </c>
      <c r="H196" s="35">
        <v>33192</v>
      </c>
      <c r="I196" s="35">
        <v>24109.03</v>
      </c>
      <c r="J196" s="35">
        <v>9082.9699999999993</v>
      </c>
      <c r="K196" s="37">
        <v>45592</v>
      </c>
      <c r="L196" s="37">
        <v>45600</v>
      </c>
      <c r="M196" s="35" t="s">
        <v>58</v>
      </c>
      <c r="N196" s="35">
        <v>1</v>
      </c>
      <c r="O196" s="35" t="s">
        <v>557</v>
      </c>
      <c r="P196" s="35">
        <v>8.1</v>
      </c>
    </row>
    <row r="197" spans="1:16" ht="15.75" customHeight="1" x14ac:dyDescent="0.3">
      <c r="A197" s="35" t="s">
        <v>575</v>
      </c>
      <c r="B197" s="35" t="s">
        <v>576</v>
      </c>
      <c r="C197" s="35" t="s">
        <v>88</v>
      </c>
      <c r="D197" s="35" t="s">
        <v>31</v>
      </c>
      <c r="E197" s="35" t="s">
        <v>25</v>
      </c>
      <c r="F197" s="35">
        <v>20</v>
      </c>
      <c r="G197" s="35">
        <v>2821.92</v>
      </c>
      <c r="H197" s="35">
        <v>56438.400000000001</v>
      </c>
      <c r="I197" s="35">
        <v>33159.53</v>
      </c>
      <c r="J197" s="35">
        <v>23278.87</v>
      </c>
      <c r="K197" s="37">
        <v>45808</v>
      </c>
      <c r="L197" s="37">
        <v>45815</v>
      </c>
      <c r="M197" s="35" t="s">
        <v>21</v>
      </c>
      <c r="N197" s="35">
        <v>5</v>
      </c>
      <c r="O197" s="35" t="s">
        <v>577</v>
      </c>
      <c r="P197" s="35">
        <v>6.5</v>
      </c>
    </row>
    <row r="198" spans="1:16" ht="15.75" customHeight="1" x14ac:dyDescent="0.3">
      <c r="A198" s="35" t="s">
        <v>578</v>
      </c>
      <c r="B198" s="35" t="s">
        <v>579</v>
      </c>
      <c r="C198" s="35" t="s">
        <v>42</v>
      </c>
      <c r="D198" s="35" t="s">
        <v>43</v>
      </c>
      <c r="E198" s="35" t="s">
        <v>32</v>
      </c>
      <c r="F198" s="35">
        <v>7</v>
      </c>
      <c r="G198" s="35">
        <v>3315.34</v>
      </c>
      <c r="H198" s="35">
        <v>23207.38</v>
      </c>
      <c r="I198" s="35">
        <v>11806.02</v>
      </c>
      <c r="J198" s="35">
        <v>11401.36</v>
      </c>
      <c r="K198" s="37">
        <v>45609</v>
      </c>
      <c r="L198" s="37">
        <v>45611</v>
      </c>
      <c r="M198" s="35" t="s">
        <v>58</v>
      </c>
      <c r="N198" s="35">
        <v>1</v>
      </c>
      <c r="O198" s="35" t="s">
        <v>580</v>
      </c>
      <c r="P198" s="35">
        <v>7.5</v>
      </c>
    </row>
    <row r="199" spans="1:16" ht="15.75" customHeight="1" x14ac:dyDescent="0.3">
      <c r="A199" s="35" t="s">
        <v>581</v>
      </c>
      <c r="B199" s="35" t="s">
        <v>582</v>
      </c>
      <c r="C199" s="35" t="s">
        <v>49</v>
      </c>
      <c r="D199" s="35" t="s">
        <v>43</v>
      </c>
      <c r="E199" s="35" t="s">
        <v>44</v>
      </c>
      <c r="F199" s="35">
        <v>13</v>
      </c>
      <c r="G199" s="35">
        <v>2175.11</v>
      </c>
      <c r="H199" s="35">
        <v>28276.43</v>
      </c>
      <c r="I199" s="35">
        <v>14421.32</v>
      </c>
      <c r="J199" s="35">
        <v>13855.11</v>
      </c>
      <c r="K199" s="37">
        <v>45456</v>
      </c>
      <c r="L199" s="37">
        <v>45464</v>
      </c>
      <c r="M199" s="35" t="s">
        <v>38</v>
      </c>
      <c r="N199" s="35">
        <v>2</v>
      </c>
      <c r="O199" s="35" t="s">
        <v>127</v>
      </c>
      <c r="P199" s="35">
        <v>7.3</v>
      </c>
    </row>
    <row r="200" spans="1:16" ht="15.75" customHeight="1" x14ac:dyDescent="0.3">
      <c r="A200" s="35" t="s">
        <v>583</v>
      </c>
      <c r="B200" s="35" t="s">
        <v>584</v>
      </c>
      <c r="C200" s="35" t="s">
        <v>62</v>
      </c>
      <c r="D200" s="35" t="s">
        <v>31</v>
      </c>
      <c r="E200" s="35" t="s">
        <v>25</v>
      </c>
      <c r="F200" s="35">
        <v>1</v>
      </c>
      <c r="G200" s="35">
        <v>4654.6899999999996</v>
      </c>
      <c r="H200" s="35">
        <v>4654.6899999999996</v>
      </c>
      <c r="I200" s="35">
        <v>3917.37</v>
      </c>
      <c r="J200" s="35">
        <v>737.32</v>
      </c>
      <c r="K200" s="37">
        <v>45979</v>
      </c>
      <c r="L200" s="37">
        <v>45980</v>
      </c>
      <c r="M200" s="35" t="s">
        <v>26</v>
      </c>
      <c r="N200" s="35">
        <v>2</v>
      </c>
      <c r="O200" s="35" t="s">
        <v>585</v>
      </c>
      <c r="P200" s="35">
        <v>8.8000000000000007</v>
      </c>
    </row>
    <row r="201" spans="1:16" ht="15.75" customHeight="1" x14ac:dyDescent="0.3">
      <c r="A201" s="35" t="s">
        <v>586</v>
      </c>
      <c r="B201" s="35" t="s">
        <v>587</v>
      </c>
      <c r="C201" s="35" t="s">
        <v>42</v>
      </c>
      <c r="D201" s="35" t="s">
        <v>43</v>
      </c>
      <c r="E201" s="35" t="s">
        <v>25</v>
      </c>
      <c r="F201" s="35">
        <v>18</v>
      </c>
      <c r="G201" s="35">
        <v>1979.62</v>
      </c>
      <c r="H201" s="35">
        <v>35633.160000000003</v>
      </c>
      <c r="I201" s="35">
        <v>31434.28</v>
      </c>
      <c r="J201" s="35">
        <v>4198.88</v>
      </c>
      <c r="K201" s="37">
        <v>45973</v>
      </c>
      <c r="L201" s="37">
        <v>45978</v>
      </c>
      <c r="M201" s="35" t="s">
        <v>38</v>
      </c>
      <c r="N201" s="35">
        <v>4</v>
      </c>
      <c r="O201" s="35" t="s">
        <v>588</v>
      </c>
      <c r="P201" s="35">
        <v>6.8</v>
      </c>
    </row>
    <row r="202" spans="1:16" ht="15.75" customHeight="1" x14ac:dyDescent="0.3">
      <c r="A202" s="35" t="s">
        <v>589</v>
      </c>
      <c r="B202" s="35" t="s">
        <v>590</v>
      </c>
      <c r="C202" s="35" t="s">
        <v>219</v>
      </c>
      <c r="D202" s="35" t="s">
        <v>43</v>
      </c>
      <c r="E202" s="35" t="s">
        <v>44</v>
      </c>
      <c r="F202" s="35">
        <v>18</v>
      </c>
      <c r="G202" s="35">
        <v>1184.08</v>
      </c>
      <c r="H202" s="35">
        <v>21313.439999999999</v>
      </c>
      <c r="I202" s="35">
        <v>11928.77</v>
      </c>
      <c r="J202" s="35">
        <v>9384.67</v>
      </c>
      <c r="K202" s="37">
        <v>46100</v>
      </c>
      <c r="L202" s="37">
        <v>46105</v>
      </c>
      <c r="M202" s="35" t="s">
        <v>33</v>
      </c>
      <c r="N202" s="35">
        <v>1</v>
      </c>
      <c r="O202" s="35" t="s">
        <v>591</v>
      </c>
      <c r="P202" s="35">
        <v>6</v>
      </c>
    </row>
    <row r="203" spans="1:16" ht="15.75" customHeight="1" x14ac:dyDescent="0.3">
      <c r="A203" s="35" t="s">
        <v>592</v>
      </c>
      <c r="B203" s="35" t="s">
        <v>593</v>
      </c>
      <c r="C203" s="35" t="s">
        <v>18</v>
      </c>
      <c r="D203" s="35" t="s">
        <v>19</v>
      </c>
      <c r="E203" s="35" t="s">
        <v>20</v>
      </c>
      <c r="F203" s="35">
        <v>6</v>
      </c>
      <c r="G203" s="35">
        <v>66.510000000000005</v>
      </c>
      <c r="H203" s="35">
        <v>399.06</v>
      </c>
      <c r="I203" s="35">
        <v>285.91000000000003</v>
      </c>
      <c r="J203" s="35">
        <v>113.15</v>
      </c>
      <c r="K203" s="37">
        <v>45752</v>
      </c>
      <c r="L203" s="37">
        <v>45756</v>
      </c>
      <c r="M203" s="35" t="s">
        <v>26</v>
      </c>
      <c r="N203" s="35">
        <v>3</v>
      </c>
      <c r="O203" s="35" t="s">
        <v>594</v>
      </c>
      <c r="P203" s="35">
        <v>9</v>
      </c>
    </row>
    <row r="204" spans="1:16" ht="15.75" customHeight="1" x14ac:dyDescent="0.3">
      <c r="A204" s="35" t="s">
        <v>595</v>
      </c>
      <c r="B204" s="35" t="s">
        <v>596</v>
      </c>
      <c r="C204" s="35" t="s">
        <v>18</v>
      </c>
      <c r="D204" s="35" t="s">
        <v>19</v>
      </c>
      <c r="E204" s="35" t="s">
        <v>32</v>
      </c>
      <c r="F204" s="35">
        <v>11</v>
      </c>
      <c r="G204" s="35">
        <v>3445.18</v>
      </c>
      <c r="H204" s="35">
        <v>37896.980000000003</v>
      </c>
      <c r="I204" s="35">
        <v>25905.93</v>
      </c>
      <c r="J204" s="35">
        <v>11991.05</v>
      </c>
      <c r="K204" s="37">
        <v>45603</v>
      </c>
      <c r="L204" s="37">
        <v>45611</v>
      </c>
      <c r="M204" s="35" t="s">
        <v>69</v>
      </c>
      <c r="N204" s="35">
        <v>3</v>
      </c>
      <c r="O204" s="35" t="s">
        <v>597</v>
      </c>
      <c r="P204" s="35">
        <v>8.9</v>
      </c>
    </row>
    <row r="205" spans="1:16" ht="15.75" customHeight="1" x14ac:dyDescent="0.3">
      <c r="A205" s="35" t="s">
        <v>598</v>
      </c>
      <c r="B205" s="35" t="s">
        <v>599</v>
      </c>
      <c r="C205" s="35" t="s">
        <v>42</v>
      </c>
      <c r="D205" s="35" t="s">
        <v>43</v>
      </c>
      <c r="E205" s="35" t="s">
        <v>44</v>
      </c>
      <c r="F205" s="35">
        <v>3</v>
      </c>
      <c r="G205" s="35">
        <v>4769.33</v>
      </c>
      <c r="H205" s="35">
        <v>14307.99</v>
      </c>
      <c r="I205" s="35">
        <v>9056.74</v>
      </c>
      <c r="J205" s="35">
        <v>5251.25</v>
      </c>
      <c r="K205" s="37">
        <v>45785</v>
      </c>
      <c r="L205" s="37">
        <v>45790</v>
      </c>
      <c r="M205" s="35" t="s">
        <v>26</v>
      </c>
      <c r="N205" s="35">
        <v>4</v>
      </c>
      <c r="O205" s="35" t="s">
        <v>96</v>
      </c>
      <c r="P205" s="35">
        <v>9.1999999999999993</v>
      </c>
    </row>
    <row r="206" spans="1:16" ht="15.75" customHeight="1" x14ac:dyDescent="0.3">
      <c r="A206" s="35" t="s">
        <v>600</v>
      </c>
      <c r="B206" s="35" t="s">
        <v>601</v>
      </c>
      <c r="C206" s="35" t="s">
        <v>195</v>
      </c>
      <c r="D206" s="35" t="s">
        <v>43</v>
      </c>
      <c r="E206" s="35" t="s">
        <v>32</v>
      </c>
      <c r="F206" s="35">
        <v>2</v>
      </c>
      <c r="G206" s="35">
        <v>2579.38</v>
      </c>
      <c r="H206" s="35">
        <v>5158.76</v>
      </c>
      <c r="I206" s="35">
        <v>3028.03</v>
      </c>
      <c r="J206" s="35">
        <v>2130.73</v>
      </c>
      <c r="K206" s="37">
        <v>46160</v>
      </c>
      <c r="L206" s="37">
        <v>46161</v>
      </c>
      <c r="M206" s="35" t="s">
        <v>58</v>
      </c>
      <c r="N206" s="35">
        <v>3</v>
      </c>
      <c r="O206" s="35" t="s">
        <v>39</v>
      </c>
      <c r="P206" s="35">
        <v>9</v>
      </c>
    </row>
    <row r="207" spans="1:16" ht="15.75" customHeight="1" x14ac:dyDescent="0.3">
      <c r="A207" s="35" t="s">
        <v>602</v>
      </c>
      <c r="B207" s="35" t="s">
        <v>603</v>
      </c>
      <c r="C207" s="35" t="s">
        <v>139</v>
      </c>
      <c r="D207" s="35" t="s">
        <v>31</v>
      </c>
      <c r="E207" s="35" t="s">
        <v>20</v>
      </c>
      <c r="F207" s="35">
        <v>1</v>
      </c>
      <c r="G207" s="35">
        <v>4520.82</v>
      </c>
      <c r="H207" s="35">
        <v>4520.82</v>
      </c>
      <c r="I207" s="35">
        <v>2335.5</v>
      </c>
      <c r="J207" s="35">
        <v>2185.3200000000002</v>
      </c>
      <c r="K207" s="37">
        <v>45612</v>
      </c>
      <c r="L207" s="37">
        <v>45622</v>
      </c>
      <c r="M207" s="35" t="s">
        <v>58</v>
      </c>
      <c r="N207" s="35">
        <v>3</v>
      </c>
      <c r="O207" s="35" t="s">
        <v>604</v>
      </c>
      <c r="P207" s="35">
        <v>6.9</v>
      </c>
    </row>
    <row r="208" spans="1:16" ht="15.75" customHeight="1" x14ac:dyDescent="0.3">
      <c r="A208" s="35" t="s">
        <v>605</v>
      </c>
      <c r="B208" s="35" t="s">
        <v>606</v>
      </c>
      <c r="C208" s="35" t="s">
        <v>219</v>
      </c>
      <c r="D208" s="35" t="s">
        <v>43</v>
      </c>
      <c r="E208" s="35" t="s">
        <v>32</v>
      </c>
      <c r="F208" s="35">
        <v>4</v>
      </c>
      <c r="G208" s="35">
        <v>568.27</v>
      </c>
      <c r="H208" s="35">
        <v>2273.08</v>
      </c>
      <c r="I208" s="35">
        <v>1192.7</v>
      </c>
      <c r="J208" s="35">
        <v>1080.3800000000001</v>
      </c>
      <c r="K208" s="37">
        <v>46052</v>
      </c>
      <c r="L208" s="37">
        <v>46058</v>
      </c>
      <c r="M208" s="35" t="s">
        <v>50</v>
      </c>
      <c r="N208" s="35">
        <v>2</v>
      </c>
      <c r="O208" s="35" t="s">
        <v>607</v>
      </c>
      <c r="P208" s="35">
        <v>6.3</v>
      </c>
    </row>
    <row r="209" spans="1:16" ht="15.75" customHeight="1" x14ac:dyDescent="0.3">
      <c r="A209" s="35" t="s">
        <v>608</v>
      </c>
      <c r="B209" s="35" t="s">
        <v>609</v>
      </c>
      <c r="C209" s="35" t="s">
        <v>18</v>
      </c>
      <c r="D209" s="35" t="s">
        <v>19</v>
      </c>
      <c r="E209" s="35" t="s">
        <v>32</v>
      </c>
      <c r="F209" s="35">
        <v>18</v>
      </c>
      <c r="G209" s="35">
        <v>2457.71</v>
      </c>
      <c r="H209" s="35">
        <v>44238.78</v>
      </c>
      <c r="I209" s="35">
        <v>30433.59</v>
      </c>
      <c r="J209" s="35">
        <v>13805.19</v>
      </c>
      <c r="K209" s="37">
        <v>46071</v>
      </c>
      <c r="L209" s="37">
        <v>46075</v>
      </c>
      <c r="M209" s="35" t="s">
        <v>33</v>
      </c>
      <c r="N209" s="35">
        <v>1</v>
      </c>
      <c r="O209" s="35" t="s">
        <v>610</v>
      </c>
      <c r="P209" s="35">
        <v>8.3000000000000007</v>
      </c>
    </row>
    <row r="210" spans="1:16" ht="15.75" customHeight="1" x14ac:dyDescent="0.3">
      <c r="A210" s="35" t="s">
        <v>611</v>
      </c>
      <c r="B210" s="35" t="s">
        <v>612</v>
      </c>
      <c r="C210" s="35" t="s">
        <v>72</v>
      </c>
      <c r="D210" s="35" t="s">
        <v>31</v>
      </c>
      <c r="E210" s="35" t="s">
        <v>44</v>
      </c>
      <c r="F210" s="35">
        <v>11</v>
      </c>
      <c r="G210" s="35">
        <v>2656.81</v>
      </c>
      <c r="H210" s="35">
        <v>29224.91</v>
      </c>
      <c r="I210" s="35">
        <v>25393.51</v>
      </c>
      <c r="J210" s="35">
        <v>3831.4</v>
      </c>
      <c r="K210" s="37">
        <v>46126</v>
      </c>
      <c r="L210" s="37">
        <v>46130</v>
      </c>
      <c r="M210" s="35" t="s">
        <v>123</v>
      </c>
      <c r="N210" s="35">
        <v>2</v>
      </c>
      <c r="O210" s="35" t="s">
        <v>54</v>
      </c>
      <c r="P210" s="35">
        <v>9.1</v>
      </c>
    </row>
    <row r="211" spans="1:16" ht="15.75" customHeight="1" x14ac:dyDescent="0.3">
      <c r="A211" s="35" t="s">
        <v>613</v>
      </c>
      <c r="B211" s="35" t="s">
        <v>614</v>
      </c>
      <c r="C211" s="35" t="s">
        <v>18</v>
      </c>
      <c r="D211" s="35" t="s">
        <v>19</v>
      </c>
      <c r="E211" s="35" t="s">
        <v>44</v>
      </c>
      <c r="F211" s="35">
        <v>14</v>
      </c>
      <c r="G211" s="35">
        <v>837.86</v>
      </c>
      <c r="H211" s="35">
        <v>11730.04</v>
      </c>
      <c r="I211" s="35">
        <v>8773.1200000000008</v>
      </c>
      <c r="J211" s="35">
        <v>2956.92</v>
      </c>
      <c r="K211" s="37">
        <v>45978</v>
      </c>
      <c r="L211" s="37">
        <v>45985</v>
      </c>
      <c r="M211" s="35" t="s">
        <v>38</v>
      </c>
      <c r="N211" s="35">
        <v>5</v>
      </c>
      <c r="O211" s="35" t="s">
        <v>615</v>
      </c>
      <c r="P211" s="35">
        <v>7.5</v>
      </c>
    </row>
    <row r="212" spans="1:16" ht="15.75" customHeight="1" x14ac:dyDescent="0.3">
      <c r="A212" s="35" t="s">
        <v>616</v>
      </c>
      <c r="B212" s="35" t="s">
        <v>617</v>
      </c>
      <c r="C212" s="35" t="s">
        <v>219</v>
      </c>
      <c r="D212" s="35" t="s">
        <v>43</v>
      </c>
      <c r="E212" s="35" t="s">
        <v>25</v>
      </c>
      <c r="F212" s="35">
        <v>8</v>
      </c>
      <c r="G212" s="35">
        <v>4092.94</v>
      </c>
      <c r="H212" s="35">
        <v>32743.52</v>
      </c>
      <c r="I212" s="35">
        <v>24554.91</v>
      </c>
      <c r="J212" s="35">
        <v>8188.61</v>
      </c>
      <c r="K212" s="37">
        <v>46095</v>
      </c>
      <c r="L212" s="37">
        <v>46100</v>
      </c>
      <c r="M212" s="35" t="s">
        <v>123</v>
      </c>
      <c r="N212" s="35">
        <v>3</v>
      </c>
      <c r="O212" s="35" t="s">
        <v>46</v>
      </c>
      <c r="P212" s="35">
        <v>8.1999999999999993</v>
      </c>
    </row>
    <row r="213" spans="1:16" ht="15.75" customHeight="1" x14ac:dyDescent="0.3">
      <c r="A213" s="35" t="s">
        <v>618</v>
      </c>
      <c r="B213" s="35" t="s">
        <v>619</v>
      </c>
      <c r="C213" s="35" t="s">
        <v>42</v>
      </c>
      <c r="D213" s="35" t="s">
        <v>43</v>
      </c>
      <c r="E213" s="35" t="s">
        <v>20</v>
      </c>
      <c r="F213" s="35">
        <v>2</v>
      </c>
      <c r="G213" s="35">
        <v>4511.5200000000004</v>
      </c>
      <c r="H213" s="35">
        <v>9023.0400000000009</v>
      </c>
      <c r="I213" s="35">
        <v>5078.51</v>
      </c>
      <c r="J213" s="35">
        <v>3944.53</v>
      </c>
      <c r="K213" s="37">
        <v>45474</v>
      </c>
      <c r="L213" s="37">
        <v>45483</v>
      </c>
      <c r="M213" s="35" t="s">
        <v>21</v>
      </c>
      <c r="N213" s="35">
        <v>5</v>
      </c>
      <c r="O213" s="35" t="s">
        <v>620</v>
      </c>
      <c r="P213" s="35">
        <v>7.3</v>
      </c>
    </row>
    <row r="214" spans="1:16" ht="15.75" customHeight="1" x14ac:dyDescent="0.3">
      <c r="A214" s="35" t="s">
        <v>621</v>
      </c>
      <c r="B214" s="35" t="s">
        <v>622</v>
      </c>
      <c r="C214" s="35" t="s">
        <v>30</v>
      </c>
      <c r="D214" s="35" t="s">
        <v>31</v>
      </c>
      <c r="E214" s="35" t="s">
        <v>25</v>
      </c>
      <c r="F214" s="35">
        <v>7</v>
      </c>
      <c r="G214" s="35">
        <v>1202.6199999999999</v>
      </c>
      <c r="H214" s="35">
        <v>8418.34</v>
      </c>
      <c r="I214" s="35">
        <v>4898.71</v>
      </c>
      <c r="J214" s="35">
        <v>3519.63</v>
      </c>
      <c r="K214" s="37">
        <v>45971</v>
      </c>
      <c r="L214" s="37">
        <v>45977</v>
      </c>
      <c r="M214" s="35" t="s">
        <v>181</v>
      </c>
      <c r="N214" s="35">
        <v>5</v>
      </c>
      <c r="O214" s="35" t="s">
        <v>499</v>
      </c>
      <c r="P214" s="35">
        <v>9</v>
      </c>
    </row>
    <row r="215" spans="1:16" ht="15.75" customHeight="1" x14ac:dyDescent="0.3">
      <c r="A215" s="35" t="s">
        <v>623</v>
      </c>
      <c r="B215" s="35" t="s">
        <v>624</v>
      </c>
      <c r="C215" s="35" t="s">
        <v>30</v>
      </c>
      <c r="D215" s="35" t="s">
        <v>31</v>
      </c>
      <c r="E215" s="35" t="s">
        <v>32</v>
      </c>
      <c r="F215" s="35">
        <v>15</v>
      </c>
      <c r="G215" s="35">
        <v>3763.51</v>
      </c>
      <c r="H215" s="35">
        <v>56452.65</v>
      </c>
      <c r="I215" s="35">
        <v>32475.9</v>
      </c>
      <c r="J215" s="35">
        <v>23976.75</v>
      </c>
      <c r="K215" s="37">
        <v>46060</v>
      </c>
      <c r="L215" s="37">
        <v>46069</v>
      </c>
      <c r="M215" s="35" t="s">
        <v>45</v>
      </c>
      <c r="N215" s="35">
        <v>1</v>
      </c>
      <c r="O215" s="35" t="s">
        <v>300</v>
      </c>
      <c r="P215" s="35">
        <v>6.8</v>
      </c>
    </row>
    <row r="216" spans="1:16" ht="15.75" customHeight="1" x14ac:dyDescent="0.3">
      <c r="A216" s="35" t="s">
        <v>625</v>
      </c>
      <c r="B216" s="35" t="s">
        <v>626</v>
      </c>
      <c r="C216" s="35" t="s">
        <v>195</v>
      </c>
      <c r="D216" s="35" t="s">
        <v>43</v>
      </c>
      <c r="E216" s="35" t="s">
        <v>25</v>
      </c>
      <c r="F216" s="35">
        <v>2</v>
      </c>
      <c r="G216" s="35">
        <v>1925.14</v>
      </c>
      <c r="H216" s="35">
        <v>3850.28</v>
      </c>
      <c r="I216" s="35">
        <v>1950.25</v>
      </c>
      <c r="J216" s="35">
        <v>1900.03</v>
      </c>
      <c r="K216" s="37">
        <v>45656</v>
      </c>
      <c r="L216" s="37">
        <v>45664</v>
      </c>
      <c r="M216" s="35" t="s">
        <v>181</v>
      </c>
      <c r="N216" s="35">
        <v>3</v>
      </c>
      <c r="O216" s="35" t="s">
        <v>627</v>
      </c>
      <c r="P216" s="35">
        <v>8.3000000000000007</v>
      </c>
    </row>
    <row r="217" spans="1:16" ht="15.75" customHeight="1" x14ac:dyDescent="0.3">
      <c r="A217" s="35" t="s">
        <v>628</v>
      </c>
      <c r="B217" s="35" t="s">
        <v>629</v>
      </c>
      <c r="C217" s="35" t="s">
        <v>30</v>
      </c>
      <c r="D217" s="35" t="s">
        <v>31</v>
      </c>
      <c r="E217" s="35" t="s">
        <v>32</v>
      </c>
      <c r="F217" s="35">
        <v>5</v>
      </c>
      <c r="G217" s="35">
        <v>2002.47</v>
      </c>
      <c r="H217" s="35">
        <v>10012.35</v>
      </c>
      <c r="I217" s="35">
        <v>6073.7</v>
      </c>
      <c r="J217" s="35">
        <v>3938.65</v>
      </c>
      <c r="K217" s="37">
        <v>45626</v>
      </c>
      <c r="L217" s="37">
        <v>45633</v>
      </c>
      <c r="M217" s="35" t="s">
        <v>21</v>
      </c>
      <c r="N217" s="35">
        <v>3</v>
      </c>
      <c r="O217" s="35" t="s">
        <v>220</v>
      </c>
      <c r="P217" s="35">
        <v>6.9</v>
      </c>
    </row>
    <row r="218" spans="1:16" ht="15.75" customHeight="1" x14ac:dyDescent="0.3">
      <c r="A218" s="35" t="s">
        <v>630</v>
      </c>
      <c r="B218" s="35" t="s">
        <v>631</v>
      </c>
      <c r="C218" s="35" t="s">
        <v>88</v>
      </c>
      <c r="D218" s="35" t="s">
        <v>31</v>
      </c>
      <c r="E218" s="35" t="s">
        <v>25</v>
      </c>
      <c r="F218" s="35">
        <v>2</v>
      </c>
      <c r="G218" s="35">
        <v>3240.84</v>
      </c>
      <c r="H218" s="35">
        <v>6481.68</v>
      </c>
      <c r="I218" s="35">
        <v>4290.07</v>
      </c>
      <c r="J218" s="35">
        <v>2191.61</v>
      </c>
      <c r="K218" s="37">
        <v>45825</v>
      </c>
      <c r="L218" s="37">
        <v>45832</v>
      </c>
      <c r="M218" s="35" t="s">
        <v>38</v>
      </c>
      <c r="N218" s="35">
        <v>2</v>
      </c>
      <c r="O218" s="35" t="s">
        <v>632</v>
      </c>
      <c r="P218" s="35">
        <v>7.9</v>
      </c>
    </row>
    <row r="219" spans="1:16" ht="15.75" customHeight="1" x14ac:dyDescent="0.3">
      <c r="A219" s="35" t="s">
        <v>633</v>
      </c>
      <c r="B219" s="35" t="s">
        <v>634</v>
      </c>
      <c r="C219" s="35" t="s">
        <v>88</v>
      </c>
      <c r="D219" s="35" t="s">
        <v>31</v>
      </c>
      <c r="E219" s="35" t="s">
        <v>44</v>
      </c>
      <c r="F219" s="35">
        <v>15</v>
      </c>
      <c r="G219" s="35">
        <v>3166.39</v>
      </c>
      <c r="H219" s="35">
        <v>47495.85</v>
      </c>
      <c r="I219" s="35">
        <v>34588.65</v>
      </c>
      <c r="J219" s="35">
        <v>12907.2</v>
      </c>
      <c r="K219" s="37">
        <v>46144</v>
      </c>
      <c r="L219" s="37">
        <v>46145</v>
      </c>
      <c r="M219" s="35" t="s">
        <v>50</v>
      </c>
      <c r="N219" s="35">
        <v>2</v>
      </c>
      <c r="O219" s="35" t="s">
        <v>635</v>
      </c>
      <c r="P219" s="35">
        <v>6.5</v>
      </c>
    </row>
    <row r="220" spans="1:16" ht="15.75" customHeight="1" x14ac:dyDescent="0.3">
      <c r="A220" s="35" t="s">
        <v>636</v>
      </c>
      <c r="B220" s="35" t="s">
        <v>637</v>
      </c>
      <c r="C220" s="35" t="s">
        <v>30</v>
      </c>
      <c r="D220" s="35" t="s">
        <v>31</v>
      </c>
      <c r="E220" s="35" t="s">
        <v>44</v>
      </c>
      <c r="F220" s="35">
        <v>13</v>
      </c>
      <c r="G220" s="35">
        <v>1475.49</v>
      </c>
      <c r="H220" s="35">
        <v>19181.37</v>
      </c>
      <c r="I220" s="35">
        <v>11685.88</v>
      </c>
      <c r="J220" s="35">
        <v>7495.49</v>
      </c>
      <c r="K220" s="37">
        <v>46102</v>
      </c>
      <c r="L220" s="37">
        <v>46112</v>
      </c>
      <c r="M220" s="35" t="s">
        <v>33</v>
      </c>
      <c r="N220" s="35">
        <v>2</v>
      </c>
      <c r="O220" s="35" t="s">
        <v>638</v>
      </c>
      <c r="P220" s="35">
        <v>7.3</v>
      </c>
    </row>
    <row r="221" spans="1:16" ht="15.75" customHeight="1" x14ac:dyDescent="0.3">
      <c r="A221" s="35" t="s">
        <v>639</v>
      </c>
      <c r="B221" s="35" t="s">
        <v>640</v>
      </c>
      <c r="C221" s="35" t="s">
        <v>195</v>
      </c>
      <c r="D221" s="35" t="s">
        <v>43</v>
      </c>
      <c r="E221" s="35" t="s">
        <v>20</v>
      </c>
      <c r="F221" s="35">
        <v>18</v>
      </c>
      <c r="G221" s="35">
        <v>4891.6000000000004</v>
      </c>
      <c r="H221" s="35">
        <v>88048.8</v>
      </c>
      <c r="I221" s="35">
        <v>54269.120000000003</v>
      </c>
      <c r="J221" s="35">
        <v>33779.68</v>
      </c>
      <c r="K221" s="37">
        <v>45512</v>
      </c>
      <c r="L221" s="37">
        <v>45517</v>
      </c>
      <c r="M221" s="35" t="s">
        <v>181</v>
      </c>
      <c r="N221" s="35">
        <v>1</v>
      </c>
      <c r="O221" s="35" t="s">
        <v>148</v>
      </c>
      <c r="P221" s="35">
        <v>9.6</v>
      </c>
    </row>
    <row r="222" spans="1:16" ht="15.75" customHeight="1" x14ac:dyDescent="0.3">
      <c r="A222" s="35" t="s">
        <v>641</v>
      </c>
      <c r="B222" s="35" t="s">
        <v>642</v>
      </c>
      <c r="C222" s="35" t="s">
        <v>37</v>
      </c>
      <c r="D222" s="35" t="s">
        <v>19</v>
      </c>
      <c r="E222" s="35" t="s">
        <v>25</v>
      </c>
      <c r="F222" s="35">
        <v>13</v>
      </c>
      <c r="G222" s="35">
        <v>4159.2700000000004</v>
      </c>
      <c r="H222" s="35">
        <v>54070.51</v>
      </c>
      <c r="I222" s="35">
        <v>40574.720000000001</v>
      </c>
      <c r="J222" s="35">
        <v>13495.79</v>
      </c>
      <c r="K222" s="37">
        <v>46018</v>
      </c>
      <c r="L222" s="37">
        <v>46021</v>
      </c>
      <c r="M222" s="35" t="s">
        <v>181</v>
      </c>
      <c r="N222" s="35">
        <v>2</v>
      </c>
      <c r="O222" s="35" t="s">
        <v>175</v>
      </c>
      <c r="P222" s="35">
        <v>9</v>
      </c>
    </row>
    <row r="223" spans="1:16" ht="15.75" customHeight="1" x14ac:dyDescent="0.3">
      <c r="A223" s="35" t="s">
        <v>643</v>
      </c>
      <c r="B223" s="35" t="s">
        <v>644</v>
      </c>
      <c r="C223" s="35" t="s">
        <v>30</v>
      </c>
      <c r="D223" s="35" t="s">
        <v>31</v>
      </c>
      <c r="E223" s="35" t="s">
        <v>25</v>
      </c>
      <c r="F223" s="35">
        <v>14</v>
      </c>
      <c r="G223" s="35">
        <v>3086.92</v>
      </c>
      <c r="H223" s="35">
        <v>43216.88</v>
      </c>
      <c r="I223" s="35">
        <v>22074.14</v>
      </c>
      <c r="J223" s="35">
        <v>21142.74</v>
      </c>
      <c r="K223" s="37">
        <v>46121</v>
      </c>
      <c r="L223" s="37">
        <v>46125</v>
      </c>
      <c r="M223" s="35" t="s">
        <v>181</v>
      </c>
      <c r="N223" s="35">
        <v>1</v>
      </c>
      <c r="O223" s="35" t="s">
        <v>645</v>
      </c>
      <c r="P223" s="35">
        <v>9.9</v>
      </c>
    </row>
    <row r="224" spans="1:16" ht="15.75" customHeight="1" x14ac:dyDescent="0.3">
      <c r="A224" s="35" t="s">
        <v>646</v>
      </c>
      <c r="B224" s="35" t="s">
        <v>647</v>
      </c>
      <c r="C224" s="35" t="s">
        <v>168</v>
      </c>
      <c r="D224" s="35" t="s">
        <v>43</v>
      </c>
      <c r="E224" s="35" t="s">
        <v>32</v>
      </c>
      <c r="F224" s="35">
        <v>18</v>
      </c>
      <c r="G224" s="35">
        <v>3711.43</v>
      </c>
      <c r="H224" s="35">
        <v>66805.740000000005</v>
      </c>
      <c r="I224" s="35">
        <v>35414.51</v>
      </c>
      <c r="J224" s="35">
        <v>31391.23</v>
      </c>
      <c r="K224" s="37">
        <v>45828</v>
      </c>
      <c r="L224" s="37">
        <v>45832</v>
      </c>
      <c r="M224" s="35" t="s">
        <v>69</v>
      </c>
      <c r="N224" s="35">
        <v>4</v>
      </c>
      <c r="O224" s="35" t="s">
        <v>648</v>
      </c>
      <c r="P224" s="35">
        <v>6.9</v>
      </c>
    </row>
    <row r="225" spans="1:16" ht="15.75" customHeight="1" x14ac:dyDescent="0.3">
      <c r="A225" s="35" t="s">
        <v>649</v>
      </c>
      <c r="B225" s="35" t="s">
        <v>650</v>
      </c>
      <c r="C225" s="35" t="s">
        <v>95</v>
      </c>
      <c r="D225" s="35" t="s">
        <v>19</v>
      </c>
      <c r="E225" s="35" t="s">
        <v>44</v>
      </c>
      <c r="F225" s="35">
        <v>5</v>
      </c>
      <c r="G225" s="35">
        <v>396.73</v>
      </c>
      <c r="H225" s="35">
        <v>1983.65</v>
      </c>
      <c r="I225" s="35">
        <v>1170.8399999999999</v>
      </c>
      <c r="J225" s="35">
        <v>812.81</v>
      </c>
      <c r="K225" s="37">
        <v>46111</v>
      </c>
      <c r="L225" s="37">
        <v>46121</v>
      </c>
      <c r="M225" s="35" t="s">
        <v>45</v>
      </c>
      <c r="N225" s="35">
        <v>4</v>
      </c>
      <c r="O225" s="35" t="s">
        <v>651</v>
      </c>
      <c r="P225" s="35">
        <v>7.1</v>
      </c>
    </row>
    <row r="226" spans="1:16" ht="15.75" customHeight="1" x14ac:dyDescent="0.3">
      <c r="A226" s="35" t="s">
        <v>652</v>
      </c>
      <c r="B226" s="35" t="s">
        <v>653</v>
      </c>
      <c r="C226" s="35" t="s">
        <v>62</v>
      </c>
      <c r="D226" s="35" t="s">
        <v>31</v>
      </c>
      <c r="E226" s="35" t="s">
        <v>32</v>
      </c>
      <c r="F226" s="35">
        <v>9</v>
      </c>
      <c r="G226" s="35">
        <v>3163.08</v>
      </c>
      <c r="H226" s="35">
        <v>28467.72</v>
      </c>
      <c r="I226" s="35">
        <v>22627.62</v>
      </c>
      <c r="J226" s="35">
        <v>5840.1</v>
      </c>
      <c r="K226" s="37">
        <v>45566</v>
      </c>
      <c r="L226" s="37">
        <v>45573</v>
      </c>
      <c r="M226" s="35" t="s">
        <v>38</v>
      </c>
      <c r="N226" s="35">
        <v>5</v>
      </c>
      <c r="O226" s="35" t="s">
        <v>615</v>
      </c>
      <c r="P226" s="35">
        <v>8.4</v>
      </c>
    </row>
    <row r="227" spans="1:16" ht="15.75" customHeight="1" x14ac:dyDescent="0.3">
      <c r="A227" s="35" t="s">
        <v>654</v>
      </c>
      <c r="B227" s="35" t="s">
        <v>655</v>
      </c>
      <c r="C227" s="35" t="s">
        <v>49</v>
      </c>
      <c r="D227" s="35" t="s">
        <v>43</v>
      </c>
      <c r="E227" s="35" t="s">
        <v>32</v>
      </c>
      <c r="F227" s="35">
        <v>13</v>
      </c>
      <c r="G227" s="35">
        <v>4531.71</v>
      </c>
      <c r="H227" s="35">
        <v>58912.23</v>
      </c>
      <c r="I227" s="35">
        <v>42232.1</v>
      </c>
      <c r="J227" s="35">
        <v>16680.13</v>
      </c>
      <c r="K227" s="37">
        <v>45829</v>
      </c>
      <c r="L227" s="37">
        <v>45830</v>
      </c>
      <c r="M227" s="35" t="s">
        <v>123</v>
      </c>
      <c r="N227" s="35">
        <v>4</v>
      </c>
      <c r="O227" s="35" t="s">
        <v>394</v>
      </c>
      <c r="P227" s="35">
        <v>9.3000000000000007</v>
      </c>
    </row>
    <row r="228" spans="1:16" ht="15.75" customHeight="1" x14ac:dyDescent="0.3">
      <c r="A228" s="35" t="s">
        <v>656</v>
      </c>
      <c r="B228" s="35" t="s">
        <v>657</v>
      </c>
      <c r="C228" s="35" t="s">
        <v>49</v>
      </c>
      <c r="D228" s="35" t="s">
        <v>43</v>
      </c>
      <c r="E228" s="35" t="s">
        <v>44</v>
      </c>
      <c r="F228" s="35">
        <v>12</v>
      </c>
      <c r="G228" s="35">
        <v>1301.47</v>
      </c>
      <c r="H228" s="35">
        <v>15617.64</v>
      </c>
      <c r="I228" s="35">
        <v>10195.879999999999</v>
      </c>
      <c r="J228" s="35">
        <v>5421.76</v>
      </c>
      <c r="K228" s="37">
        <v>45525</v>
      </c>
      <c r="L228" s="37">
        <v>45526</v>
      </c>
      <c r="M228" s="35" t="s">
        <v>181</v>
      </c>
      <c r="N228" s="35">
        <v>1</v>
      </c>
      <c r="O228" s="35" t="s">
        <v>658</v>
      </c>
      <c r="P228" s="35">
        <v>8.6999999999999993</v>
      </c>
    </row>
    <row r="229" spans="1:16" ht="15.75" customHeight="1" x14ac:dyDescent="0.3">
      <c r="A229" s="35" t="s">
        <v>659</v>
      </c>
      <c r="B229" s="35" t="s">
        <v>660</v>
      </c>
      <c r="C229" s="35" t="s">
        <v>49</v>
      </c>
      <c r="D229" s="35" t="s">
        <v>43</v>
      </c>
      <c r="E229" s="35" t="s">
        <v>20</v>
      </c>
      <c r="F229" s="35">
        <v>14</v>
      </c>
      <c r="G229" s="35">
        <v>2870.44</v>
      </c>
      <c r="H229" s="35">
        <v>40186.160000000003</v>
      </c>
      <c r="I229" s="35">
        <v>34519.67</v>
      </c>
      <c r="J229" s="35">
        <v>5666.49</v>
      </c>
      <c r="K229" s="37">
        <v>46000</v>
      </c>
      <c r="L229" s="37">
        <v>46004</v>
      </c>
      <c r="M229" s="35" t="s">
        <v>33</v>
      </c>
      <c r="N229" s="35">
        <v>1</v>
      </c>
      <c r="O229" s="35" t="s">
        <v>391</v>
      </c>
      <c r="P229" s="35">
        <v>6.3</v>
      </c>
    </row>
    <row r="230" spans="1:16" ht="15.75" customHeight="1" x14ac:dyDescent="0.3">
      <c r="A230" s="35" t="s">
        <v>661</v>
      </c>
      <c r="B230" s="35" t="s">
        <v>662</v>
      </c>
      <c r="C230" s="35" t="s">
        <v>139</v>
      </c>
      <c r="D230" s="35" t="s">
        <v>31</v>
      </c>
      <c r="E230" s="35" t="s">
        <v>32</v>
      </c>
      <c r="F230" s="35">
        <v>7</v>
      </c>
      <c r="G230" s="35">
        <v>3919.51</v>
      </c>
      <c r="H230" s="35">
        <v>27436.57</v>
      </c>
      <c r="I230" s="35">
        <v>14835.08</v>
      </c>
      <c r="J230" s="35">
        <v>12601.49</v>
      </c>
      <c r="K230" s="37">
        <v>45918</v>
      </c>
      <c r="L230" s="37">
        <v>45920</v>
      </c>
      <c r="M230" s="35" t="s">
        <v>123</v>
      </c>
      <c r="N230" s="35">
        <v>5</v>
      </c>
      <c r="O230" s="35" t="s">
        <v>663</v>
      </c>
      <c r="P230" s="35">
        <v>9.5</v>
      </c>
    </row>
    <row r="231" spans="1:16" ht="15.75" customHeight="1" x14ac:dyDescent="0.3">
      <c r="A231" s="35" t="s">
        <v>664</v>
      </c>
      <c r="B231" s="35" t="s">
        <v>665</v>
      </c>
      <c r="C231" s="35" t="s">
        <v>72</v>
      </c>
      <c r="D231" s="35" t="s">
        <v>31</v>
      </c>
      <c r="E231" s="35" t="s">
        <v>44</v>
      </c>
      <c r="F231" s="35">
        <v>19</v>
      </c>
      <c r="G231" s="35">
        <v>809.32</v>
      </c>
      <c r="H231" s="35">
        <v>15377.08</v>
      </c>
      <c r="I231" s="35">
        <v>10948.25</v>
      </c>
      <c r="J231" s="35">
        <v>4428.83</v>
      </c>
      <c r="K231" s="37">
        <v>45871</v>
      </c>
      <c r="L231" s="37">
        <v>45876</v>
      </c>
      <c r="M231" s="35" t="s">
        <v>26</v>
      </c>
      <c r="N231" s="35">
        <v>3</v>
      </c>
      <c r="O231" s="35" t="s">
        <v>27</v>
      </c>
      <c r="P231" s="35">
        <v>9.1</v>
      </c>
    </row>
    <row r="232" spans="1:16" ht="15.75" customHeight="1" x14ac:dyDescent="0.3">
      <c r="A232" s="35" t="s">
        <v>666</v>
      </c>
      <c r="B232" s="35" t="s">
        <v>667</v>
      </c>
      <c r="C232" s="35" t="s">
        <v>42</v>
      </c>
      <c r="D232" s="35" t="s">
        <v>43</v>
      </c>
      <c r="E232" s="35" t="s">
        <v>44</v>
      </c>
      <c r="F232" s="35">
        <v>17</v>
      </c>
      <c r="G232" s="35">
        <v>3704.22</v>
      </c>
      <c r="H232" s="35">
        <v>62971.74</v>
      </c>
      <c r="I232" s="35">
        <v>54669.84</v>
      </c>
      <c r="J232" s="35">
        <v>8301.9</v>
      </c>
      <c r="K232" s="37">
        <v>45696</v>
      </c>
      <c r="L232" s="37">
        <v>45704</v>
      </c>
      <c r="M232" s="35" t="s">
        <v>33</v>
      </c>
      <c r="N232" s="35">
        <v>5</v>
      </c>
      <c r="O232" s="35" t="s">
        <v>51</v>
      </c>
      <c r="P232" s="35">
        <v>8.3000000000000007</v>
      </c>
    </row>
    <row r="233" spans="1:16" ht="15.75" customHeight="1" x14ac:dyDescent="0.3">
      <c r="A233" s="35" t="s">
        <v>668</v>
      </c>
      <c r="B233" s="35" t="s">
        <v>669</v>
      </c>
      <c r="C233" s="35" t="s">
        <v>18</v>
      </c>
      <c r="D233" s="35" t="s">
        <v>19</v>
      </c>
      <c r="E233" s="35" t="s">
        <v>25</v>
      </c>
      <c r="F233" s="35">
        <v>18</v>
      </c>
      <c r="G233" s="35">
        <v>4807.76</v>
      </c>
      <c r="H233" s="35">
        <v>86539.68</v>
      </c>
      <c r="I233" s="35">
        <v>54560.62</v>
      </c>
      <c r="J233" s="35">
        <v>31979.06</v>
      </c>
      <c r="K233" s="37">
        <v>45691</v>
      </c>
      <c r="L233" s="37">
        <v>45700</v>
      </c>
      <c r="M233" s="35" t="s">
        <v>33</v>
      </c>
      <c r="N233" s="35">
        <v>2</v>
      </c>
      <c r="O233" s="35" t="s">
        <v>509</v>
      </c>
      <c r="P233" s="35">
        <v>8.4</v>
      </c>
    </row>
    <row r="234" spans="1:16" ht="15.75" customHeight="1" x14ac:dyDescent="0.3">
      <c r="A234" s="35" t="s">
        <v>670</v>
      </c>
      <c r="B234" s="35" t="s">
        <v>671</v>
      </c>
      <c r="C234" s="35" t="s">
        <v>49</v>
      </c>
      <c r="D234" s="35" t="s">
        <v>43</v>
      </c>
      <c r="E234" s="35" t="s">
        <v>44</v>
      </c>
      <c r="F234" s="35">
        <v>18</v>
      </c>
      <c r="G234" s="35">
        <v>1636.4</v>
      </c>
      <c r="H234" s="35">
        <v>29455.200000000001</v>
      </c>
      <c r="I234" s="35">
        <v>20544.47</v>
      </c>
      <c r="J234" s="35">
        <v>8910.73</v>
      </c>
      <c r="K234" s="37">
        <v>46120</v>
      </c>
      <c r="L234" s="37">
        <v>46125</v>
      </c>
      <c r="M234" s="35" t="s">
        <v>181</v>
      </c>
      <c r="N234" s="35">
        <v>4</v>
      </c>
      <c r="O234" s="35" t="s">
        <v>672</v>
      </c>
      <c r="P234" s="35">
        <v>9.6</v>
      </c>
    </row>
    <row r="235" spans="1:16" ht="15.75" customHeight="1" x14ac:dyDescent="0.3">
      <c r="A235" s="35" t="s">
        <v>673</v>
      </c>
      <c r="B235" s="35" t="s">
        <v>674</v>
      </c>
      <c r="C235" s="35" t="s">
        <v>72</v>
      </c>
      <c r="D235" s="35" t="s">
        <v>31</v>
      </c>
      <c r="E235" s="35" t="s">
        <v>25</v>
      </c>
      <c r="F235" s="35">
        <v>8</v>
      </c>
      <c r="G235" s="35">
        <v>2130.83</v>
      </c>
      <c r="H235" s="35">
        <v>17046.64</v>
      </c>
      <c r="I235" s="35">
        <v>8752.6299999999992</v>
      </c>
      <c r="J235" s="35">
        <v>8294.01</v>
      </c>
      <c r="K235" s="37">
        <v>45767</v>
      </c>
      <c r="L235" s="37">
        <v>45775</v>
      </c>
      <c r="M235" s="35" t="s">
        <v>58</v>
      </c>
      <c r="N235" s="35">
        <v>1</v>
      </c>
      <c r="O235" s="35" t="s">
        <v>267</v>
      </c>
      <c r="P235" s="35">
        <v>6.8</v>
      </c>
    </row>
    <row r="236" spans="1:16" ht="15.75" customHeight="1" x14ac:dyDescent="0.3">
      <c r="A236" s="35" t="s">
        <v>675</v>
      </c>
      <c r="B236" s="35" t="s">
        <v>676</v>
      </c>
      <c r="C236" s="35" t="s">
        <v>37</v>
      </c>
      <c r="D236" s="35" t="s">
        <v>19</v>
      </c>
      <c r="E236" s="35" t="s">
        <v>44</v>
      </c>
      <c r="F236" s="35">
        <v>19</v>
      </c>
      <c r="G236" s="35">
        <v>412.07</v>
      </c>
      <c r="H236" s="35">
        <v>7829.33</v>
      </c>
      <c r="I236" s="35">
        <v>5495.38</v>
      </c>
      <c r="J236" s="35">
        <v>2333.9499999999998</v>
      </c>
      <c r="K236" s="37">
        <v>45931</v>
      </c>
      <c r="L236" s="37">
        <v>45936</v>
      </c>
      <c r="M236" s="35" t="s">
        <v>21</v>
      </c>
      <c r="N236" s="35">
        <v>2</v>
      </c>
      <c r="O236" s="35" t="s">
        <v>493</v>
      </c>
      <c r="P236" s="35">
        <v>7.8</v>
      </c>
    </row>
    <row r="237" spans="1:16" ht="15.75" customHeight="1" x14ac:dyDescent="0.3">
      <c r="A237" s="35" t="s">
        <v>677</v>
      </c>
      <c r="B237" s="35" t="s">
        <v>678</v>
      </c>
      <c r="C237" s="35" t="s">
        <v>195</v>
      </c>
      <c r="D237" s="35" t="s">
        <v>43</v>
      </c>
      <c r="E237" s="35" t="s">
        <v>25</v>
      </c>
      <c r="F237" s="35">
        <v>13</v>
      </c>
      <c r="G237" s="35">
        <v>2722.31</v>
      </c>
      <c r="H237" s="35">
        <v>35390.03</v>
      </c>
      <c r="I237" s="35">
        <v>24470.93</v>
      </c>
      <c r="J237" s="35">
        <v>10919.1</v>
      </c>
      <c r="K237" s="37">
        <v>46076</v>
      </c>
      <c r="L237" s="37">
        <v>46086</v>
      </c>
      <c r="M237" s="35" t="s">
        <v>45</v>
      </c>
      <c r="N237" s="35">
        <v>2</v>
      </c>
      <c r="O237" s="35" t="s">
        <v>246</v>
      </c>
      <c r="P237" s="35">
        <v>9.6</v>
      </c>
    </row>
    <row r="238" spans="1:16" ht="15.75" customHeight="1" x14ac:dyDescent="0.3">
      <c r="A238" s="35" t="s">
        <v>679</v>
      </c>
      <c r="B238" s="35" t="s">
        <v>680</v>
      </c>
      <c r="C238" s="35" t="s">
        <v>139</v>
      </c>
      <c r="D238" s="35" t="s">
        <v>31</v>
      </c>
      <c r="E238" s="35" t="s">
        <v>32</v>
      </c>
      <c r="F238" s="35">
        <v>13</v>
      </c>
      <c r="G238" s="35">
        <v>3207.59</v>
      </c>
      <c r="H238" s="35">
        <v>41698.67</v>
      </c>
      <c r="I238" s="35">
        <v>35356.400000000001</v>
      </c>
      <c r="J238" s="35">
        <v>6342.27</v>
      </c>
      <c r="K238" s="37">
        <v>45594</v>
      </c>
      <c r="L238" s="37">
        <v>45598</v>
      </c>
      <c r="M238" s="35" t="s">
        <v>123</v>
      </c>
      <c r="N238" s="35">
        <v>4</v>
      </c>
      <c r="O238" s="35" t="s">
        <v>533</v>
      </c>
      <c r="P238" s="35">
        <v>7.1</v>
      </c>
    </row>
    <row r="239" spans="1:16" ht="15.75" customHeight="1" x14ac:dyDescent="0.3">
      <c r="A239" s="35" t="s">
        <v>681</v>
      </c>
      <c r="B239" s="35" t="s">
        <v>682</v>
      </c>
      <c r="C239" s="35" t="s">
        <v>49</v>
      </c>
      <c r="D239" s="35" t="s">
        <v>43</v>
      </c>
      <c r="E239" s="35" t="s">
        <v>20</v>
      </c>
      <c r="F239" s="35">
        <v>16</v>
      </c>
      <c r="G239" s="35">
        <v>508.49</v>
      </c>
      <c r="H239" s="35">
        <v>8135.84</v>
      </c>
      <c r="I239" s="35">
        <v>6328.5</v>
      </c>
      <c r="J239" s="35">
        <v>1807.34</v>
      </c>
      <c r="K239" s="37">
        <v>45437</v>
      </c>
      <c r="L239" s="37">
        <v>45445</v>
      </c>
      <c r="M239" s="35" t="s">
        <v>69</v>
      </c>
      <c r="N239" s="35">
        <v>2</v>
      </c>
      <c r="O239" s="35" t="s">
        <v>683</v>
      </c>
      <c r="P239" s="35">
        <v>6.6</v>
      </c>
    </row>
    <row r="240" spans="1:16" ht="15.75" customHeight="1" x14ac:dyDescent="0.3">
      <c r="A240" s="35" t="s">
        <v>684</v>
      </c>
      <c r="B240" s="35" t="s">
        <v>685</v>
      </c>
      <c r="C240" s="35" t="s">
        <v>195</v>
      </c>
      <c r="D240" s="35" t="s">
        <v>43</v>
      </c>
      <c r="E240" s="35" t="s">
        <v>44</v>
      </c>
      <c r="F240" s="35">
        <v>7</v>
      </c>
      <c r="G240" s="35">
        <v>528.49</v>
      </c>
      <c r="H240" s="35">
        <v>3699.43</v>
      </c>
      <c r="I240" s="35">
        <v>2089.46</v>
      </c>
      <c r="J240" s="35">
        <v>1609.97</v>
      </c>
      <c r="K240" s="37">
        <v>45803</v>
      </c>
      <c r="L240" s="37">
        <v>45813</v>
      </c>
      <c r="M240" s="35" t="s">
        <v>58</v>
      </c>
      <c r="N240" s="35">
        <v>3</v>
      </c>
      <c r="O240" s="35" t="s">
        <v>145</v>
      </c>
      <c r="P240" s="35">
        <v>6.8</v>
      </c>
    </row>
    <row r="241" spans="1:16" ht="15.75" customHeight="1" x14ac:dyDescent="0.3">
      <c r="A241" s="35" t="s">
        <v>686</v>
      </c>
      <c r="B241" s="35" t="s">
        <v>687</v>
      </c>
      <c r="C241" s="35" t="s">
        <v>144</v>
      </c>
      <c r="D241" s="35" t="s">
        <v>19</v>
      </c>
      <c r="E241" s="35" t="s">
        <v>20</v>
      </c>
      <c r="F241" s="35">
        <v>4</v>
      </c>
      <c r="G241" s="35">
        <v>984.43</v>
      </c>
      <c r="H241" s="35">
        <v>3937.72</v>
      </c>
      <c r="I241" s="35">
        <v>2382.1999999999998</v>
      </c>
      <c r="J241" s="35">
        <v>1555.52</v>
      </c>
      <c r="K241" s="37">
        <v>46153</v>
      </c>
      <c r="L241" s="37">
        <v>46155</v>
      </c>
      <c r="M241" s="35" t="s">
        <v>21</v>
      </c>
      <c r="N241" s="35">
        <v>5</v>
      </c>
      <c r="O241" s="35" t="s">
        <v>638</v>
      </c>
      <c r="P241" s="35">
        <v>9</v>
      </c>
    </row>
    <row r="242" spans="1:16" ht="15.75" customHeight="1" x14ac:dyDescent="0.3">
      <c r="A242" s="35" t="s">
        <v>688</v>
      </c>
      <c r="B242" s="35" t="s">
        <v>689</v>
      </c>
      <c r="C242" s="35" t="s">
        <v>88</v>
      </c>
      <c r="D242" s="35" t="s">
        <v>31</v>
      </c>
      <c r="E242" s="35" t="s">
        <v>32</v>
      </c>
      <c r="F242" s="35">
        <v>9</v>
      </c>
      <c r="G242" s="35">
        <v>3928.09</v>
      </c>
      <c r="H242" s="35">
        <v>35352.81</v>
      </c>
      <c r="I242" s="35">
        <v>23896.7</v>
      </c>
      <c r="J242" s="35">
        <v>11456.11</v>
      </c>
      <c r="K242" s="37">
        <v>45696</v>
      </c>
      <c r="L242" s="37">
        <v>45702</v>
      </c>
      <c r="M242" s="35" t="s">
        <v>45</v>
      </c>
      <c r="N242" s="35">
        <v>3</v>
      </c>
      <c r="O242" s="35" t="s">
        <v>114</v>
      </c>
      <c r="P242" s="35">
        <v>8.1</v>
      </c>
    </row>
    <row r="243" spans="1:16" ht="15.75" customHeight="1" x14ac:dyDescent="0.3">
      <c r="A243" s="35" t="s">
        <v>690</v>
      </c>
      <c r="B243" s="35" t="s">
        <v>691</v>
      </c>
      <c r="C243" s="35" t="s">
        <v>72</v>
      </c>
      <c r="D243" s="35" t="s">
        <v>31</v>
      </c>
      <c r="E243" s="35" t="s">
        <v>44</v>
      </c>
      <c r="F243" s="35">
        <v>15</v>
      </c>
      <c r="G243" s="35">
        <v>3746.49</v>
      </c>
      <c r="H243" s="35">
        <v>56197.35</v>
      </c>
      <c r="I243" s="35">
        <v>42538.48</v>
      </c>
      <c r="J243" s="35">
        <v>13658.87</v>
      </c>
      <c r="K243" s="37">
        <v>45923</v>
      </c>
      <c r="L243" s="37">
        <v>45930</v>
      </c>
      <c r="M243" s="35" t="s">
        <v>21</v>
      </c>
      <c r="N243" s="35">
        <v>2</v>
      </c>
      <c r="O243" s="35" t="s">
        <v>692</v>
      </c>
      <c r="P243" s="35">
        <v>6.8</v>
      </c>
    </row>
    <row r="244" spans="1:16" ht="15.75" customHeight="1" x14ac:dyDescent="0.3">
      <c r="A244" s="35" t="s">
        <v>693</v>
      </c>
      <c r="B244" s="35" t="s">
        <v>694</v>
      </c>
      <c r="C244" s="35" t="s">
        <v>95</v>
      </c>
      <c r="D244" s="35" t="s">
        <v>19</v>
      </c>
      <c r="E244" s="35" t="s">
        <v>20</v>
      </c>
      <c r="F244" s="35">
        <v>13</v>
      </c>
      <c r="G244" s="35">
        <v>4439.53</v>
      </c>
      <c r="H244" s="35">
        <v>57713.89</v>
      </c>
      <c r="I244" s="35">
        <v>50798.65</v>
      </c>
      <c r="J244" s="35">
        <v>6915.24</v>
      </c>
      <c r="K244" s="37">
        <v>46023</v>
      </c>
      <c r="L244" s="37">
        <v>46031</v>
      </c>
      <c r="M244" s="35" t="s">
        <v>38</v>
      </c>
      <c r="N244" s="35">
        <v>5</v>
      </c>
      <c r="O244" s="35" t="s">
        <v>273</v>
      </c>
      <c r="P244" s="35">
        <v>9.5</v>
      </c>
    </row>
    <row r="245" spans="1:16" ht="15.75" customHeight="1" x14ac:dyDescent="0.3">
      <c r="A245" s="35" t="s">
        <v>695</v>
      </c>
      <c r="B245" s="35" t="s">
        <v>696</v>
      </c>
      <c r="C245" s="35" t="s">
        <v>88</v>
      </c>
      <c r="D245" s="35" t="s">
        <v>31</v>
      </c>
      <c r="E245" s="35" t="s">
        <v>20</v>
      </c>
      <c r="F245" s="35">
        <v>6</v>
      </c>
      <c r="G245" s="35">
        <v>685.68</v>
      </c>
      <c r="H245" s="35">
        <v>4114.08</v>
      </c>
      <c r="I245" s="35">
        <v>2638.69</v>
      </c>
      <c r="J245" s="35">
        <v>1475.39</v>
      </c>
      <c r="K245" s="37">
        <v>46003</v>
      </c>
      <c r="L245" s="37">
        <v>46010</v>
      </c>
      <c r="M245" s="35" t="s">
        <v>181</v>
      </c>
      <c r="N245" s="35">
        <v>3</v>
      </c>
      <c r="O245" s="35" t="s">
        <v>423</v>
      </c>
      <c r="P245" s="35">
        <v>6.4</v>
      </c>
    </row>
    <row r="246" spans="1:16" ht="15.75" customHeight="1" x14ac:dyDescent="0.3">
      <c r="A246" s="35" t="s">
        <v>697</v>
      </c>
      <c r="B246" s="35" t="s">
        <v>698</v>
      </c>
      <c r="C246" s="35" t="s">
        <v>42</v>
      </c>
      <c r="D246" s="35" t="s">
        <v>43</v>
      </c>
      <c r="E246" s="35" t="s">
        <v>25</v>
      </c>
      <c r="F246" s="35">
        <v>1</v>
      </c>
      <c r="G246" s="35">
        <v>2364.4899999999998</v>
      </c>
      <c r="H246" s="35">
        <v>2364.4899999999998</v>
      </c>
      <c r="I246" s="35">
        <v>1961.63</v>
      </c>
      <c r="J246" s="35">
        <v>402.86</v>
      </c>
      <c r="K246" s="37">
        <v>46160</v>
      </c>
      <c r="L246" s="37">
        <v>46161</v>
      </c>
      <c r="M246" s="35" t="s">
        <v>181</v>
      </c>
      <c r="N246" s="35">
        <v>3</v>
      </c>
      <c r="O246" s="35" t="s">
        <v>525</v>
      </c>
      <c r="P246" s="35">
        <v>8.1999999999999993</v>
      </c>
    </row>
    <row r="247" spans="1:16" ht="15.75" customHeight="1" x14ac:dyDescent="0.3">
      <c r="A247" s="35" t="s">
        <v>699</v>
      </c>
      <c r="B247" s="35" t="s">
        <v>700</v>
      </c>
      <c r="C247" s="35" t="s">
        <v>168</v>
      </c>
      <c r="D247" s="35" t="s">
        <v>43</v>
      </c>
      <c r="E247" s="35" t="s">
        <v>32</v>
      </c>
      <c r="F247" s="35">
        <v>17</v>
      </c>
      <c r="G247" s="35">
        <v>1249.1600000000001</v>
      </c>
      <c r="H247" s="35">
        <v>21235.72</v>
      </c>
      <c r="I247" s="35">
        <v>18728.73</v>
      </c>
      <c r="J247" s="35">
        <v>2506.9899999999998</v>
      </c>
      <c r="K247" s="37">
        <v>45885</v>
      </c>
      <c r="L247" s="37">
        <v>45894</v>
      </c>
      <c r="M247" s="35" t="s">
        <v>50</v>
      </c>
      <c r="N247" s="35">
        <v>3</v>
      </c>
      <c r="O247" s="35" t="s">
        <v>114</v>
      </c>
      <c r="P247" s="35">
        <v>8.3000000000000007</v>
      </c>
    </row>
    <row r="248" spans="1:16" ht="15.75" customHeight="1" x14ac:dyDescent="0.3">
      <c r="A248" s="35" t="s">
        <v>701</v>
      </c>
      <c r="B248" s="35" t="s">
        <v>702</v>
      </c>
      <c r="C248" s="35" t="s">
        <v>42</v>
      </c>
      <c r="D248" s="35" t="s">
        <v>43</v>
      </c>
      <c r="E248" s="35" t="s">
        <v>25</v>
      </c>
      <c r="F248" s="35">
        <v>5</v>
      </c>
      <c r="G248" s="35">
        <v>2155.19</v>
      </c>
      <c r="H248" s="35">
        <v>10775.95</v>
      </c>
      <c r="I248" s="35">
        <v>7609.65</v>
      </c>
      <c r="J248" s="35">
        <v>3166.3</v>
      </c>
      <c r="K248" s="37">
        <v>46152</v>
      </c>
      <c r="L248" s="37">
        <v>46158</v>
      </c>
      <c r="M248" s="35" t="s">
        <v>45</v>
      </c>
      <c r="N248" s="35">
        <v>1</v>
      </c>
      <c r="O248" s="35" t="s">
        <v>663</v>
      </c>
      <c r="P248" s="35">
        <v>6.2</v>
      </c>
    </row>
    <row r="249" spans="1:16" ht="15.75" customHeight="1" x14ac:dyDescent="0.3">
      <c r="A249" s="35" t="s">
        <v>703</v>
      </c>
      <c r="B249" s="35" t="s">
        <v>704</v>
      </c>
      <c r="C249" s="35" t="s">
        <v>57</v>
      </c>
      <c r="D249" s="35" t="s">
        <v>19</v>
      </c>
      <c r="E249" s="35" t="s">
        <v>20</v>
      </c>
      <c r="F249" s="35">
        <v>5</v>
      </c>
      <c r="G249" s="35">
        <v>831.74</v>
      </c>
      <c r="H249" s="35">
        <v>4158.7</v>
      </c>
      <c r="I249" s="35">
        <v>2526.61</v>
      </c>
      <c r="J249" s="35">
        <v>1632.09</v>
      </c>
      <c r="K249" s="37">
        <v>45864</v>
      </c>
      <c r="L249" s="37">
        <v>45874</v>
      </c>
      <c r="M249" s="35" t="s">
        <v>181</v>
      </c>
      <c r="N249" s="35">
        <v>4</v>
      </c>
      <c r="O249" s="35" t="s">
        <v>627</v>
      </c>
      <c r="P249" s="35">
        <v>9.1999999999999993</v>
      </c>
    </row>
    <row r="250" spans="1:16" ht="15.75" customHeight="1" x14ac:dyDescent="0.3">
      <c r="A250" s="35" t="s">
        <v>705</v>
      </c>
      <c r="B250" s="35" t="s">
        <v>706</v>
      </c>
      <c r="C250" s="35" t="s">
        <v>219</v>
      </c>
      <c r="D250" s="35" t="s">
        <v>43</v>
      </c>
      <c r="E250" s="35" t="s">
        <v>32</v>
      </c>
      <c r="F250" s="35">
        <v>11</v>
      </c>
      <c r="G250" s="35">
        <v>2372.77</v>
      </c>
      <c r="H250" s="35">
        <v>26100.47</v>
      </c>
      <c r="I250" s="35">
        <v>19638.490000000002</v>
      </c>
      <c r="J250" s="35">
        <v>6461.98</v>
      </c>
      <c r="K250" s="37">
        <v>45552</v>
      </c>
      <c r="L250" s="37">
        <v>45556</v>
      </c>
      <c r="M250" s="35" t="s">
        <v>45</v>
      </c>
      <c r="N250" s="35">
        <v>5</v>
      </c>
      <c r="O250" s="35" t="s">
        <v>409</v>
      </c>
      <c r="P250" s="35">
        <v>9.6</v>
      </c>
    </row>
    <row r="251" spans="1:16" ht="15.75" customHeight="1" x14ac:dyDescent="0.3">
      <c r="A251" s="35" t="s">
        <v>707</v>
      </c>
      <c r="B251" s="35" t="s">
        <v>708</v>
      </c>
      <c r="C251" s="35" t="s">
        <v>62</v>
      </c>
      <c r="D251" s="35" t="s">
        <v>31</v>
      </c>
      <c r="E251" s="35" t="s">
        <v>44</v>
      </c>
      <c r="F251" s="35">
        <v>16</v>
      </c>
      <c r="G251" s="35">
        <v>4169.2</v>
      </c>
      <c r="H251" s="35">
        <v>66707.199999999997</v>
      </c>
      <c r="I251" s="35">
        <v>45473.08</v>
      </c>
      <c r="J251" s="35">
        <v>21234.12</v>
      </c>
      <c r="K251" s="37">
        <v>45622</v>
      </c>
      <c r="L251" s="37">
        <v>45632</v>
      </c>
      <c r="M251" s="35" t="s">
        <v>45</v>
      </c>
      <c r="N251" s="35">
        <v>2</v>
      </c>
      <c r="O251" s="35" t="s">
        <v>709</v>
      </c>
      <c r="P251" s="35">
        <v>9.4</v>
      </c>
    </row>
    <row r="252" spans="1:16" ht="15.75" customHeight="1" x14ac:dyDescent="0.3">
      <c r="A252" s="35" t="s">
        <v>710</v>
      </c>
      <c r="B252" s="35" t="s">
        <v>711</v>
      </c>
      <c r="C252" s="35" t="s">
        <v>37</v>
      </c>
      <c r="D252" s="35" t="s">
        <v>19</v>
      </c>
      <c r="E252" s="35" t="s">
        <v>44</v>
      </c>
      <c r="F252" s="35">
        <v>13</v>
      </c>
      <c r="G252" s="35">
        <v>4415.13</v>
      </c>
      <c r="H252" s="35">
        <v>57396.69</v>
      </c>
      <c r="I252" s="35">
        <v>44483.07</v>
      </c>
      <c r="J252" s="35">
        <v>12913.62</v>
      </c>
      <c r="K252" s="37">
        <v>45986</v>
      </c>
      <c r="L252" s="37">
        <v>45995</v>
      </c>
      <c r="M252" s="35" t="s">
        <v>45</v>
      </c>
      <c r="N252" s="35">
        <v>3</v>
      </c>
      <c r="O252" s="35" t="s">
        <v>712</v>
      </c>
      <c r="P252" s="35">
        <v>6.3</v>
      </c>
    </row>
    <row r="253" spans="1:16" ht="15.75" customHeight="1" x14ac:dyDescent="0.3">
      <c r="A253" s="35" t="s">
        <v>713</v>
      </c>
      <c r="B253" s="35" t="s">
        <v>714</v>
      </c>
      <c r="C253" s="35" t="s">
        <v>49</v>
      </c>
      <c r="D253" s="35" t="s">
        <v>43</v>
      </c>
      <c r="E253" s="35" t="s">
        <v>32</v>
      </c>
      <c r="F253" s="35">
        <v>8</v>
      </c>
      <c r="G253" s="35">
        <v>3138.25</v>
      </c>
      <c r="H253" s="35">
        <v>25106</v>
      </c>
      <c r="I253" s="35">
        <v>19196.03</v>
      </c>
      <c r="J253" s="35">
        <v>5909.97</v>
      </c>
      <c r="K253" s="37">
        <v>45694</v>
      </c>
      <c r="L253" s="37">
        <v>45702</v>
      </c>
      <c r="M253" s="35" t="s">
        <v>69</v>
      </c>
      <c r="N253" s="35">
        <v>5</v>
      </c>
      <c r="O253" s="35" t="s">
        <v>715</v>
      </c>
      <c r="P253" s="35">
        <v>7.4</v>
      </c>
    </row>
    <row r="254" spans="1:16" ht="15.75" customHeight="1" x14ac:dyDescent="0.3">
      <c r="A254" s="35" t="s">
        <v>716</v>
      </c>
      <c r="B254" s="35" t="s">
        <v>717</v>
      </c>
      <c r="C254" s="35" t="s">
        <v>18</v>
      </c>
      <c r="D254" s="35" t="s">
        <v>19</v>
      </c>
      <c r="E254" s="35" t="s">
        <v>32</v>
      </c>
      <c r="F254" s="35">
        <v>13</v>
      </c>
      <c r="G254" s="35">
        <v>2327.5300000000002</v>
      </c>
      <c r="H254" s="35">
        <v>30257.89</v>
      </c>
      <c r="I254" s="35">
        <v>17999.189999999999</v>
      </c>
      <c r="J254" s="35">
        <v>12258.7</v>
      </c>
      <c r="K254" s="37">
        <v>45849</v>
      </c>
      <c r="L254" s="37">
        <v>45854</v>
      </c>
      <c r="M254" s="35" t="s">
        <v>69</v>
      </c>
      <c r="N254" s="35">
        <v>5</v>
      </c>
      <c r="O254" s="35" t="s">
        <v>235</v>
      </c>
      <c r="P254" s="35">
        <v>6.8</v>
      </c>
    </row>
    <row r="255" spans="1:16" ht="15.75" customHeight="1" x14ac:dyDescent="0.3">
      <c r="A255" s="35" t="s">
        <v>718</v>
      </c>
      <c r="B255" s="35" t="s">
        <v>719</v>
      </c>
      <c r="C255" s="35" t="s">
        <v>62</v>
      </c>
      <c r="D255" s="35" t="s">
        <v>31</v>
      </c>
      <c r="E255" s="35" t="s">
        <v>20</v>
      </c>
      <c r="F255" s="35">
        <v>12</v>
      </c>
      <c r="G255" s="35">
        <v>3043.22</v>
      </c>
      <c r="H255" s="35">
        <v>36518.639999999999</v>
      </c>
      <c r="I255" s="35">
        <v>19515.28</v>
      </c>
      <c r="J255" s="35">
        <v>17003.36</v>
      </c>
      <c r="K255" s="37">
        <v>45970</v>
      </c>
      <c r="L255" s="37">
        <v>45979</v>
      </c>
      <c r="M255" s="35" t="s">
        <v>45</v>
      </c>
      <c r="N255" s="35">
        <v>2</v>
      </c>
      <c r="O255" s="35" t="s">
        <v>281</v>
      </c>
      <c r="P255" s="35">
        <v>8.9</v>
      </c>
    </row>
    <row r="256" spans="1:16" ht="15.75" customHeight="1" x14ac:dyDescent="0.3">
      <c r="A256" s="35" t="s">
        <v>720</v>
      </c>
      <c r="B256" s="35" t="s">
        <v>721</v>
      </c>
      <c r="C256" s="35" t="s">
        <v>139</v>
      </c>
      <c r="D256" s="35" t="s">
        <v>31</v>
      </c>
      <c r="E256" s="35" t="s">
        <v>44</v>
      </c>
      <c r="F256" s="35">
        <v>13</v>
      </c>
      <c r="G256" s="35">
        <v>2350.14</v>
      </c>
      <c r="H256" s="35">
        <v>30551.82</v>
      </c>
      <c r="I256" s="35">
        <v>23739.97</v>
      </c>
      <c r="J256" s="35">
        <v>6811.85</v>
      </c>
      <c r="K256" s="37">
        <v>45473</v>
      </c>
      <c r="L256" s="37">
        <v>45475</v>
      </c>
      <c r="M256" s="35" t="s">
        <v>33</v>
      </c>
      <c r="N256" s="35">
        <v>4</v>
      </c>
      <c r="O256" s="35" t="s">
        <v>414</v>
      </c>
      <c r="P256" s="35">
        <v>6.5</v>
      </c>
    </row>
    <row r="257" spans="1:16" ht="15.75" customHeight="1" x14ac:dyDescent="0.3">
      <c r="A257" s="35" t="s">
        <v>722</v>
      </c>
      <c r="B257" s="35" t="s">
        <v>723</v>
      </c>
      <c r="C257" s="35" t="s">
        <v>219</v>
      </c>
      <c r="D257" s="35" t="s">
        <v>43</v>
      </c>
      <c r="E257" s="35" t="s">
        <v>25</v>
      </c>
      <c r="F257" s="35">
        <v>15</v>
      </c>
      <c r="G257" s="35">
        <v>4743.9799999999996</v>
      </c>
      <c r="H257" s="35">
        <v>71159.7</v>
      </c>
      <c r="I257" s="35">
        <v>59218.51</v>
      </c>
      <c r="J257" s="35">
        <v>11941.19</v>
      </c>
      <c r="K257" s="37">
        <v>45485</v>
      </c>
      <c r="L257" s="37">
        <v>45488</v>
      </c>
      <c r="M257" s="35" t="s">
        <v>50</v>
      </c>
      <c r="N257" s="35">
        <v>5</v>
      </c>
      <c r="O257" s="35" t="s">
        <v>580</v>
      </c>
      <c r="P257" s="35">
        <v>7.8</v>
      </c>
    </row>
    <row r="258" spans="1:16" ht="15.75" customHeight="1" x14ac:dyDescent="0.3">
      <c r="A258" s="35" t="s">
        <v>724</v>
      </c>
      <c r="B258" s="35" t="s">
        <v>725</v>
      </c>
      <c r="C258" s="35" t="s">
        <v>30</v>
      </c>
      <c r="D258" s="35" t="s">
        <v>31</v>
      </c>
      <c r="E258" s="35" t="s">
        <v>25</v>
      </c>
      <c r="F258" s="35">
        <v>6</v>
      </c>
      <c r="G258" s="35">
        <v>1339.69</v>
      </c>
      <c r="H258" s="35">
        <v>8038.14</v>
      </c>
      <c r="I258" s="35">
        <v>5722.03</v>
      </c>
      <c r="J258" s="35">
        <v>2316.11</v>
      </c>
      <c r="K258" s="37">
        <v>45444</v>
      </c>
      <c r="L258" s="37">
        <v>45446</v>
      </c>
      <c r="M258" s="35" t="s">
        <v>69</v>
      </c>
      <c r="N258" s="35">
        <v>3</v>
      </c>
      <c r="O258" s="35" t="s">
        <v>394</v>
      </c>
      <c r="P258" s="35">
        <v>9.6</v>
      </c>
    </row>
    <row r="259" spans="1:16" ht="15.75" customHeight="1" x14ac:dyDescent="0.3">
      <c r="A259" s="35" t="s">
        <v>726</v>
      </c>
      <c r="B259" s="35" t="s">
        <v>727</v>
      </c>
      <c r="C259" s="35" t="s">
        <v>57</v>
      </c>
      <c r="D259" s="35" t="s">
        <v>19</v>
      </c>
      <c r="E259" s="35" t="s">
        <v>32</v>
      </c>
      <c r="F259" s="35">
        <v>13</v>
      </c>
      <c r="G259" s="35">
        <v>3347.08</v>
      </c>
      <c r="H259" s="35">
        <v>43512.04</v>
      </c>
      <c r="I259" s="35">
        <v>27273.81</v>
      </c>
      <c r="J259" s="35">
        <v>16238.23</v>
      </c>
      <c r="K259" s="37">
        <v>45957</v>
      </c>
      <c r="L259" s="37">
        <v>45959</v>
      </c>
      <c r="M259" s="35" t="s">
        <v>21</v>
      </c>
      <c r="N259" s="35">
        <v>3</v>
      </c>
      <c r="O259" s="35" t="s">
        <v>426</v>
      </c>
      <c r="P259" s="35">
        <v>9.4</v>
      </c>
    </row>
    <row r="260" spans="1:16" ht="15.75" customHeight="1" x14ac:dyDescent="0.3">
      <c r="A260" s="35" t="s">
        <v>728</v>
      </c>
      <c r="B260" s="35" t="s">
        <v>729</v>
      </c>
      <c r="C260" s="35" t="s">
        <v>72</v>
      </c>
      <c r="D260" s="35" t="s">
        <v>31</v>
      </c>
      <c r="E260" s="35" t="s">
        <v>25</v>
      </c>
      <c r="F260" s="35">
        <v>15</v>
      </c>
      <c r="G260" s="35">
        <v>3395.95</v>
      </c>
      <c r="H260" s="35">
        <v>50939.25</v>
      </c>
      <c r="I260" s="35">
        <v>28620.76</v>
      </c>
      <c r="J260" s="35">
        <v>22318.49</v>
      </c>
      <c r="K260" s="37">
        <v>45647</v>
      </c>
      <c r="L260" s="37">
        <v>45653</v>
      </c>
      <c r="M260" s="35" t="s">
        <v>38</v>
      </c>
      <c r="N260" s="35">
        <v>5</v>
      </c>
      <c r="O260" s="35" t="s">
        <v>557</v>
      </c>
      <c r="P260" s="35">
        <v>7.3</v>
      </c>
    </row>
    <row r="261" spans="1:16" ht="15.75" customHeight="1" x14ac:dyDescent="0.3">
      <c r="A261" s="35" t="s">
        <v>730</v>
      </c>
      <c r="B261" s="35" t="s">
        <v>731</v>
      </c>
      <c r="C261" s="35" t="s">
        <v>95</v>
      </c>
      <c r="D261" s="35" t="s">
        <v>19</v>
      </c>
      <c r="E261" s="35" t="s">
        <v>32</v>
      </c>
      <c r="F261" s="35">
        <v>19</v>
      </c>
      <c r="G261" s="35">
        <v>4272.3900000000003</v>
      </c>
      <c r="H261" s="35">
        <v>81175.41</v>
      </c>
      <c r="I261" s="35">
        <v>62692.13</v>
      </c>
      <c r="J261" s="35">
        <v>18483.28</v>
      </c>
      <c r="K261" s="37">
        <v>45755</v>
      </c>
      <c r="L261" s="37">
        <v>45761</v>
      </c>
      <c r="M261" s="35" t="s">
        <v>58</v>
      </c>
      <c r="N261" s="35">
        <v>1</v>
      </c>
      <c r="O261" s="35" t="s">
        <v>732</v>
      </c>
      <c r="P261" s="35">
        <v>9.8000000000000007</v>
      </c>
    </row>
    <row r="262" spans="1:16" ht="15.75" customHeight="1" x14ac:dyDescent="0.3">
      <c r="A262" s="35" t="s">
        <v>733</v>
      </c>
      <c r="B262" s="35" t="s">
        <v>734</v>
      </c>
      <c r="C262" s="35" t="s">
        <v>219</v>
      </c>
      <c r="D262" s="35" t="s">
        <v>43</v>
      </c>
      <c r="E262" s="35" t="s">
        <v>32</v>
      </c>
      <c r="F262" s="35">
        <v>19</v>
      </c>
      <c r="G262" s="35">
        <v>2690.64</v>
      </c>
      <c r="H262" s="35">
        <v>51122.16</v>
      </c>
      <c r="I262" s="35">
        <v>38672.32</v>
      </c>
      <c r="J262" s="35">
        <v>12449.84</v>
      </c>
      <c r="K262" s="37">
        <v>46151</v>
      </c>
      <c r="L262" s="37">
        <v>46156</v>
      </c>
      <c r="M262" s="35" t="s">
        <v>38</v>
      </c>
      <c r="N262" s="35">
        <v>5</v>
      </c>
      <c r="O262" s="35" t="s">
        <v>114</v>
      </c>
      <c r="P262" s="35">
        <v>7.8</v>
      </c>
    </row>
    <row r="263" spans="1:16" ht="15.75" customHeight="1" x14ac:dyDescent="0.3">
      <c r="A263" s="35" t="s">
        <v>735</v>
      </c>
      <c r="B263" s="35" t="s">
        <v>736</v>
      </c>
      <c r="C263" s="35" t="s">
        <v>37</v>
      </c>
      <c r="D263" s="35" t="s">
        <v>19</v>
      </c>
      <c r="E263" s="35" t="s">
        <v>44</v>
      </c>
      <c r="F263" s="35">
        <v>16</v>
      </c>
      <c r="G263" s="35">
        <v>3260.81</v>
      </c>
      <c r="H263" s="35">
        <v>52172.959999999999</v>
      </c>
      <c r="I263" s="35">
        <v>29148.73</v>
      </c>
      <c r="J263" s="35">
        <v>23024.23</v>
      </c>
      <c r="K263" s="37">
        <v>45891</v>
      </c>
      <c r="L263" s="37">
        <v>45893</v>
      </c>
      <c r="M263" s="35" t="s">
        <v>38</v>
      </c>
      <c r="N263" s="35">
        <v>1</v>
      </c>
      <c r="O263" s="35" t="s">
        <v>294</v>
      </c>
      <c r="P263" s="35">
        <v>7</v>
      </c>
    </row>
    <row r="264" spans="1:16" ht="15.75" customHeight="1" x14ac:dyDescent="0.3">
      <c r="A264" s="35" t="s">
        <v>737</v>
      </c>
      <c r="B264" s="35" t="s">
        <v>738</v>
      </c>
      <c r="C264" s="35" t="s">
        <v>18</v>
      </c>
      <c r="D264" s="35" t="s">
        <v>19</v>
      </c>
      <c r="E264" s="35" t="s">
        <v>25</v>
      </c>
      <c r="F264" s="35">
        <v>1</v>
      </c>
      <c r="G264" s="35">
        <v>4741.49</v>
      </c>
      <c r="H264" s="35">
        <v>4741.49</v>
      </c>
      <c r="I264" s="35">
        <v>4049.83</v>
      </c>
      <c r="J264" s="35">
        <v>691.66</v>
      </c>
      <c r="K264" s="37">
        <v>46121</v>
      </c>
      <c r="L264" s="37">
        <v>46130</v>
      </c>
      <c r="M264" s="35" t="s">
        <v>181</v>
      </c>
      <c r="N264" s="35">
        <v>2</v>
      </c>
      <c r="O264" s="35" t="s">
        <v>506</v>
      </c>
      <c r="P264" s="35">
        <v>9.9</v>
      </c>
    </row>
    <row r="265" spans="1:16" ht="15.75" customHeight="1" x14ac:dyDescent="0.3">
      <c r="A265" s="35" t="s">
        <v>739</v>
      </c>
      <c r="B265" s="35" t="s">
        <v>740</v>
      </c>
      <c r="C265" s="35" t="s">
        <v>37</v>
      </c>
      <c r="D265" s="35" t="s">
        <v>19</v>
      </c>
      <c r="E265" s="35" t="s">
        <v>32</v>
      </c>
      <c r="F265" s="35">
        <v>19</v>
      </c>
      <c r="G265" s="35">
        <v>1138.74</v>
      </c>
      <c r="H265" s="35">
        <v>21636.06</v>
      </c>
      <c r="I265" s="35">
        <v>13003.52</v>
      </c>
      <c r="J265" s="35">
        <v>8632.5400000000009</v>
      </c>
      <c r="K265" s="37">
        <v>45908</v>
      </c>
      <c r="L265" s="37">
        <v>45918</v>
      </c>
      <c r="M265" s="35" t="s">
        <v>45</v>
      </c>
      <c r="N265" s="35">
        <v>5</v>
      </c>
      <c r="O265" s="35" t="s">
        <v>741</v>
      </c>
      <c r="P265" s="35">
        <v>8.9</v>
      </c>
    </row>
    <row r="266" spans="1:16" ht="15.75" customHeight="1" x14ac:dyDescent="0.3">
      <c r="A266" s="35" t="s">
        <v>742</v>
      </c>
      <c r="B266" s="35" t="s">
        <v>743</v>
      </c>
      <c r="C266" s="35" t="s">
        <v>42</v>
      </c>
      <c r="D266" s="35" t="s">
        <v>43</v>
      </c>
      <c r="E266" s="35" t="s">
        <v>32</v>
      </c>
      <c r="F266" s="35">
        <v>7</v>
      </c>
      <c r="G266" s="35">
        <v>1785.25</v>
      </c>
      <c r="H266" s="35">
        <v>12496.75</v>
      </c>
      <c r="I266" s="35">
        <v>6488.09</v>
      </c>
      <c r="J266" s="35">
        <v>6008.66</v>
      </c>
      <c r="K266" s="37">
        <v>45798</v>
      </c>
      <c r="L266" s="37">
        <v>45801</v>
      </c>
      <c r="M266" s="35" t="s">
        <v>69</v>
      </c>
      <c r="N266" s="35">
        <v>2</v>
      </c>
      <c r="O266" s="35" t="s">
        <v>105</v>
      </c>
      <c r="P266" s="35">
        <v>9.5</v>
      </c>
    </row>
    <row r="267" spans="1:16" ht="15.75" customHeight="1" x14ac:dyDescent="0.3">
      <c r="A267" s="35" t="s">
        <v>744</v>
      </c>
      <c r="B267" s="35" t="s">
        <v>745</v>
      </c>
      <c r="C267" s="35" t="s">
        <v>62</v>
      </c>
      <c r="D267" s="35" t="s">
        <v>31</v>
      </c>
      <c r="E267" s="35" t="s">
        <v>32</v>
      </c>
      <c r="F267" s="35">
        <v>7</v>
      </c>
      <c r="G267" s="35">
        <v>2651.15</v>
      </c>
      <c r="H267" s="35">
        <v>18558.05</v>
      </c>
      <c r="I267" s="35">
        <v>9753.02</v>
      </c>
      <c r="J267" s="35">
        <v>8805.0300000000007</v>
      </c>
      <c r="K267" s="37">
        <v>45935</v>
      </c>
      <c r="L267" s="37">
        <v>45938</v>
      </c>
      <c r="M267" s="35" t="s">
        <v>21</v>
      </c>
      <c r="N267" s="35">
        <v>3</v>
      </c>
      <c r="O267" s="35" t="s">
        <v>746</v>
      </c>
      <c r="P267" s="35">
        <v>9.8000000000000007</v>
      </c>
    </row>
    <row r="268" spans="1:16" ht="15.75" customHeight="1" x14ac:dyDescent="0.3">
      <c r="A268" s="35" t="s">
        <v>747</v>
      </c>
      <c r="B268" s="35" t="s">
        <v>748</v>
      </c>
      <c r="C268" s="35" t="s">
        <v>88</v>
      </c>
      <c r="D268" s="35" t="s">
        <v>31</v>
      </c>
      <c r="E268" s="35" t="s">
        <v>32</v>
      </c>
      <c r="F268" s="35">
        <v>16</v>
      </c>
      <c r="G268" s="35">
        <v>323.10000000000002</v>
      </c>
      <c r="H268" s="35">
        <v>5169.6000000000004</v>
      </c>
      <c r="I268" s="35">
        <v>3689.38</v>
      </c>
      <c r="J268" s="35">
        <v>1480.22</v>
      </c>
      <c r="K268" s="37">
        <v>46072</v>
      </c>
      <c r="L268" s="37">
        <v>46076</v>
      </c>
      <c r="M268" s="35" t="s">
        <v>123</v>
      </c>
      <c r="N268" s="35">
        <v>4</v>
      </c>
      <c r="O268" s="35" t="s">
        <v>749</v>
      </c>
      <c r="P268" s="35">
        <v>7.7</v>
      </c>
    </row>
    <row r="269" spans="1:16" ht="15.75" customHeight="1" x14ac:dyDescent="0.3">
      <c r="A269" s="35" t="s">
        <v>750</v>
      </c>
      <c r="B269" s="35" t="s">
        <v>751</v>
      </c>
      <c r="C269" s="35" t="s">
        <v>195</v>
      </c>
      <c r="D269" s="35" t="s">
        <v>43</v>
      </c>
      <c r="E269" s="35" t="s">
        <v>32</v>
      </c>
      <c r="F269" s="35">
        <v>5</v>
      </c>
      <c r="G269" s="35">
        <v>3880.48</v>
      </c>
      <c r="H269" s="35">
        <v>19402.400000000001</v>
      </c>
      <c r="I269" s="35">
        <v>14387.23</v>
      </c>
      <c r="J269" s="35">
        <v>5015.17</v>
      </c>
      <c r="K269" s="37">
        <v>45623</v>
      </c>
      <c r="L269" s="37">
        <v>45627</v>
      </c>
      <c r="M269" s="35" t="s">
        <v>50</v>
      </c>
      <c r="N269" s="35">
        <v>5</v>
      </c>
      <c r="O269" s="35" t="s">
        <v>383</v>
      </c>
      <c r="P269" s="35">
        <v>9.5</v>
      </c>
    </row>
    <row r="270" spans="1:16" ht="15.75" customHeight="1" x14ac:dyDescent="0.3">
      <c r="A270" s="35" t="s">
        <v>752</v>
      </c>
      <c r="B270" s="35" t="s">
        <v>753</v>
      </c>
      <c r="C270" s="35" t="s">
        <v>18</v>
      </c>
      <c r="D270" s="35" t="s">
        <v>19</v>
      </c>
      <c r="E270" s="35" t="s">
        <v>20</v>
      </c>
      <c r="F270" s="35">
        <v>11</v>
      </c>
      <c r="G270" s="35">
        <v>2736.73</v>
      </c>
      <c r="H270" s="35">
        <v>30104.03</v>
      </c>
      <c r="I270" s="35">
        <v>17951.21</v>
      </c>
      <c r="J270" s="35">
        <v>12152.82</v>
      </c>
      <c r="K270" s="37">
        <v>45782</v>
      </c>
      <c r="L270" s="37">
        <v>45787</v>
      </c>
      <c r="M270" s="35" t="s">
        <v>33</v>
      </c>
      <c r="N270" s="35">
        <v>2</v>
      </c>
      <c r="O270" s="35" t="s">
        <v>754</v>
      </c>
      <c r="P270" s="35">
        <v>9.3000000000000007</v>
      </c>
    </row>
    <row r="271" spans="1:16" ht="15.75" customHeight="1" x14ac:dyDescent="0.3">
      <c r="A271" s="35" t="s">
        <v>755</v>
      </c>
      <c r="B271" s="35" t="s">
        <v>756</v>
      </c>
      <c r="C271" s="35" t="s">
        <v>49</v>
      </c>
      <c r="D271" s="35" t="s">
        <v>43</v>
      </c>
      <c r="E271" s="35" t="s">
        <v>32</v>
      </c>
      <c r="F271" s="35">
        <v>12</v>
      </c>
      <c r="G271" s="35">
        <v>4202.21</v>
      </c>
      <c r="H271" s="35">
        <v>50426.52</v>
      </c>
      <c r="I271" s="35">
        <v>43289.51</v>
      </c>
      <c r="J271" s="35">
        <v>7137.01</v>
      </c>
      <c r="K271" s="37">
        <v>45912</v>
      </c>
      <c r="L271" s="37">
        <v>45920</v>
      </c>
      <c r="M271" s="35" t="s">
        <v>33</v>
      </c>
      <c r="N271" s="35">
        <v>1</v>
      </c>
      <c r="O271" s="35" t="s">
        <v>757</v>
      </c>
      <c r="P271" s="35">
        <v>6.9</v>
      </c>
    </row>
    <row r="272" spans="1:16" ht="15.75" customHeight="1" x14ac:dyDescent="0.3">
      <c r="A272" s="35" t="s">
        <v>758</v>
      </c>
      <c r="B272" s="35" t="s">
        <v>759</v>
      </c>
      <c r="C272" s="35" t="s">
        <v>144</v>
      </c>
      <c r="D272" s="35" t="s">
        <v>19</v>
      </c>
      <c r="E272" s="35" t="s">
        <v>20</v>
      </c>
      <c r="F272" s="35">
        <v>17</v>
      </c>
      <c r="G272" s="35">
        <v>3169.24</v>
      </c>
      <c r="H272" s="35">
        <v>53877.08</v>
      </c>
      <c r="I272" s="35">
        <v>42448.2</v>
      </c>
      <c r="J272" s="35">
        <v>11428.88</v>
      </c>
      <c r="K272" s="37">
        <v>45469</v>
      </c>
      <c r="L272" s="37">
        <v>45476</v>
      </c>
      <c r="M272" s="35" t="s">
        <v>123</v>
      </c>
      <c r="N272" s="35">
        <v>4</v>
      </c>
      <c r="O272" s="35" t="s">
        <v>105</v>
      </c>
      <c r="P272" s="35">
        <v>10</v>
      </c>
    </row>
    <row r="273" spans="1:16" ht="15.75" customHeight="1" x14ac:dyDescent="0.3">
      <c r="A273" s="35" t="s">
        <v>760</v>
      </c>
      <c r="B273" s="35" t="s">
        <v>761</v>
      </c>
      <c r="C273" s="35" t="s">
        <v>72</v>
      </c>
      <c r="D273" s="35" t="s">
        <v>31</v>
      </c>
      <c r="E273" s="35" t="s">
        <v>32</v>
      </c>
      <c r="F273" s="35">
        <v>1</v>
      </c>
      <c r="G273" s="35">
        <v>653.11</v>
      </c>
      <c r="H273" s="35">
        <v>653.11</v>
      </c>
      <c r="I273" s="35">
        <v>390.82</v>
      </c>
      <c r="J273" s="35">
        <v>262.29000000000002</v>
      </c>
      <c r="K273" s="37">
        <v>45938</v>
      </c>
      <c r="L273" s="37">
        <v>45947</v>
      </c>
      <c r="M273" s="35" t="s">
        <v>123</v>
      </c>
      <c r="N273" s="35">
        <v>5</v>
      </c>
      <c r="O273" s="35" t="s">
        <v>452</v>
      </c>
      <c r="P273" s="35">
        <v>7.6</v>
      </c>
    </row>
    <row r="274" spans="1:16" ht="15.75" customHeight="1" x14ac:dyDescent="0.3">
      <c r="A274" s="35" t="s">
        <v>762</v>
      </c>
      <c r="B274" s="35" t="s">
        <v>763</v>
      </c>
      <c r="C274" s="35" t="s">
        <v>49</v>
      </c>
      <c r="D274" s="35" t="s">
        <v>43</v>
      </c>
      <c r="E274" s="35" t="s">
        <v>25</v>
      </c>
      <c r="F274" s="35">
        <v>1</v>
      </c>
      <c r="G274" s="35">
        <v>3414.28</v>
      </c>
      <c r="H274" s="35">
        <v>3414.28</v>
      </c>
      <c r="I274" s="35">
        <v>2555.17</v>
      </c>
      <c r="J274" s="35">
        <v>859.11</v>
      </c>
      <c r="K274" s="37">
        <v>45625</v>
      </c>
      <c r="L274" s="37">
        <v>45626</v>
      </c>
      <c r="M274" s="35" t="s">
        <v>69</v>
      </c>
      <c r="N274" s="35">
        <v>1</v>
      </c>
      <c r="O274" s="35" t="s">
        <v>764</v>
      </c>
      <c r="P274" s="35">
        <v>7.5</v>
      </c>
    </row>
    <row r="275" spans="1:16" ht="15.75" customHeight="1" x14ac:dyDescent="0.3">
      <c r="A275" s="35" t="s">
        <v>765</v>
      </c>
      <c r="B275" s="35" t="s">
        <v>766</v>
      </c>
      <c r="C275" s="35" t="s">
        <v>95</v>
      </c>
      <c r="D275" s="35" t="s">
        <v>19</v>
      </c>
      <c r="E275" s="35" t="s">
        <v>44</v>
      </c>
      <c r="F275" s="35">
        <v>6</v>
      </c>
      <c r="G275" s="35">
        <v>570.77</v>
      </c>
      <c r="H275" s="35">
        <v>3424.62</v>
      </c>
      <c r="I275" s="35">
        <v>2021.31</v>
      </c>
      <c r="J275" s="35">
        <v>1403.31</v>
      </c>
      <c r="K275" s="37">
        <v>46116</v>
      </c>
      <c r="L275" s="37">
        <v>46121</v>
      </c>
      <c r="M275" s="35" t="s">
        <v>69</v>
      </c>
      <c r="N275" s="35">
        <v>2</v>
      </c>
      <c r="O275" s="35" t="s">
        <v>767</v>
      </c>
      <c r="P275" s="35">
        <v>7.8</v>
      </c>
    </row>
    <row r="276" spans="1:16" ht="15.75" customHeight="1" x14ac:dyDescent="0.3">
      <c r="A276" s="35" t="s">
        <v>768</v>
      </c>
      <c r="B276" s="35" t="s">
        <v>769</v>
      </c>
      <c r="C276" s="35" t="s">
        <v>144</v>
      </c>
      <c r="D276" s="35" t="s">
        <v>19</v>
      </c>
      <c r="E276" s="35" t="s">
        <v>20</v>
      </c>
      <c r="F276" s="35">
        <v>17</v>
      </c>
      <c r="G276" s="35">
        <v>3709.12</v>
      </c>
      <c r="H276" s="35">
        <v>63055.040000000001</v>
      </c>
      <c r="I276" s="35">
        <v>41949.37</v>
      </c>
      <c r="J276" s="35">
        <v>21105.67</v>
      </c>
      <c r="K276" s="37">
        <v>46134</v>
      </c>
      <c r="L276" s="37">
        <v>46141</v>
      </c>
      <c r="M276" s="35" t="s">
        <v>123</v>
      </c>
      <c r="N276" s="35">
        <v>4</v>
      </c>
      <c r="O276" s="35" t="s">
        <v>169</v>
      </c>
      <c r="P276" s="35">
        <v>6.8</v>
      </c>
    </row>
    <row r="277" spans="1:16" ht="15.75" customHeight="1" x14ac:dyDescent="0.3">
      <c r="A277" s="35" t="s">
        <v>770</v>
      </c>
      <c r="B277" s="35" t="s">
        <v>771</v>
      </c>
      <c r="C277" s="35" t="s">
        <v>62</v>
      </c>
      <c r="D277" s="35" t="s">
        <v>31</v>
      </c>
      <c r="E277" s="35" t="s">
        <v>25</v>
      </c>
      <c r="F277" s="35">
        <v>17</v>
      </c>
      <c r="G277" s="35">
        <v>2700.56</v>
      </c>
      <c r="H277" s="35">
        <v>45909.52</v>
      </c>
      <c r="I277" s="35">
        <v>28554.36</v>
      </c>
      <c r="J277" s="35">
        <v>17355.16</v>
      </c>
      <c r="K277" s="37">
        <v>45719</v>
      </c>
      <c r="L277" s="37">
        <v>45722</v>
      </c>
      <c r="M277" s="35" t="s">
        <v>123</v>
      </c>
      <c r="N277" s="35">
        <v>1</v>
      </c>
      <c r="O277" s="35" t="s">
        <v>79</v>
      </c>
      <c r="P277" s="35">
        <v>9.6999999999999993</v>
      </c>
    </row>
    <row r="278" spans="1:16" ht="15.75" customHeight="1" x14ac:dyDescent="0.3">
      <c r="A278" s="35" t="s">
        <v>772</v>
      </c>
      <c r="B278" s="35" t="s">
        <v>773</v>
      </c>
      <c r="C278" s="35" t="s">
        <v>30</v>
      </c>
      <c r="D278" s="35" t="s">
        <v>31</v>
      </c>
      <c r="E278" s="35" t="s">
        <v>25</v>
      </c>
      <c r="F278" s="35">
        <v>7</v>
      </c>
      <c r="G278" s="35">
        <v>3955.65</v>
      </c>
      <c r="H278" s="35">
        <v>27689.55</v>
      </c>
      <c r="I278" s="35">
        <v>24236.61</v>
      </c>
      <c r="J278" s="35">
        <v>3452.94</v>
      </c>
      <c r="K278" s="37">
        <v>45981</v>
      </c>
      <c r="L278" s="37">
        <v>45982</v>
      </c>
      <c r="M278" s="35" t="s">
        <v>45</v>
      </c>
      <c r="N278" s="35">
        <v>4</v>
      </c>
      <c r="O278" s="35" t="s">
        <v>332</v>
      </c>
      <c r="P278" s="35">
        <v>9.4</v>
      </c>
    </row>
    <row r="279" spans="1:16" ht="15.75" customHeight="1" x14ac:dyDescent="0.3">
      <c r="A279" s="35" t="s">
        <v>774</v>
      </c>
      <c r="B279" s="35" t="s">
        <v>775</v>
      </c>
      <c r="C279" s="35" t="s">
        <v>95</v>
      </c>
      <c r="D279" s="35" t="s">
        <v>19</v>
      </c>
      <c r="E279" s="35" t="s">
        <v>25</v>
      </c>
      <c r="F279" s="35">
        <v>10</v>
      </c>
      <c r="G279" s="35">
        <v>2120.1</v>
      </c>
      <c r="H279" s="35">
        <v>21201</v>
      </c>
      <c r="I279" s="35">
        <v>14522.69</v>
      </c>
      <c r="J279" s="35">
        <v>6678.31</v>
      </c>
      <c r="K279" s="37">
        <v>45998</v>
      </c>
      <c r="L279" s="37">
        <v>46006</v>
      </c>
      <c r="M279" s="35" t="s">
        <v>50</v>
      </c>
      <c r="N279" s="35">
        <v>1</v>
      </c>
      <c r="O279" s="35" t="s">
        <v>757</v>
      </c>
      <c r="P279" s="35">
        <v>8.1999999999999993</v>
      </c>
    </row>
    <row r="280" spans="1:16" ht="15.75" customHeight="1" x14ac:dyDescent="0.3">
      <c r="A280" s="35" t="s">
        <v>776</v>
      </c>
      <c r="B280" s="35" t="s">
        <v>777</v>
      </c>
      <c r="C280" s="35" t="s">
        <v>30</v>
      </c>
      <c r="D280" s="35" t="s">
        <v>31</v>
      </c>
      <c r="E280" s="35" t="s">
        <v>25</v>
      </c>
      <c r="F280" s="35">
        <v>10</v>
      </c>
      <c r="G280" s="35">
        <v>4116.26</v>
      </c>
      <c r="H280" s="35">
        <v>41162.6</v>
      </c>
      <c r="I280" s="35">
        <v>21753.599999999999</v>
      </c>
      <c r="J280" s="35">
        <v>19409</v>
      </c>
      <c r="K280" s="37">
        <v>45557</v>
      </c>
      <c r="L280" s="37">
        <v>45566</v>
      </c>
      <c r="M280" s="35" t="s">
        <v>21</v>
      </c>
      <c r="N280" s="35">
        <v>3</v>
      </c>
      <c r="O280" s="35" t="s">
        <v>172</v>
      </c>
      <c r="P280" s="35">
        <v>9.4</v>
      </c>
    </row>
    <row r="281" spans="1:16" ht="15.75" customHeight="1" x14ac:dyDescent="0.3">
      <c r="A281" s="35" t="s">
        <v>778</v>
      </c>
      <c r="B281" s="35" t="s">
        <v>779</v>
      </c>
      <c r="C281" s="35" t="s">
        <v>168</v>
      </c>
      <c r="D281" s="35" t="s">
        <v>43</v>
      </c>
      <c r="E281" s="35" t="s">
        <v>20</v>
      </c>
      <c r="F281" s="35">
        <v>17</v>
      </c>
      <c r="G281" s="35">
        <v>327.14</v>
      </c>
      <c r="H281" s="35">
        <v>5561.38</v>
      </c>
      <c r="I281" s="35">
        <v>4063.4</v>
      </c>
      <c r="J281" s="35">
        <v>1497.98</v>
      </c>
      <c r="K281" s="37">
        <v>45914</v>
      </c>
      <c r="L281" s="37">
        <v>45922</v>
      </c>
      <c r="M281" s="35" t="s">
        <v>50</v>
      </c>
      <c r="N281" s="35">
        <v>1</v>
      </c>
      <c r="O281" s="35" t="s">
        <v>780</v>
      </c>
      <c r="P281" s="35">
        <v>6.1</v>
      </c>
    </row>
    <row r="282" spans="1:16" ht="15.75" customHeight="1" x14ac:dyDescent="0.3">
      <c r="A282" s="35" t="s">
        <v>781</v>
      </c>
      <c r="B282" s="35" t="s">
        <v>782</v>
      </c>
      <c r="C282" s="35" t="s">
        <v>30</v>
      </c>
      <c r="D282" s="35" t="s">
        <v>31</v>
      </c>
      <c r="E282" s="35" t="s">
        <v>25</v>
      </c>
      <c r="F282" s="35">
        <v>10</v>
      </c>
      <c r="G282" s="35">
        <v>2878.81</v>
      </c>
      <c r="H282" s="35">
        <v>28788.1</v>
      </c>
      <c r="I282" s="35">
        <v>22560.43</v>
      </c>
      <c r="J282" s="35">
        <v>6227.67</v>
      </c>
      <c r="K282" s="37">
        <v>45721</v>
      </c>
      <c r="L282" s="37">
        <v>45731</v>
      </c>
      <c r="M282" s="35" t="s">
        <v>181</v>
      </c>
      <c r="N282" s="35">
        <v>3</v>
      </c>
      <c r="O282" s="35" t="s">
        <v>318</v>
      </c>
      <c r="P282" s="35">
        <v>6.4</v>
      </c>
    </row>
    <row r="283" spans="1:16" ht="15.75" customHeight="1" x14ac:dyDescent="0.3">
      <c r="A283" s="35" t="s">
        <v>783</v>
      </c>
      <c r="B283" s="35" t="s">
        <v>784</v>
      </c>
      <c r="C283" s="35" t="s">
        <v>42</v>
      </c>
      <c r="D283" s="35" t="s">
        <v>43</v>
      </c>
      <c r="E283" s="35" t="s">
        <v>20</v>
      </c>
      <c r="F283" s="35">
        <v>14</v>
      </c>
      <c r="G283" s="35">
        <v>3806.12</v>
      </c>
      <c r="H283" s="35">
        <v>53285.68</v>
      </c>
      <c r="I283" s="35">
        <v>33118.239999999998</v>
      </c>
      <c r="J283" s="35">
        <v>20167.439999999999</v>
      </c>
      <c r="K283" s="37">
        <v>45880</v>
      </c>
      <c r="L283" s="37">
        <v>45884</v>
      </c>
      <c r="M283" s="35" t="s">
        <v>50</v>
      </c>
      <c r="N283" s="35">
        <v>4</v>
      </c>
      <c r="O283" s="35" t="s">
        <v>785</v>
      </c>
      <c r="P283" s="35">
        <v>9.5</v>
      </c>
    </row>
    <row r="284" spans="1:16" ht="15.75" customHeight="1" x14ac:dyDescent="0.3">
      <c r="A284" s="35" t="s">
        <v>786</v>
      </c>
      <c r="B284" s="35" t="s">
        <v>787</v>
      </c>
      <c r="C284" s="35" t="s">
        <v>195</v>
      </c>
      <c r="D284" s="35" t="s">
        <v>43</v>
      </c>
      <c r="E284" s="35" t="s">
        <v>32</v>
      </c>
      <c r="F284" s="35">
        <v>14</v>
      </c>
      <c r="G284" s="35">
        <v>3468.64</v>
      </c>
      <c r="H284" s="35">
        <v>48560.959999999999</v>
      </c>
      <c r="I284" s="35">
        <v>35101.980000000003</v>
      </c>
      <c r="J284" s="35">
        <v>13458.98</v>
      </c>
      <c r="K284" s="37">
        <v>45586</v>
      </c>
      <c r="L284" s="37">
        <v>45588</v>
      </c>
      <c r="M284" s="35" t="s">
        <v>45</v>
      </c>
      <c r="N284" s="35">
        <v>3</v>
      </c>
      <c r="O284" s="35" t="s">
        <v>788</v>
      </c>
      <c r="P284" s="35">
        <v>7</v>
      </c>
    </row>
    <row r="285" spans="1:16" ht="15.75" customHeight="1" x14ac:dyDescent="0.3">
      <c r="A285" s="35" t="s">
        <v>789</v>
      </c>
      <c r="B285" s="35" t="s">
        <v>790</v>
      </c>
      <c r="C285" s="35" t="s">
        <v>42</v>
      </c>
      <c r="D285" s="35" t="s">
        <v>43</v>
      </c>
      <c r="E285" s="35" t="s">
        <v>20</v>
      </c>
      <c r="F285" s="35">
        <v>11</v>
      </c>
      <c r="G285" s="35">
        <v>675.25</v>
      </c>
      <c r="H285" s="35">
        <v>7427.75</v>
      </c>
      <c r="I285" s="35">
        <v>5092.22</v>
      </c>
      <c r="J285" s="35">
        <v>2335.5300000000002</v>
      </c>
      <c r="K285" s="37">
        <v>46061</v>
      </c>
      <c r="L285" s="37">
        <v>46067</v>
      </c>
      <c r="M285" s="35" t="s">
        <v>33</v>
      </c>
      <c r="N285" s="35">
        <v>1</v>
      </c>
      <c r="O285" s="35" t="s">
        <v>325</v>
      </c>
      <c r="P285" s="35">
        <v>8.1</v>
      </c>
    </row>
    <row r="286" spans="1:16" ht="15.75" customHeight="1" x14ac:dyDescent="0.3">
      <c r="A286" s="35" t="s">
        <v>791</v>
      </c>
      <c r="B286" s="35" t="s">
        <v>792</v>
      </c>
      <c r="C286" s="35" t="s">
        <v>18</v>
      </c>
      <c r="D286" s="35" t="s">
        <v>19</v>
      </c>
      <c r="E286" s="35" t="s">
        <v>32</v>
      </c>
      <c r="F286" s="35">
        <v>8</v>
      </c>
      <c r="G286" s="35">
        <v>1928.43</v>
      </c>
      <c r="H286" s="35">
        <v>15427.44</v>
      </c>
      <c r="I286" s="35">
        <v>8703.94</v>
      </c>
      <c r="J286" s="35">
        <v>6723.5</v>
      </c>
      <c r="K286" s="37">
        <v>45811</v>
      </c>
      <c r="L286" s="37">
        <v>45812</v>
      </c>
      <c r="M286" s="35" t="s">
        <v>181</v>
      </c>
      <c r="N286" s="35">
        <v>3</v>
      </c>
      <c r="O286" s="35" t="s">
        <v>159</v>
      </c>
      <c r="P286" s="35">
        <v>6.3</v>
      </c>
    </row>
    <row r="287" spans="1:16" ht="15.75" customHeight="1" x14ac:dyDescent="0.3">
      <c r="A287" s="35" t="s">
        <v>793</v>
      </c>
      <c r="B287" s="35" t="s">
        <v>794</v>
      </c>
      <c r="C287" s="35" t="s">
        <v>88</v>
      </c>
      <c r="D287" s="35" t="s">
        <v>31</v>
      </c>
      <c r="E287" s="35" t="s">
        <v>20</v>
      </c>
      <c r="F287" s="35">
        <v>8</v>
      </c>
      <c r="G287" s="35">
        <v>3801.34</v>
      </c>
      <c r="H287" s="35">
        <v>30410.720000000001</v>
      </c>
      <c r="I287" s="35">
        <v>21902.84</v>
      </c>
      <c r="J287" s="35">
        <v>8507.8799999999992</v>
      </c>
      <c r="K287" s="37">
        <v>45894</v>
      </c>
      <c r="L287" s="37">
        <v>45897</v>
      </c>
      <c r="M287" s="35" t="s">
        <v>26</v>
      </c>
      <c r="N287" s="35">
        <v>3</v>
      </c>
      <c r="O287" s="35" t="s">
        <v>325</v>
      </c>
      <c r="P287" s="35">
        <v>9.6</v>
      </c>
    </row>
    <row r="288" spans="1:16" ht="15.75" customHeight="1" x14ac:dyDescent="0.3">
      <c r="A288" s="35" t="s">
        <v>795</v>
      </c>
      <c r="B288" s="35" t="s">
        <v>796</v>
      </c>
      <c r="C288" s="35" t="s">
        <v>195</v>
      </c>
      <c r="D288" s="35" t="s">
        <v>43</v>
      </c>
      <c r="E288" s="35" t="s">
        <v>44</v>
      </c>
      <c r="F288" s="35">
        <v>2</v>
      </c>
      <c r="G288" s="35">
        <v>1014.12</v>
      </c>
      <c r="H288" s="35">
        <v>2028.24</v>
      </c>
      <c r="I288" s="35">
        <v>1788.9</v>
      </c>
      <c r="J288" s="35">
        <v>239.34</v>
      </c>
      <c r="K288" s="37">
        <v>45869</v>
      </c>
      <c r="L288" s="37">
        <v>45878</v>
      </c>
      <c r="M288" s="35" t="s">
        <v>38</v>
      </c>
      <c r="N288" s="35">
        <v>1</v>
      </c>
      <c r="O288" s="35" t="s">
        <v>496</v>
      </c>
      <c r="P288" s="35">
        <v>6.3</v>
      </c>
    </row>
    <row r="289" spans="1:16" ht="15.75" customHeight="1" x14ac:dyDescent="0.3">
      <c r="A289" s="35" t="s">
        <v>797</v>
      </c>
      <c r="B289" s="35" t="s">
        <v>798</v>
      </c>
      <c r="C289" s="35" t="s">
        <v>18</v>
      </c>
      <c r="D289" s="35" t="s">
        <v>19</v>
      </c>
      <c r="E289" s="35" t="s">
        <v>32</v>
      </c>
      <c r="F289" s="35">
        <v>19</v>
      </c>
      <c r="G289" s="35">
        <v>4274.3999999999996</v>
      </c>
      <c r="H289" s="35">
        <v>81213.600000000006</v>
      </c>
      <c r="I289" s="35">
        <v>58806.720000000001</v>
      </c>
      <c r="J289" s="35">
        <v>22406.880000000001</v>
      </c>
      <c r="K289" s="37">
        <v>45599</v>
      </c>
      <c r="L289" s="37">
        <v>45604</v>
      </c>
      <c r="M289" s="35" t="s">
        <v>38</v>
      </c>
      <c r="N289" s="35">
        <v>2</v>
      </c>
      <c r="O289" s="35" t="s">
        <v>799</v>
      </c>
      <c r="P289" s="35">
        <v>6.4</v>
      </c>
    </row>
    <row r="290" spans="1:16" ht="15.75" customHeight="1" x14ac:dyDescent="0.3">
      <c r="A290" s="35" t="s">
        <v>800</v>
      </c>
      <c r="B290" s="35" t="s">
        <v>801</v>
      </c>
      <c r="C290" s="35" t="s">
        <v>49</v>
      </c>
      <c r="D290" s="35" t="s">
        <v>43</v>
      </c>
      <c r="E290" s="35" t="s">
        <v>20</v>
      </c>
      <c r="F290" s="35">
        <v>17</v>
      </c>
      <c r="G290" s="35">
        <v>950.82</v>
      </c>
      <c r="H290" s="35">
        <v>16163.94</v>
      </c>
      <c r="I290" s="35">
        <v>12500.28</v>
      </c>
      <c r="J290" s="35">
        <v>3663.66</v>
      </c>
      <c r="K290" s="37">
        <v>45861</v>
      </c>
      <c r="L290" s="37">
        <v>45870</v>
      </c>
      <c r="M290" s="35" t="s">
        <v>26</v>
      </c>
      <c r="N290" s="35">
        <v>3</v>
      </c>
      <c r="O290" s="35" t="s">
        <v>802</v>
      </c>
      <c r="P290" s="35">
        <v>9.4</v>
      </c>
    </row>
    <row r="291" spans="1:16" ht="15.75" customHeight="1" x14ac:dyDescent="0.3">
      <c r="A291" s="35" t="s">
        <v>803</v>
      </c>
      <c r="B291" s="35" t="s">
        <v>804</v>
      </c>
      <c r="C291" s="35" t="s">
        <v>62</v>
      </c>
      <c r="D291" s="35" t="s">
        <v>31</v>
      </c>
      <c r="E291" s="35" t="s">
        <v>32</v>
      </c>
      <c r="F291" s="35">
        <v>4</v>
      </c>
      <c r="G291" s="35">
        <v>3719.72</v>
      </c>
      <c r="H291" s="35">
        <v>14878.88</v>
      </c>
      <c r="I291" s="35">
        <v>12640.65</v>
      </c>
      <c r="J291" s="35">
        <v>2238.23</v>
      </c>
      <c r="K291" s="37">
        <v>45705</v>
      </c>
      <c r="L291" s="37">
        <v>45715</v>
      </c>
      <c r="M291" s="35" t="s">
        <v>33</v>
      </c>
      <c r="N291" s="35">
        <v>2</v>
      </c>
      <c r="O291" s="35" t="s">
        <v>658</v>
      </c>
      <c r="P291" s="35">
        <v>6.3</v>
      </c>
    </row>
    <row r="292" spans="1:16" ht="15.75" customHeight="1" x14ac:dyDescent="0.3">
      <c r="A292" s="35" t="s">
        <v>805</v>
      </c>
      <c r="B292" s="35" t="s">
        <v>806</v>
      </c>
      <c r="C292" s="35" t="s">
        <v>219</v>
      </c>
      <c r="D292" s="35" t="s">
        <v>43</v>
      </c>
      <c r="E292" s="35" t="s">
        <v>44</v>
      </c>
      <c r="F292" s="35">
        <v>2</v>
      </c>
      <c r="G292" s="35">
        <v>443.4</v>
      </c>
      <c r="H292" s="35">
        <v>886.8</v>
      </c>
      <c r="I292" s="35">
        <v>482.93</v>
      </c>
      <c r="J292" s="35">
        <v>403.87</v>
      </c>
      <c r="K292" s="37">
        <v>45837</v>
      </c>
      <c r="L292" s="37">
        <v>45845</v>
      </c>
      <c r="M292" s="35" t="s">
        <v>50</v>
      </c>
      <c r="N292" s="35">
        <v>4</v>
      </c>
      <c r="O292" s="35" t="s">
        <v>475</v>
      </c>
      <c r="P292" s="35">
        <v>9.6</v>
      </c>
    </row>
    <row r="293" spans="1:16" ht="15.75" customHeight="1" x14ac:dyDescent="0.3">
      <c r="A293" s="35" t="s">
        <v>807</v>
      </c>
      <c r="B293" s="35" t="s">
        <v>808</v>
      </c>
      <c r="C293" s="35" t="s">
        <v>168</v>
      </c>
      <c r="D293" s="35" t="s">
        <v>43</v>
      </c>
      <c r="E293" s="35" t="s">
        <v>25</v>
      </c>
      <c r="F293" s="35">
        <v>7</v>
      </c>
      <c r="G293" s="35">
        <v>1201.08</v>
      </c>
      <c r="H293" s="35">
        <v>8407.56</v>
      </c>
      <c r="I293" s="35">
        <v>5976.51</v>
      </c>
      <c r="J293" s="35">
        <v>2431.0500000000002</v>
      </c>
      <c r="K293" s="37">
        <v>45693</v>
      </c>
      <c r="L293" s="37">
        <v>45694</v>
      </c>
      <c r="M293" s="35" t="s">
        <v>50</v>
      </c>
      <c r="N293" s="35">
        <v>3</v>
      </c>
      <c r="O293" s="35" t="s">
        <v>809</v>
      </c>
      <c r="P293" s="35">
        <v>9.3000000000000007</v>
      </c>
    </row>
    <row r="294" spans="1:16" ht="15.75" customHeight="1" x14ac:dyDescent="0.3">
      <c r="A294" s="35" t="s">
        <v>810</v>
      </c>
      <c r="B294" s="35" t="s">
        <v>811</v>
      </c>
      <c r="C294" s="35" t="s">
        <v>42</v>
      </c>
      <c r="D294" s="35" t="s">
        <v>43</v>
      </c>
      <c r="E294" s="35" t="s">
        <v>25</v>
      </c>
      <c r="F294" s="35">
        <v>19</v>
      </c>
      <c r="G294" s="35">
        <v>4541.88</v>
      </c>
      <c r="H294" s="35">
        <v>86295.72</v>
      </c>
      <c r="I294" s="35">
        <v>71524.11</v>
      </c>
      <c r="J294" s="35">
        <v>14771.61</v>
      </c>
      <c r="K294" s="37">
        <v>45580</v>
      </c>
      <c r="L294" s="37">
        <v>45586</v>
      </c>
      <c r="M294" s="35" t="s">
        <v>21</v>
      </c>
      <c r="N294" s="35">
        <v>3</v>
      </c>
      <c r="O294" s="35" t="s">
        <v>463</v>
      </c>
      <c r="P294" s="35">
        <v>10</v>
      </c>
    </row>
    <row r="295" spans="1:16" ht="15.75" customHeight="1" x14ac:dyDescent="0.3">
      <c r="A295" s="35" t="s">
        <v>812</v>
      </c>
      <c r="B295" s="35" t="s">
        <v>813</v>
      </c>
      <c r="C295" s="35" t="s">
        <v>219</v>
      </c>
      <c r="D295" s="35" t="s">
        <v>43</v>
      </c>
      <c r="E295" s="35" t="s">
        <v>20</v>
      </c>
      <c r="F295" s="35">
        <v>12</v>
      </c>
      <c r="G295" s="35">
        <v>1046.79</v>
      </c>
      <c r="H295" s="35">
        <v>12561.48</v>
      </c>
      <c r="I295" s="35">
        <v>8847.48</v>
      </c>
      <c r="J295" s="35">
        <v>3714</v>
      </c>
      <c r="K295" s="37">
        <v>46149</v>
      </c>
      <c r="L295" s="37">
        <v>46157</v>
      </c>
      <c r="M295" s="35" t="s">
        <v>69</v>
      </c>
      <c r="N295" s="35">
        <v>3</v>
      </c>
      <c r="O295" s="35" t="s">
        <v>96</v>
      </c>
      <c r="P295" s="35">
        <v>7.8</v>
      </c>
    </row>
    <row r="296" spans="1:16" ht="15.75" customHeight="1" x14ac:dyDescent="0.3">
      <c r="A296" s="35" t="s">
        <v>814</v>
      </c>
      <c r="B296" s="35" t="s">
        <v>815</v>
      </c>
      <c r="C296" s="35" t="s">
        <v>195</v>
      </c>
      <c r="D296" s="35" t="s">
        <v>43</v>
      </c>
      <c r="E296" s="35" t="s">
        <v>44</v>
      </c>
      <c r="F296" s="35">
        <v>11</v>
      </c>
      <c r="G296" s="35">
        <v>1725.67</v>
      </c>
      <c r="H296" s="35">
        <v>18982.37</v>
      </c>
      <c r="I296" s="35">
        <v>13196.76</v>
      </c>
      <c r="J296" s="35">
        <v>5785.61</v>
      </c>
      <c r="K296" s="37">
        <v>45433</v>
      </c>
      <c r="L296" s="37">
        <v>45439</v>
      </c>
      <c r="M296" s="35" t="s">
        <v>50</v>
      </c>
      <c r="N296" s="35">
        <v>1</v>
      </c>
      <c r="O296" s="35" t="s">
        <v>102</v>
      </c>
      <c r="P296" s="35">
        <v>8.3000000000000007</v>
      </c>
    </row>
    <row r="297" spans="1:16" ht="15.75" customHeight="1" x14ac:dyDescent="0.3">
      <c r="A297" s="35" t="s">
        <v>816</v>
      </c>
      <c r="B297" s="35" t="s">
        <v>817</v>
      </c>
      <c r="C297" s="35" t="s">
        <v>219</v>
      </c>
      <c r="D297" s="35" t="s">
        <v>43</v>
      </c>
      <c r="E297" s="35" t="s">
        <v>44</v>
      </c>
      <c r="F297" s="35">
        <v>4</v>
      </c>
      <c r="G297" s="35">
        <v>2624.51</v>
      </c>
      <c r="H297" s="35">
        <v>10498.04</v>
      </c>
      <c r="I297" s="35">
        <v>6771.89</v>
      </c>
      <c r="J297" s="35">
        <v>3726.15</v>
      </c>
      <c r="K297" s="37">
        <v>45528</v>
      </c>
      <c r="L297" s="37">
        <v>45538</v>
      </c>
      <c r="M297" s="35" t="s">
        <v>69</v>
      </c>
      <c r="N297" s="35">
        <v>3</v>
      </c>
      <c r="O297" s="35" t="s">
        <v>818</v>
      </c>
      <c r="P297" s="35">
        <v>6.6</v>
      </c>
    </row>
    <row r="298" spans="1:16" ht="15.75" customHeight="1" x14ac:dyDescent="0.3">
      <c r="A298" s="35" t="s">
        <v>819</v>
      </c>
      <c r="B298" s="35" t="s">
        <v>820</v>
      </c>
      <c r="C298" s="35" t="s">
        <v>42</v>
      </c>
      <c r="D298" s="35" t="s">
        <v>43</v>
      </c>
      <c r="E298" s="35" t="s">
        <v>44</v>
      </c>
      <c r="F298" s="35">
        <v>9</v>
      </c>
      <c r="G298" s="35">
        <v>3015.72</v>
      </c>
      <c r="H298" s="35">
        <v>27141.48</v>
      </c>
      <c r="I298" s="35">
        <v>22044.92</v>
      </c>
      <c r="J298" s="35">
        <v>5096.5600000000004</v>
      </c>
      <c r="K298" s="37">
        <v>45717</v>
      </c>
      <c r="L298" s="37">
        <v>45724</v>
      </c>
      <c r="M298" s="35" t="s">
        <v>58</v>
      </c>
      <c r="N298" s="35">
        <v>5</v>
      </c>
      <c r="O298" s="35" t="s">
        <v>105</v>
      </c>
      <c r="P298" s="35">
        <v>9.3000000000000007</v>
      </c>
    </row>
    <row r="299" spans="1:16" ht="15.75" customHeight="1" x14ac:dyDescent="0.3">
      <c r="A299" s="35" t="s">
        <v>821</v>
      </c>
      <c r="B299" s="35" t="s">
        <v>822</v>
      </c>
      <c r="C299" s="35" t="s">
        <v>219</v>
      </c>
      <c r="D299" s="35" t="s">
        <v>43</v>
      </c>
      <c r="E299" s="35" t="s">
        <v>20</v>
      </c>
      <c r="F299" s="35">
        <v>12</v>
      </c>
      <c r="G299" s="35">
        <v>931.03</v>
      </c>
      <c r="H299" s="35">
        <v>11172.36</v>
      </c>
      <c r="I299" s="35">
        <v>7320.42</v>
      </c>
      <c r="J299" s="35">
        <v>3851.94</v>
      </c>
      <c r="K299" s="37">
        <v>46050</v>
      </c>
      <c r="L299" s="37">
        <v>46058</v>
      </c>
      <c r="M299" s="35" t="s">
        <v>38</v>
      </c>
      <c r="N299" s="35">
        <v>2</v>
      </c>
      <c r="O299" s="35" t="s">
        <v>823</v>
      </c>
      <c r="P299" s="35">
        <v>7.4</v>
      </c>
    </row>
    <row r="300" spans="1:16" ht="15.75" customHeight="1" x14ac:dyDescent="0.3">
      <c r="A300" s="35" t="s">
        <v>824</v>
      </c>
      <c r="B300" s="35" t="s">
        <v>825</v>
      </c>
      <c r="C300" s="35" t="s">
        <v>195</v>
      </c>
      <c r="D300" s="35" t="s">
        <v>43</v>
      </c>
      <c r="E300" s="35" t="s">
        <v>32</v>
      </c>
      <c r="F300" s="35">
        <v>4</v>
      </c>
      <c r="G300" s="35">
        <v>2315.23</v>
      </c>
      <c r="H300" s="35">
        <v>9260.92</v>
      </c>
      <c r="I300" s="35">
        <v>5838</v>
      </c>
      <c r="J300" s="35">
        <v>3422.92</v>
      </c>
      <c r="K300" s="37">
        <v>45459</v>
      </c>
      <c r="L300" s="37">
        <v>45465</v>
      </c>
      <c r="M300" s="35" t="s">
        <v>181</v>
      </c>
      <c r="N300" s="35">
        <v>3</v>
      </c>
      <c r="O300" s="35" t="s">
        <v>76</v>
      </c>
      <c r="P300" s="35">
        <v>7</v>
      </c>
    </row>
    <row r="301" spans="1:16" ht="15.75" customHeight="1" x14ac:dyDescent="0.3">
      <c r="A301" s="35" t="s">
        <v>826</v>
      </c>
      <c r="B301" s="35" t="s">
        <v>827</v>
      </c>
      <c r="C301" s="35" t="s">
        <v>57</v>
      </c>
      <c r="D301" s="35" t="s">
        <v>19</v>
      </c>
      <c r="E301" s="35" t="s">
        <v>32</v>
      </c>
      <c r="F301" s="35">
        <v>6</v>
      </c>
      <c r="G301" s="35">
        <v>4601.87</v>
      </c>
      <c r="H301" s="35">
        <v>27611.22</v>
      </c>
      <c r="I301" s="35">
        <v>19445.82</v>
      </c>
      <c r="J301" s="35">
        <v>8165.4</v>
      </c>
      <c r="K301" s="37">
        <v>45637</v>
      </c>
      <c r="L301" s="37">
        <v>45647</v>
      </c>
      <c r="M301" s="35" t="s">
        <v>69</v>
      </c>
      <c r="N301" s="35">
        <v>3</v>
      </c>
      <c r="O301" s="35" t="s">
        <v>828</v>
      </c>
      <c r="P301" s="35">
        <v>9.9</v>
      </c>
    </row>
    <row r="302" spans="1:16" ht="15.75" customHeight="1" x14ac:dyDescent="0.3">
      <c r="A302" s="35" t="s">
        <v>829</v>
      </c>
      <c r="B302" s="35" t="s">
        <v>830</v>
      </c>
      <c r="C302" s="35" t="s">
        <v>49</v>
      </c>
      <c r="D302" s="35" t="s">
        <v>43</v>
      </c>
      <c r="E302" s="35" t="s">
        <v>44</v>
      </c>
      <c r="F302" s="35">
        <v>4</v>
      </c>
      <c r="G302" s="35">
        <v>285.51</v>
      </c>
      <c r="H302" s="35">
        <v>1142.04</v>
      </c>
      <c r="I302" s="35">
        <v>935.56</v>
      </c>
      <c r="J302" s="35">
        <v>206.48</v>
      </c>
      <c r="K302" s="37">
        <v>45575</v>
      </c>
      <c r="L302" s="37">
        <v>45581</v>
      </c>
      <c r="M302" s="35" t="s">
        <v>123</v>
      </c>
      <c r="N302" s="35">
        <v>4</v>
      </c>
      <c r="O302" s="35" t="s">
        <v>85</v>
      </c>
      <c r="P302" s="35">
        <v>8.6999999999999993</v>
      </c>
    </row>
    <row r="303" spans="1:16" ht="15.75" customHeight="1" x14ac:dyDescent="0.3">
      <c r="A303" s="35" t="s">
        <v>831</v>
      </c>
      <c r="B303" s="35" t="s">
        <v>832</v>
      </c>
      <c r="C303" s="35" t="s">
        <v>195</v>
      </c>
      <c r="D303" s="35" t="s">
        <v>43</v>
      </c>
      <c r="E303" s="35" t="s">
        <v>32</v>
      </c>
      <c r="F303" s="35">
        <v>17</v>
      </c>
      <c r="G303" s="35">
        <v>1808.65</v>
      </c>
      <c r="H303" s="35">
        <v>30747.05</v>
      </c>
      <c r="I303" s="35">
        <v>22429.42</v>
      </c>
      <c r="J303" s="35">
        <v>8317.6299999999992</v>
      </c>
      <c r="K303" s="37">
        <v>45503</v>
      </c>
      <c r="L303" s="37">
        <v>45504</v>
      </c>
      <c r="M303" s="35" t="s">
        <v>69</v>
      </c>
      <c r="N303" s="35">
        <v>2</v>
      </c>
      <c r="O303" s="35" t="s">
        <v>111</v>
      </c>
      <c r="P303" s="35">
        <v>8.1</v>
      </c>
    </row>
    <row r="304" spans="1:16" ht="15.75" customHeight="1" x14ac:dyDescent="0.3">
      <c r="A304" s="35" t="s">
        <v>833</v>
      </c>
      <c r="B304" s="35" t="s">
        <v>834</v>
      </c>
      <c r="C304" s="35" t="s">
        <v>49</v>
      </c>
      <c r="D304" s="35" t="s">
        <v>43</v>
      </c>
      <c r="E304" s="35" t="s">
        <v>32</v>
      </c>
      <c r="F304" s="35">
        <v>6</v>
      </c>
      <c r="G304" s="35">
        <v>4670.55</v>
      </c>
      <c r="H304" s="35">
        <v>28023.3</v>
      </c>
      <c r="I304" s="35">
        <v>16084.6</v>
      </c>
      <c r="J304" s="35">
        <v>11938.7</v>
      </c>
      <c r="K304" s="37">
        <v>45806</v>
      </c>
      <c r="L304" s="37">
        <v>45807</v>
      </c>
      <c r="M304" s="35" t="s">
        <v>45</v>
      </c>
      <c r="N304" s="35">
        <v>2</v>
      </c>
      <c r="O304" s="35" t="s">
        <v>741</v>
      </c>
      <c r="P304" s="35">
        <v>7.1</v>
      </c>
    </row>
    <row r="305" spans="1:16" ht="15.75" customHeight="1" x14ac:dyDescent="0.3">
      <c r="A305" s="35" t="s">
        <v>835</v>
      </c>
      <c r="B305" s="35" t="s">
        <v>836</v>
      </c>
      <c r="C305" s="35" t="s">
        <v>144</v>
      </c>
      <c r="D305" s="35" t="s">
        <v>19</v>
      </c>
      <c r="E305" s="35" t="s">
        <v>20</v>
      </c>
      <c r="F305" s="35">
        <v>12</v>
      </c>
      <c r="G305" s="35">
        <v>4038.43</v>
      </c>
      <c r="H305" s="35">
        <v>48461.16</v>
      </c>
      <c r="I305" s="35">
        <v>39004.51</v>
      </c>
      <c r="J305" s="35">
        <v>9456.65</v>
      </c>
      <c r="K305" s="37">
        <v>45433</v>
      </c>
      <c r="L305" s="37">
        <v>45442</v>
      </c>
      <c r="M305" s="35" t="s">
        <v>38</v>
      </c>
      <c r="N305" s="35">
        <v>3</v>
      </c>
      <c r="O305" s="35" t="s">
        <v>648</v>
      </c>
      <c r="P305" s="35">
        <v>7.7</v>
      </c>
    </row>
    <row r="306" spans="1:16" ht="15.75" customHeight="1" x14ac:dyDescent="0.3">
      <c r="A306" s="35" t="s">
        <v>837</v>
      </c>
      <c r="B306" s="35" t="s">
        <v>838</v>
      </c>
      <c r="C306" s="35" t="s">
        <v>219</v>
      </c>
      <c r="D306" s="35" t="s">
        <v>43</v>
      </c>
      <c r="E306" s="35" t="s">
        <v>32</v>
      </c>
      <c r="F306" s="35">
        <v>18</v>
      </c>
      <c r="G306" s="35">
        <v>4619.62</v>
      </c>
      <c r="H306" s="35">
        <v>83153.16</v>
      </c>
      <c r="I306" s="35">
        <v>50203.76</v>
      </c>
      <c r="J306" s="35">
        <v>32949.4</v>
      </c>
      <c r="K306" s="37">
        <v>45937</v>
      </c>
      <c r="L306" s="37">
        <v>45940</v>
      </c>
      <c r="M306" s="35" t="s">
        <v>45</v>
      </c>
      <c r="N306" s="35">
        <v>3</v>
      </c>
      <c r="O306" s="35" t="s">
        <v>839</v>
      </c>
      <c r="P306" s="35">
        <v>6.4</v>
      </c>
    </row>
    <row r="307" spans="1:16" ht="15.75" customHeight="1" x14ac:dyDescent="0.3">
      <c r="A307" s="35" t="s">
        <v>840</v>
      </c>
      <c r="B307" s="35" t="s">
        <v>841</v>
      </c>
      <c r="C307" s="35" t="s">
        <v>49</v>
      </c>
      <c r="D307" s="35" t="s">
        <v>43</v>
      </c>
      <c r="E307" s="35" t="s">
        <v>44</v>
      </c>
      <c r="F307" s="35">
        <v>3</v>
      </c>
      <c r="G307" s="35">
        <v>3638.04</v>
      </c>
      <c r="H307" s="35">
        <v>10914.12</v>
      </c>
      <c r="I307" s="35">
        <v>8449.32</v>
      </c>
      <c r="J307" s="35">
        <v>2464.8000000000002</v>
      </c>
      <c r="K307" s="37">
        <v>45455</v>
      </c>
      <c r="L307" s="37">
        <v>45456</v>
      </c>
      <c r="M307" s="35" t="s">
        <v>123</v>
      </c>
      <c r="N307" s="35">
        <v>1</v>
      </c>
      <c r="O307" s="35" t="s">
        <v>749</v>
      </c>
      <c r="P307" s="35">
        <v>8.4</v>
      </c>
    </row>
    <row r="308" spans="1:16" ht="15.75" customHeight="1" x14ac:dyDescent="0.3">
      <c r="A308" s="35" t="s">
        <v>842</v>
      </c>
      <c r="B308" s="35" t="s">
        <v>843</v>
      </c>
      <c r="C308" s="35" t="s">
        <v>72</v>
      </c>
      <c r="D308" s="35" t="s">
        <v>31</v>
      </c>
      <c r="E308" s="35" t="s">
        <v>44</v>
      </c>
      <c r="F308" s="35">
        <v>1</v>
      </c>
      <c r="G308" s="35">
        <v>1798.44</v>
      </c>
      <c r="H308" s="35">
        <v>1798.44</v>
      </c>
      <c r="I308" s="35">
        <v>1574.32</v>
      </c>
      <c r="J308" s="35">
        <v>224.12</v>
      </c>
      <c r="K308" s="37">
        <v>45870</v>
      </c>
      <c r="L308" s="37">
        <v>45873</v>
      </c>
      <c r="M308" s="35" t="s">
        <v>69</v>
      </c>
      <c r="N308" s="35">
        <v>1</v>
      </c>
      <c r="O308" s="35" t="s">
        <v>785</v>
      </c>
      <c r="P308" s="35">
        <v>7.8</v>
      </c>
    </row>
    <row r="309" spans="1:16" ht="15.75" customHeight="1" x14ac:dyDescent="0.3">
      <c r="A309" s="35" t="s">
        <v>844</v>
      </c>
      <c r="B309" s="35" t="s">
        <v>845</v>
      </c>
      <c r="C309" s="35" t="s">
        <v>30</v>
      </c>
      <c r="D309" s="35" t="s">
        <v>31</v>
      </c>
      <c r="E309" s="35" t="s">
        <v>32</v>
      </c>
      <c r="F309" s="35">
        <v>9</v>
      </c>
      <c r="G309" s="35">
        <v>4413.1499999999996</v>
      </c>
      <c r="H309" s="35">
        <v>39718.35</v>
      </c>
      <c r="I309" s="35">
        <v>21170.61</v>
      </c>
      <c r="J309" s="35">
        <v>18547.740000000002</v>
      </c>
      <c r="K309" s="37">
        <v>45685</v>
      </c>
      <c r="L309" s="37">
        <v>45694</v>
      </c>
      <c r="M309" s="35" t="s">
        <v>181</v>
      </c>
      <c r="N309" s="35">
        <v>5</v>
      </c>
      <c r="O309" s="35" t="s">
        <v>79</v>
      </c>
      <c r="P309" s="35">
        <v>7</v>
      </c>
    </row>
    <row r="310" spans="1:16" ht="15.75" customHeight="1" x14ac:dyDescent="0.3">
      <c r="A310" s="35" t="s">
        <v>846</v>
      </c>
      <c r="B310" s="35" t="s">
        <v>847</v>
      </c>
      <c r="C310" s="35" t="s">
        <v>30</v>
      </c>
      <c r="D310" s="35" t="s">
        <v>31</v>
      </c>
      <c r="E310" s="35" t="s">
        <v>25</v>
      </c>
      <c r="F310" s="35">
        <v>17</v>
      </c>
      <c r="G310" s="35">
        <v>3420.25</v>
      </c>
      <c r="H310" s="35">
        <v>58144.25</v>
      </c>
      <c r="I310" s="35">
        <v>47056.54</v>
      </c>
      <c r="J310" s="35">
        <v>11087.71</v>
      </c>
      <c r="K310" s="37">
        <v>45776</v>
      </c>
      <c r="L310" s="37">
        <v>45778</v>
      </c>
      <c r="M310" s="35" t="s">
        <v>58</v>
      </c>
      <c r="N310" s="35">
        <v>5</v>
      </c>
      <c r="O310" s="35" t="s">
        <v>672</v>
      </c>
      <c r="P310" s="35">
        <v>9.6</v>
      </c>
    </row>
    <row r="311" spans="1:16" ht="15.75" customHeight="1" x14ac:dyDescent="0.3">
      <c r="A311" s="35" t="s">
        <v>848</v>
      </c>
      <c r="B311" s="35" t="s">
        <v>849</v>
      </c>
      <c r="C311" s="35" t="s">
        <v>42</v>
      </c>
      <c r="D311" s="35" t="s">
        <v>43</v>
      </c>
      <c r="E311" s="35" t="s">
        <v>32</v>
      </c>
      <c r="F311" s="35">
        <v>10</v>
      </c>
      <c r="G311" s="35">
        <v>1491.71</v>
      </c>
      <c r="H311" s="35">
        <v>14917.1</v>
      </c>
      <c r="I311" s="35">
        <v>8202.01</v>
      </c>
      <c r="J311" s="35">
        <v>6715.09</v>
      </c>
      <c r="K311" s="37">
        <v>45654</v>
      </c>
      <c r="L311" s="37">
        <v>45657</v>
      </c>
      <c r="M311" s="35" t="s">
        <v>45</v>
      </c>
      <c r="N311" s="35">
        <v>2</v>
      </c>
      <c r="O311" s="35" t="s">
        <v>208</v>
      </c>
      <c r="P311" s="35">
        <v>6.4</v>
      </c>
    </row>
    <row r="312" spans="1:16" ht="15.75" customHeight="1" x14ac:dyDescent="0.3">
      <c r="A312" s="35" t="s">
        <v>850</v>
      </c>
      <c r="B312" s="35" t="s">
        <v>851</v>
      </c>
      <c r="C312" s="35" t="s">
        <v>42</v>
      </c>
      <c r="D312" s="35" t="s">
        <v>43</v>
      </c>
      <c r="E312" s="35" t="s">
        <v>32</v>
      </c>
      <c r="F312" s="35">
        <v>13</v>
      </c>
      <c r="G312" s="35">
        <v>1680.61</v>
      </c>
      <c r="H312" s="35">
        <v>21847.93</v>
      </c>
      <c r="I312" s="35">
        <v>11944.34</v>
      </c>
      <c r="J312" s="35">
        <v>9903.59</v>
      </c>
      <c r="K312" s="37">
        <v>46004</v>
      </c>
      <c r="L312" s="37">
        <v>46012</v>
      </c>
      <c r="M312" s="35" t="s">
        <v>33</v>
      </c>
      <c r="N312" s="35">
        <v>1</v>
      </c>
      <c r="O312" s="35" t="s">
        <v>223</v>
      </c>
      <c r="P312" s="35">
        <v>8.9</v>
      </c>
    </row>
    <row r="313" spans="1:16" ht="15.75" customHeight="1" x14ac:dyDescent="0.3">
      <c r="A313" s="35" t="s">
        <v>852</v>
      </c>
      <c r="B313" s="35" t="s">
        <v>853</v>
      </c>
      <c r="C313" s="35" t="s">
        <v>62</v>
      </c>
      <c r="D313" s="35" t="s">
        <v>31</v>
      </c>
      <c r="E313" s="35" t="s">
        <v>25</v>
      </c>
      <c r="F313" s="35">
        <v>14</v>
      </c>
      <c r="G313" s="35">
        <v>3613.16</v>
      </c>
      <c r="H313" s="35">
        <v>50584.24</v>
      </c>
      <c r="I313" s="35">
        <v>45028.79</v>
      </c>
      <c r="J313" s="35">
        <v>5555.45</v>
      </c>
      <c r="K313" s="37">
        <v>45500</v>
      </c>
      <c r="L313" s="37">
        <v>45506</v>
      </c>
      <c r="M313" s="35" t="s">
        <v>69</v>
      </c>
      <c r="N313" s="35">
        <v>4</v>
      </c>
      <c r="O313" s="35" t="s">
        <v>712</v>
      </c>
      <c r="P313" s="35">
        <v>7.1</v>
      </c>
    </row>
    <row r="314" spans="1:16" ht="15.75" customHeight="1" x14ac:dyDescent="0.3">
      <c r="A314" s="35" t="s">
        <v>854</v>
      </c>
      <c r="B314" s="35" t="s">
        <v>855</v>
      </c>
      <c r="C314" s="35" t="s">
        <v>57</v>
      </c>
      <c r="D314" s="35" t="s">
        <v>19</v>
      </c>
      <c r="E314" s="35" t="s">
        <v>20</v>
      </c>
      <c r="F314" s="35">
        <v>16</v>
      </c>
      <c r="G314" s="35">
        <v>2889.64</v>
      </c>
      <c r="H314" s="35">
        <v>46234.239999999998</v>
      </c>
      <c r="I314" s="35">
        <v>28399.02</v>
      </c>
      <c r="J314" s="35">
        <v>17835.22</v>
      </c>
      <c r="K314" s="37">
        <v>45732</v>
      </c>
      <c r="L314" s="37">
        <v>45734</v>
      </c>
      <c r="M314" s="35" t="s">
        <v>33</v>
      </c>
      <c r="N314" s="35">
        <v>4</v>
      </c>
      <c r="O314" s="35" t="s">
        <v>818</v>
      </c>
      <c r="P314" s="35">
        <v>9.8000000000000007</v>
      </c>
    </row>
    <row r="315" spans="1:16" ht="15.75" customHeight="1" x14ac:dyDescent="0.3">
      <c r="A315" s="35" t="s">
        <v>856</v>
      </c>
      <c r="B315" s="35" t="s">
        <v>857</v>
      </c>
      <c r="C315" s="35" t="s">
        <v>168</v>
      </c>
      <c r="D315" s="35" t="s">
        <v>43</v>
      </c>
      <c r="E315" s="35" t="s">
        <v>32</v>
      </c>
      <c r="F315" s="35">
        <v>14</v>
      </c>
      <c r="G315" s="35">
        <v>4138.3599999999997</v>
      </c>
      <c r="H315" s="35">
        <v>57937.04</v>
      </c>
      <c r="I315" s="35">
        <v>31491.040000000001</v>
      </c>
      <c r="J315" s="35">
        <v>26446</v>
      </c>
      <c r="K315" s="37">
        <v>45619</v>
      </c>
      <c r="L315" s="37">
        <v>45626</v>
      </c>
      <c r="M315" s="35" t="s">
        <v>50</v>
      </c>
      <c r="N315" s="35">
        <v>3</v>
      </c>
      <c r="O315" s="35" t="s">
        <v>858</v>
      </c>
      <c r="P315" s="35">
        <v>7.1</v>
      </c>
    </row>
    <row r="316" spans="1:16" ht="15.75" customHeight="1" x14ac:dyDescent="0.3">
      <c r="A316" s="35" t="s">
        <v>859</v>
      </c>
      <c r="B316" s="35" t="s">
        <v>860</v>
      </c>
      <c r="C316" s="35" t="s">
        <v>195</v>
      </c>
      <c r="D316" s="35" t="s">
        <v>43</v>
      </c>
      <c r="E316" s="35" t="s">
        <v>25</v>
      </c>
      <c r="F316" s="35">
        <v>7</v>
      </c>
      <c r="G316" s="35">
        <v>4120.21</v>
      </c>
      <c r="H316" s="35">
        <v>28841.47</v>
      </c>
      <c r="I316" s="35">
        <v>16208.89</v>
      </c>
      <c r="J316" s="35">
        <v>12632.58</v>
      </c>
      <c r="K316" s="37">
        <v>45514</v>
      </c>
      <c r="L316" s="37">
        <v>45519</v>
      </c>
      <c r="M316" s="35" t="s">
        <v>45</v>
      </c>
      <c r="N316" s="35">
        <v>1</v>
      </c>
      <c r="O316" s="35" t="s">
        <v>663</v>
      </c>
      <c r="P316" s="35">
        <v>6.5</v>
      </c>
    </row>
    <row r="317" spans="1:16" ht="15.75" customHeight="1" x14ac:dyDescent="0.3">
      <c r="A317" s="35" t="s">
        <v>861</v>
      </c>
      <c r="B317" s="35" t="s">
        <v>862</v>
      </c>
      <c r="C317" s="35" t="s">
        <v>144</v>
      </c>
      <c r="D317" s="35" t="s">
        <v>19</v>
      </c>
      <c r="E317" s="35" t="s">
        <v>32</v>
      </c>
      <c r="F317" s="35">
        <v>7</v>
      </c>
      <c r="G317" s="35">
        <v>2759.52</v>
      </c>
      <c r="H317" s="35">
        <v>19316.64</v>
      </c>
      <c r="I317" s="35">
        <v>16976.25</v>
      </c>
      <c r="J317" s="35">
        <v>2340.39</v>
      </c>
      <c r="K317" s="37">
        <v>45893</v>
      </c>
      <c r="L317" s="37">
        <v>45896</v>
      </c>
      <c r="M317" s="35" t="s">
        <v>33</v>
      </c>
      <c r="N317" s="35">
        <v>2</v>
      </c>
      <c r="O317" s="35" t="s">
        <v>73</v>
      </c>
      <c r="P317" s="35">
        <v>7.6</v>
      </c>
    </row>
    <row r="318" spans="1:16" ht="15.75" customHeight="1" x14ac:dyDescent="0.3">
      <c r="A318" s="35" t="s">
        <v>863</v>
      </c>
      <c r="B318" s="35" t="s">
        <v>864</v>
      </c>
      <c r="C318" s="35" t="s">
        <v>57</v>
      </c>
      <c r="D318" s="35" t="s">
        <v>19</v>
      </c>
      <c r="E318" s="35" t="s">
        <v>25</v>
      </c>
      <c r="F318" s="35">
        <v>13</v>
      </c>
      <c r="G318" s="35">
        <v>1004.33</v>
      </c>
      <c r="H318" s="35">
        <v>13056.29</v>
      </c>
      <c r="I318" s="35">
        <v>7200.22</v>
      </c>
      <c r="J318" s="35">
        <v>5856.07</v>
      </c>
      <c r="K318" s="37">
        <v>45627</v>
      </c>
      <c r="L318" s="37">
        <v>45637</v>
      </c>
      <c r="M318" s="35" t="s">
        <v>45</v>
      </c>
      <c r="N318" s="35">
        <v>5</v>
      </c>
      <c r="O318" s="35" t="s">
        <v>273</v>
      </c>
      <c r="P318" s="35">
        <v>9.3000000000000007</v>
      </c>
    </row>
    <row r="319" spans="1:16" ht="15.75" customHeight="1" x14ac:dyDescent="0.3">
      <c r="A319" s="35" t="s">
        <v>865</v>
      </c>
      <c r="B319" s="35" t="s">
        <v>866</v>
      </c>
      <c r="C319" s="35" t="s">
        <v>88</v>
      </c>
      <c r="D319" s="35" t="s">
        <v>31</v>
      </c>
      <c r="E319" s="35" t="s">
        <v>44</v>
      </c>
      <c r="F319" s="35">
        <v>3</v>
      </c>
      <c r="G319" s="35">
        <v>4155.03</v>
      </c>
      <c r="H319" s="35">
        <v>12465.09</v>
      </c>
      <c r="I319" s="35">
        <v>9555.18</v>
      </c>
      <c r="J319" s="35">
        <v>2909.91</v>
      </c>
      <c r="K319" s="37">
        <v>45549</v>
      </c>
      <c r="L319" s="37">
        <v>45554</v>
      </c>
      <c r="M319" s="35" t="s">
        <v>181</v>
      </c>
      <c r="N319" s="35">
        <v>2</v>
      </c>
      <c r="O319" s="35" t="s">
        <v>577</v>
      </c>
      <c r="P319" s="35">
        <v>9.6999999999999993</v>
      </c>
    </row>
    <row r="320" spans="1:16" ht="15.75" customHeight="1" x14ac:dyDescent="0.3">
      <c r="A320" s="35" t="s">
        <v>867</v>
      </c>
      <c r="B320" s="35" t="s">
        <v>868</v>
      </c>
      <c r="C320" s="35" t="s">
        <v>95</v>
      </c>
      <c r="D320" s="35" t="s">
        <v>19</v>
      </c>
      <c r="E320" s="35" t="s">
        <v>32</v>
      </c>
      <c r="F320" s="35">
        <v>10</v>
      </c>
      <c r="G320" s="35">
        <v>912.74</v>
      </c>
      <c r="H320" s="35">
        <v>9127.4</v>
      </c>
      <c r="I320" s="35">
        <v>7652.25</v>
      </c>
      <c r="J320" s="35">
        <v>1475.15</v>
      </c>
      <c r="K320" s="37">
        <v>45903</v>
      </c>
      <c r="L320" s="37">
        <v>45904</v>
      </c>
      <c r="M320" s="35" t="s">
        <v>38</v>
      </c>
      <c r="N320" s="35">
        <v>2</v>
      </c>
      <c r="O320" s="35" t="s">
        <v>208</v>
      </c>
      <c r="P320" s="35">
        <v>7.5</v>
      </c>
    </row>
    <row r="321" spans="1:16" ht="15.75" customHeight="1" x14ac:dyDescent="0.3">
      <c r="A321" s="35" t="s">
        <v>869</v>
      </c>
      <c r="B321" s="35" t="s">
        <v>870</v>
      </c>
      <c r="C321" s="35" t="s">
        <v>144</v>
      </c>
      <c r="D321" s="35" t="s">
        <v>19</v>
      </c>
      <c r="E321" s="35" t="s">
        <v>44</v>
      </c>
      <c r="F321" s="35">
        <v>6</v>
      </c>
      <c r="G321" s="35">
        <v>1442.36</v>
      </c>
      <c r="H321" s="35">
        <v>8654.16</v>
      </c>
      <c r="I321" s="35">
        <v>6770.54</v>
      </c>
      <c r="J321" s="35">
        <v>1883.62</v>
      </c>
      <c r="K321" s="37">
        <v>45680</v>
      </c>
      <c r="L321" s="37">
        <v>45687</v>
      </c>
      <c r="M321" s="35" t="s">
        <v>123</v>
      </c>
      <c r="N321" s="35">
        <v>3</v>
      </c>
      <c r="O321" s="35" t="s">
        <v>802</v>
      </c>
      <c r="P321" s="35">
        <v>8.3000000000000007</v>
      </c>
    </row>
    <row r="322" spans="1:16" ht="15.75" customHeight="1" x14ac:dyDescent="0.3">
      <c r="A322" s="35" t="s">
        <v>871</v>
      </c>
      <c r="B322" s="35" t="s">
        <v>872</v>
      </c>
      <c r="C322" s="35" t="s">
        <v>195</v>
      </c>
      <c r="D322" s="35" t="s">
        <v>43</v>
      </c>
      <c r="E322" s="35" t="s">
        <v>44</v>
      </c>
      <c r="F322" s="35">
        <v>20</v>
      </c>
      <c r="G322" s="35">
        <v>3587.44</v>
      </c>
      <c r="H322" s="35">
        <v>71748.800000000003</v>
      </c>
      <c r="I322" s="35">
        <v>38883.74</v>
      </c>
      <c r="J322" s="35">
        <v>32865.06</v>
      </c>
      <c r="K322" s="37">
        <v>45860</v>
      </c>
      <c r="L322" s="37">
        <v>45861</v>
      </c>
      <c r="M322" s="35" t="s">
        <v>26</v>
      </c>
      <c r="N322" s="35">
        <v>2</v>
      </c>
      <c r="O322" s="35" t="s">
        <v>340</v>
      </c>
      <c r="P322" s="35">
        <v>7</v>
      </c>
    </row>
    <row r="323" spans="1:16" ht="15.75" customHeight="1" x14ac:dyDescent="0.3">
      <c r="A323" s="35" t="s">
        <v>873</v>
      </c>
      <c r="B323" s="35" t="s">
        <v>874</v>
      </c>
      <c r="C323" s="35" t="s">
        <v>168</v>
      </c>
      <c r="D323" s="35" t="s">
        <v>43</v>
      </c>
      <c r="E323" s="35" t="s">
        <v>20</v>
      </c>
      <c r="F323" s="35">
        <v>8</v>
      </c>
      <c r="G323" s="35">
        <v>726.17</v>
      </c>
      <c r="H323" s="35">
        <v>5809.36</v>
      </c>
      <c r="I323" s="35">
        <v>4679.8100000000004</v>
      </c>
      <c r="J323" s="35">
        <v>1129.55</v>
      </c>
      <c r="K323" s="37">
        <v>45735</v>
      </c>
      <c r="L323" s="37">
        <v>45741</v>
      </c>
      <c r="M323" s="35" t="s">
        <v>26</v>
      </c>
      <c r="N323" s="35">
        <v>2</v>
      </c>
      <c r="O323" s="35" t="s">
        <v>470</v>
      </c>
      <c r="P323" s="35">
        <v>9</v>
      </c>
    </row>
    <row r="324" spans="1:16" ht="15.75" customHeight="1" x14ac:dyDescent="0.3">
      <c r="A324" s="35" t="s">
        <v>875</v>
      </c>
      <c r="B324" s="35" t="s">
        <v>876</v>
      </c>
      <c r="C324" s="35" t="s">
        <v>219</v>
      </c>
      <c r="D324" s="35" t="s">
        <v>43</v>
      </c>
      <c r="E324" s="35" t="s">
        <v>32</v>
      </c>
      <c r="F324" s="35">
        <v>20</v>
      </c>
      <c r="G324" s="35">
        <v>1222.8900000000001</v>
      </c>
      <c r="H324" s="35">
        <v>24457.8</v>
      </c>
      <c r="I324" s="35">
        <v>14527.47</v>
      </c>
      <c r="J324" s="35">
        <v>9930.33</v>
      </c>
      <c r="K324" s="37">
        <v>45845</v>
      </c>
      <c r="L324" s="37">
        <v>45850</v>
      </c>
      <c r="M324" s="35" t="s">
        <v>38</v>
      </c>
      <c r="N324" s="35">
        <v>1</v>
      </c>
      <c r="O324" s="35" t="s">
        <v>386</v>
      </c>
      <c r="P324" s="35">
        <v>7.2</v>
      </c>
    </row>
    <row r="325" spans="1:16" ht="15.75" customHeight="1" x14ac:dyDescent="0.3">
      <c r="A325" s="35" t="s">
        <v>877</v>
      </c>
      <c r="B325" s="35" t="s">
        <v>878</v>
      </c>
      <c r="C325" s="35" t="s">
        <v>88</v>
      </c>
      <c r="D325" s="35" t="s">
        <v>31</v>
      </c>
      <c r="E325" s="35" t="s">
        <v>32</v>
      </c>
      <c r="F325" s="35">
        <v>1</v>
      </c>
      <c r="G325" s="35">
        <v>4802.32</v>
      </c>
      <c r="H325" s="35">
        <v>4802.32</v>
      </c>
      <c r="I325" s="35">
        <v>2708.84</v>
      </c>
      <c r="J325" s="35">
        <v>2093.48</v>
      </c>
      <c r="K325" s="37">
        <v>45608</v>
      </c>
      <c r="L325" s="37">
        <v>45616</v>
      </c>
      <c r="M325" s="35" t="s">
        <v>33</v>
      </c>
      <c r="N325" s="35">
        <v>5</v>
      </c>
      <c r="O325" s="35" t="s">
        <v>205</v>
      </c>
      <c r="P325" s="35">
        <v>7</v>
      </c>
    </row>
    <row r="326" spans="1:16" ht="15.75" customHeight="1" x14ac:dyDescent="0.3">
      <c r="A326" s="35" t="s">
        <v>879</v>
      </c>
      <c r="B326" s="35" t="s">
        <v>880</v>
      </c>
      <c r="C326" s="35" t="s">
        <v>18</v>
      </c>
      <c r="D326" s="35" t="s">
        <v>19</v>
      </c>
      <c r="E326" s="35" t="s">
        <v>32</v>
      </c>
      <c r="F326" s="35">
        <v>16</v>
      </c>
      <c r="G326" s="35">
        <v>3901.91</v>
      </c>
      <c r="H326" s="35">
        <v>62430.559999999998</v>
      </c>
      <c r="I326" s="35">
        <v>37493.58</v>
      </c>
      <c r="J326" s="35">
        <v>24936.98</v>
      </c>
      <c r="K326" s="37">
        <v>45822</v>
      </c>
      <c r="L326" s="37">
        <v>45832</v>
      </c>
      <c r="M326" s="35" t="s">
        <v>45</v>
      </c>
      <c r="N326" s="35">
        <v>4</v>
      </c>
      <c r="O326" s="35" t="s">
        <v>881</v>
      </c>
      <c r="P326" s="35">
        <v>9.1999999999999993</v>
      </c>
    </row>
    <row r="327" spans="1:16" ht="15.75" customHeight="1" x14ac:dyDescent="0.3">
      <c r="A327" s="35" t="s">
        <v>882</v>
      </c>
      <c r="B327" s="35" t="s">
        <v>883</v>
      </c>
      <c r="C327" s="35" t="s">
        <v>219</v>
      </c>
      <c r="D327" s="35" t="s">
        <v>43</v>
      </c>
      <c r="E327" s="35" t="s">
        <v>44</v>
      </c>
      <c r="F327" s="35">
        <v>15</v>
      </c>
      <c r="G327" s="35">
        <v>2742.49</v>
      </c>
      <c r="H327" s="35">
        <v>41137.35</v>
      </c>
      <c r="I327" s="35">
        <v>36756.81</v>
      </c>
      <c r="J327" s="35">
        <v>4380.54</v>
      </c>
      <c r="K327" s="37">
        <v>46090</v>
      </c>
      <c r="L327" s="37">
        <v>46100</v>
      </c>
      <c r="M327" s="35" t="s">
        <v>181</v>
      </c>
      <c r="N327" s="35">
        <v>2</v>
      </c>
      <c r="O327" s="35" t="s">
        <v>512</v>
      </c>
      <c r="P327" s="35">
        <v>9.1999999999999993</v>
      </c>
    </row>
    <row r="328" spans="1:16" ht="15.75" customHeight="1" x14ac:dyDescent="0.3">
      <c r="A328" s="35" t="s">
        <v>884</v>
      </c>
      <c r="B328" s="35" t="s">
        <v>885</v>
      </c>
      <c r="C328" s="35" t="s">
        <v>95</v>
      </c>
      <c r="D328" s="35" t="s">
        <v>19</v>
      </c>
      <c r="E328" s="35" t="s">
        <v>20</v>
      </c>
      <c r="F328" s="35">
        <v>11</v>
      </c>
      <c r="G328" s="35">
        <v>4849.08</v>
      </c>
      <c r="H328" s="35">
        <v>53339.88</v>
      </c>
      <c r="I328" s="35">
        <v>31722.21</v>
      </c>
      <c r="J328" s="35">
        <v>21617.67</v>
      </c>
      <c r="K328" s="37">
        <v>45842</v>
      </c>
      <c r="L328" s="37">
        <v>45845</v>
      </c>
      <c r="M328" s="35" t="s">
        <v>50</v>
      </c>
      <c r="N328" s="35">
        <v>5</v>
      </c>
      <c r="O328" s="35" t="s">
        <v>223</v>
      </c>
      <c r="P328" s="35">
        <v>8.1999999999999993</v>
      </c>
    </row>
    <row r="329" spans="1:16" ht="15.75" customHeight="1" x14ac:dyDescent="0.3">
      <c r="A329" s="35" t="s">
        <v>886</v>
      </c>
      <c r="B329" s="35" t="s">
        <v>887</v>
      </c>
      <c r="C329" s="35" t="s">
        <v>49</v>
      </c>
      <c r="D329" s="35" t="s">
        <v>43</v>
      </c>
      <c r="E329" s="35" t="s">
        <v>44</v>
      </c>
      <c r="F329" s="35">
        <v>9</v>
      </c>
      <c r="G329" s="35">
        <v>949.05</v>
      </c>
      <c r="H329" s="35">
        <v>8541.4500000000007</v>
      </c>
      <c r="I329" s="35">
        <v>6173.91</v>
      </c>
      <c r="J329" s="35">
        <v>2367.54</v>
      </c>
      <c r="K329" s="37">
        <v>45505</v>
      </c>
      <c r="L329" s="37">
        <v>45511</v>
      </c>
      <c r="M329" s="35" t="s">
        <v>21</v>
      </c>
      <c r="N329" s="35">
        <v>4</v>
      </c>
      <c r="O329" s="35" t="s">
        <v>888</v>
      </c>
      <c r="P329" s="35">
        <v>8.9</v>
      </c>
    </row>
    <row r="330" spans="1:16" ht="15.75" customHeight="1" x14ac:dyDescent="0.3">
      <c r="A330" s="35" t="s">
        <v>889</v>
      </c>
      <c r="B330" s="35" t="s">
        <v>890</v>
      </c>
      <c r="C330" s="35" t="s">
        <v>95</v>
      </c>
      <c r="D330" s="35" t="s">
        <v>19</v>
      </c>
      <c r="E330" s="35" t="s">
        <v>32</v>
      </c>
      <c r="F330" s="35">
        <v>12</v>
      </c>
      <c r="G330" s="35">
        <v>565.37</v>
      </c>
      <c r="H330" s="35">
        <v>6784.44</v>
      </c>
      <c r="I330" s="35">
        <v>6047.72</v>
      </c>
      <c r="J330" s="35">
        <v>736.72</v>
      </c>
      <c r="K330" s="37">
        <v>45853</v>
      </c>
      <c r="L330" s="37">
        <v>45859</v>
      </c>
      <c r="M330" s="35" t="s">
        <v>50</v>
      </c>
      <c r="N330" s="35">
        <v>3</v>
      </c>
      <c r="O330" s="35" t="s">
        <v>891</v>
      </c>
      <c r="P330" s="35">
        <v>7.2</v>
      </c>
    </row>
    <row r="331" spans="1:16" ht="15.75" customHeight="1" x14ac:dyDescent="0.3">
      <c r="A331" s="35" t="s">
        <v>892</v>
      </c>
      <c r="B331" s="35" t="s">
        <v>893</v>
      </c>
      <c r="C331" s="35" t="s">
        <v>18</v>
      </c>
      <c r="D331" s="35" t="s">
        <v>19</v>
      </c>
      <c r="E331" s="35" t="s">
        <v>25</v>
      </c>
      <c r="F331" s="35">
        <v>17</v>
      </c>
      <c r="G331" s="35">
        <v>187.67</v>
      </c>
      <c r="H331" s="35">
        <v>3190.39</v>
      </c>
      <c r="I331" s="35">
        <v>2580.7600000000002</v>
      </c>
      <c r="J331" s="35">
        <v>609.63</v>
      </c>
      <c r="K331" s="37">
        <v>45441</v>
      </c>
      <c r="L331" s="37">
        <v>45444</v>
      </c>
      <c r="M331" s="35" t="s">
        <v>21</v>
      </c>
      <c r="N331" s="35">
        <v>5</v>
      </c>
      <c r="O331" s="35" t="s">
        <v>894</v>
      </c>
      <c r="P331" s="35">
        <v>6.6</v>
      </c>
    </row>
    <row r="332" spans="1:16" ht="15.75" customHeight="1" x14ac:dyDescent="0.3">
      <c r="A332" s="35" t="s">
        <v>895</v>
      </c>
      <c r="B332" s="35" t="s">
        <v>896</v>
      </c>
      <c r="C332" s="35" t="s">
        <v>49</v>
      </c>
      <c r="D332" s="35" t="s">
        <v>43</v>
      </c>
      <c r="E332" s="35" t="s">
        <v>32</v>
      </c>
      <c r="F332" s="35">
        <v>2</v>
      </c>
      <c r="G332" s="35">
        <v>210.16</v>
      </c>
      <c r="H332" s="35">
        <v>420.32</v>
      </c>
      <c r="I332" s="35">
        <v>307.68</v>
      </c>
      <c r="J332" s="35">
        <v>112.64</v>
      </c>
      <c r="K332" s="37">
        <v>45446</v>
      </c>
      <c r="L332" s="37">
        <v>45451</v>
      </c>
      <c r="M332" s="35" t="s">
        <v>69</v>
      </c>
      <c r="N332" s="35">
        <v>4</v>
      </c>
      <c r="O332" s="35" t="s">
        <v>165</v>
      </c>
      <c r="P332" s="35">
        <v>9.4</v>
      </c>
    </row>
    <row r="333" spans="1:16" ht="15.75" customHeight="1" x14ac:dyDescent="0.3">
      <c r="A333" s="35" t="s">
        <v>897</v>
      </c>
      <c r="B333" s="35" t="s">
        <v>898</v>
      </c>
      <c r="C333" s="35" t="s">
        <v>57</v>
      </c>
      <c r="D333" s="35" t="s">
        <v>19</v>
      </c>
      <c r="E333" s="35" t="s">
        <v>44</v>
      </c>
      <c r="F333" s="35">
        <v>5</v>
      </c>
      <c r="G333" s="35">
        <v>2660.91</v>
      </c>
      <c r="H333" s="35">
        <v>13304.55</v>
      </c>
      <c r="I333" s="35">
        <v>11470.52</v>
      </c>
      <c r="J333" s="35">
        <v>1834.03</v>
      </c>
      <c r="K333" s="37">
        <v>45996</v>
      </c>
      <c r="L333" s="37">
        <v>46005</v>
      </c>
      <c r="M333" s="35" t="s">
        <v>21</v>
      </c>
      <c r="N333" s="35">
        <v>1</v>
      </c>
      <c r="O333" s="35" t="s">
        <v>899</v>
      </c>
      <c r="P333" s="35">
        <v>9.6</v>
      </c>
    </row>
    <row r="334" spans="1:16" ht="15.75" customHeight="1" x14ac:dyDescent="0.3">
      <c r="A334" s="35" t="s">
        <v>900</v>
      </c>
      <c r="B334" s="35" t="s">
        <v>901</v>
      </c>
      <c r="C334" s="35" t="s">
        <v>144</v>
      </c>
      <c r="D334" s="35" t="s">
        <v>19</v>
      </c>
      <c r="E334" s="35" t="s">
        <v>25</v>
      </c>
      <c r="F334" s="35">
        <v>5</v>
      </c>
      <c r="G334" s="35">
        <v>3055.05</v>
      </c>
      <c r="H334" s="35">
        <v>15275.25</v>
      </c>
      <c r="I334" s="35">
        <v>8567.7900000000009</v>
      </c>
      <c r="J334" s="35">
        <v>6707.46</v>
      </c>
      <c r="K334" s="37">
        <v>46080</v>
      </c>
      <c r="L334" s="37">
        <v>46089</v>
      </c>
      <c r="M334" s="35" t="s">
        <v>50</v>
      </c>
      <c r="N334" s="35">
        <v>3</v>
      </c>
      <c r="O334" s="35" t="s">
        <v>560</v>
      </c>
      <c r="P334" s="35">
        <v>9.5</v>
      </c>
    </row>
    <row r="335" spans="1:16" ht="15.75" customHeight="1" x14ac:dyDescent="0.3">
      <c r="A335" s="35" t="s">
        <v>902</v>
      </c>
      <c r="B335" s="35" t="s">
        <v>903</v>
      </c>
      <c r="C335" s="35" t="s">
        <v>195</v>
      </c>
      <c r="D335" s="35" t="s">
        <v>43</v>
      </c>
      <c r="E335" s="35" t="s">
        <v>32</v>
      </c>
      <c r="F335" s="35">
        <v>14</v>
      </c>
      <c r="G335" s="35">
        <v>4968.41</v>
      </c>
      <c r="H335" s="35">
        <v>69557.740000000005</v>
      </c>
      <c r="I335" s="35">
        <v>42222.09</v>
      </c>
      <c r="J335" s="35">
        <v>27335.65</v>
      </c>
      <c r="K335" s="37">
        <v>46071</v>
      </c>
      <c r="L335" s="37">
        <v>46076</v>
      </c>
      <c r="M335" s="35" t="s">
        <v>21</v>
      </c>
      <c r="N335" s="35">
        <v>1</v>
      </c>
      <c r="O335" s="35" t="s">
        <v>904</v>
      </c>
      <c r="P335" s="35">
        <v>8</v>
      </c>
    </row>
    <row r="336" spans="1:16" ht="15.75" customHeight="1" x14ac:dyDescent="0.3">
      <c r="A336" s="35" t="s">
        <v>905</v>
      </c>
      <c r="B336" s="35" t="s">
        <v>906</v>
      </c>
      <c r="C336" s="35" t="s">
        <v>18</v>
      </c>
      <c r="D336" s="35" t="s">
        <v>19</v>
      </c>
      <c r="E336" s="35" t="s">
        <v>32</v>
      </c>
      <c r="F336" s="35">
        <v>5</v>
      </c>
      <c r="G336" s="35">
        <v>4274.4799999999996</v>
      </c>
      <c r="H336" s="35">
        <v>21372.400000000001</v>
      </c>
      <c r="I336" s="35">
        <v>19160.87</v>
      </c>
      <c r="J336" s="35">
        <v>2211.5300000000002</v>
      </c>
      <c r="K336" s="37">
        <v>45744</v>
      </c>
      <c r="L336" s="37">
        <v>45745</v>
      </c>
      <c r="M336" s="35" t="s">
        <v>45</v>
      </c>
      <c r="N336" s="35">
        <v>5</v>
      </c>
      <c r="O336" s="35" t="s">
        <v>907</v>
      </c>
      <c r="P336" s="35">
        <v>7.2</v>
      </c>
    </row>
    <row r="337" spans="1:16" ht="15.75" customHeight="1" x14ac:dyDescent="0.3">
      <c r="A337" s="35" t="s">
        <v>908</v>
      </c>
      <c r="B337" s="35" t="s">
        <v>909</v>
      </c>
      <c r="C337" s="35" t="s">
        <v>72</v>
      </c>
      <c r="D337" s="35" t="s">
        <v>31</v>
      </c>
      <c r="E337" s="35" t="s">
        <v>32</v>
      </c>
      <c r="F337" s="35">
        <v>17</v>
      </c>
      <c r="G337" s="35">
        <v>3055.75</v>
      </c>
      <c r="H337" s="35">
        <v>51947.75</v>
      </c>
      <c r="I337" s="35">
        <v>36923.81</v>
      </c>
      <c r="J337" s="35">
        <v>15023.94</v>
      </c>
      <c r="K337" s="37">
        <v>45658</v>
      </c>
      <c r="L337" s="37">
        <v>45661</v>
      </c>
      <c r="M337" s="35" t="s">
        <v>21</v>
      </c>
      <c r="N337" s="35">
        <v>1</v>
      </c>
      <c r="O337" s="35" t="s">
        <v>399</v>
      </c>
      <c r="P337" s="35">
        <v>9.1999999999999993</v>
      </c>
    </row>
    <row r="338" spans="1:16" ht="15.75" customHeight="1" x14ac:dyDescent="0.3">
      <c r="A338" s="35" t="s">
        <v>910</v>
      </c>
      <c r="B338" s="35" t="s">
        <v>911</v>
      </c>
      <c r="C338" s="35" t="s">
        <v>62</v>
      </c>
      <c r="D338" s="35" t="s">
        <v>31</v>
      </c>
      <c r="E338" s="35" t="s">
        <v>20</v>
      </c>
      <c r="F338" s="35">
        <v>5</v>
      </c>
      <c r="G338" s="35">
        <v>2240.1999999999998</v>
      </c>
      <c r="H338" s="35">
        <v>11201</v>
      </c>
      <c r="I338" s="35">
        <v>7061</v>
      </c>
      <c r="J338" s="35">
        <v>4140</v>
      </c>
      <c r="K338" s="37">
        <v>45528</v>
      </c>
      <c r="L338" s="37">
        <v>45537</v>
      </c>
      <c r="M338" s="35" t="s">
        <v>123</v>
      </c>
      <c r="N338" s="35">
        <v>2</v>
      </c>
      <c r="O338" s="35" t="s">
        <v>359</v>
      </c>
      <c r="P338" s="35">
        <v>7.8</v>
      </c>
    </row>
    <row r="339" spans="1:16" ht="15.75" customHeight="1" x14ac:dyDescent="0.3">
      <c r="A339" s="35" t="s">
        <v>912</v>
      </c>
      <c r="B339" s="35" t="s">
        <v>913</v>
      </c>
      <c r="C339" s="35" t="s">
        <v>144</v>
      </c>
      <c r="D339" s="35" t="s">
        <v>19</v>
      </c>
      <c r="E339" s="35" t="s">
        <v>20</v>
      </c>
      <c r="F339" s="35">
        <v>16</v>
      </c>
      <c r="G339" s="35">
        <v>135.63999999999999</v>
      </c>
      <c r="H339" s="35">
        <v>2170.2399999999998</v>
      </c>
      <c r="I339" s="35">
        <v>1525.1</v>
      </c>
      <c r="J339" s="35">
        <v>645.14</v>
      </c>
      <c r="K339" s="37">
        <v>45803</v>
      </c>
      <c r="L339" s="37">
        <v>45804</v>
      </c>
      <c r="M339" s="35" t="s">
        <v>50</v>
      </c>
      <c r="N339" s="35">
        <v>4</v>
      </c>
      <c r="O339" s="35" t="s">
        <v>187</v>
      </c>
      <c r="P339" s="35">
        <v>7</v>
      </c>
    </row>
    <row r="340" spans="1:16" ht="15.75" customHeight="1" x14ac:dyDescent="0.3">
      <c r="A340" s="35" t="s">
        <v>914</v>
      </c>
      <c r="B340" s="35" t="s">
        <v>915</v>
      </c>
      <c r="C340" s="35" t="s">
        <v>219</v>
      </c>
      <c r="D340" s="35" t="s">
        <v>43</v>
      </c>
      <c r="E340" s="35" t="s">
        <v>20</v>
      </c>
      <c r="F340" s="35">
        <v>16</v>
      </c>
      <c r="G340" s="35">
        <v>678.4</v>
      </c>
      <c r="H340" s="35">
        <v>10854.4</v>
      </c>
      <c r="I340" s="35">
        <v>8485.89</v>
      </c>
      <c r="J340" s="35">
        <v>2368.5100000000002</v>
      </c>
      <c r="K340" s="37">
        <v>45707</v>
      </c>
      <c r="L340" s="37">
        <v>45715</v>
      </c>
      <c r="M340" s="35" t="s">
        <v>50</v>
      </c>
      <c r="N340" s="35">
        <v>1</v>
      </c>
      <c r="O340" s="35" t="s">
        <v>741</v>
      </c>
      <c r="P340" s="35">
        <v>6.7</v>
      </c>
    </row>
    <row r="341" spans="1:16" ht="15.75" customHeight="1" x14ac:dyDescent="0.3">
      <c r="A341" s="35" t="s">
        <v>916</v>
      </c>
      <c r="B341" s="35" t="s">
        <v>917</v>
      </c>
      <c r="C341" s="35" t="s">
        <v>49</v>
      </c>
      <c r="D341" s="35" t="s">
        <v>43</v>
      </c>
      <c r="E341" s="35" t="s">
        <v>25</v>
      </c>
      <c r="F341" s="35">
        <v>20</v>
      </c>
      <c r="G341" s="35">
        <v>270.77</v>
      </c>
      <c r="H341" s="35">
        <v>5415.4</v>
      </c>
      <c r="I341" s="35">
        <v>3095.18</v>
      </c>
      <c r="J341" s="35">
        <v>2320.2199999999998</v>
      </c>
      <c r="K341" s="37">
        <v>46152</v>
      </c>
      <c r="L341" s="37">
        <v>46162</v>
      </c>
      <c r="M341" s="35" t="s">
        <v>26</v>
      </c>
      <c r="N341" s="35">
        <v>3</v>
      </c>
      <c r="O341" s="35" t="s">
        <v>918</v>
      </c>
      <c r="P341" s="35">
        <v>6.7</v>
      </c>
    </row>
    <row r="342" spans="1:16" ht="15.75" customHeight="1" x14ac:dyDescent="0.3">
      <c r="A342" s="35" t="s">
        <v>919</v>
      </c>
      <c r="B342" s="35" t="s">
        <v>920</v>
      </c>
      <c r="C342" s="35" t="s">
        <v>49</v>
      </c>
      <c r="D342" s="35" t="s">
        <v>43</v>
      </c>
      <c r="E342" s="35" t="s">
        <v>44</v>
      </c>
      <c r="F342" s="35">
        <v>6</v>
      </c>
      <c r="G342" s="35">
        <v>245.44</v>
      </c>
      <c r="H342" s="35">
        <v>1472.64</v>
      </c>
      <c r="I342" s="35">
        <v>1191.0999999999999</v>
      </c>
      <c r="J342" s="35">
        <v>281.54000000000002</v>
      </c>
      <c r="K342" s="37">
        <v>45958</v>
      </c>
      <c r="L342" s="37">
        <v>45961</v>
      </c>
      <c r="M342" s="35" t="s">
        <v>69</v>
      </c>
      <c r="N342" s="35">
        <v>5</v>
      </c>
      <c r="O342" s="35" t="s">
        <v>645</v>
      </c>
      <c r="P342" s="35">
        <v>8.6999999999999993</v>
      </c>
    </row>
    <row r="343" spans="1:16" ht="15.75" customHeight="1" x14ac:dyDescent="0.3">
      <c r="A343" s="35" t="s">
        <v>921</v>
      </c>
      <c r="B343" s="35" t="s">
        <v>922</v>
      </c>
      <c r="C343" s="35" t="s">
        <v>219</v>
      </c>
      <c r="D343" s="35" t="s">
        <v>43</v>
      </c>
      <c r="E343" s="35" t="s">
        <v>25</v>
      </c>
      <c r="F343" s="35">
        <v>6</v>
      </c>
      <c r="G343" s="35">
        <v>2692.81</v>
      </c>
      <c r="H343" s="35">
        <v>16156.86</v>
      </c>
      <c r="I343" s="35">
        <v>10390.35</v>
      </c>
      <c r="J343" s="35">
        <v>5766.51</v>
      </c>
      <c r="K343" s="37">
        <v>45767</v>
      </c>
      <c r="L343" s="37">
        <v>45769</v>
      </c>
      <c r="M343" s="35" t="s">
        <v>38</v>
      </c>
      <c r="N343" s="35">
        <v>4</v>
      </c>
      <c r="O343" s="35" t="s">
        <v>923</v>
      </c>
      <c r="P343" s="35">
        <v>8.8000000000000007</v>
      </c>
    </row>
    <row r="344" spans="1:16" ht="15.75" customHeight="1" x14ac:dyDescent="0.3">
      <c r="A344" s="35" t="s">
        <v>924</v>
      </c>
      <c r="B344" s="35" t="s">
        <v>925</v>
      </c>
      <c r="C344" s="35" t="s">
        <v>88</v>
      </c>
      <c r="D344" s="35" t="s">
        <v>31</v>
      </c>
      <c r="E344" s="35" t="s">
        <v>44</v>
      </c>
      <c r="F344" s="35">
        <v>8</v>
      </c>
      <c r="G344" s="35">
        <v>444.11</v>
      </c>
      <c r="H344" s="35">
        <v>3552.88</v>
      </c>
      <c r="I344" s="35">
        <v>3138.9</v>
      </c>
      <c r="J344" s="35">
        <v>413.98</v>
      </c>
      <c r="K344" s="37">
        <v>45858</v>
      </c>
      <c r="L344" s="37">
        <v>45867</v>
      </c>
      <c r="M344" s="35" t="s">
        <v>45</v>
      </c>
      <c r="N344" s="35">
        <v>2</v>
      </c>
      <c r="O344" s="35" t="s">
        <v>417</v>
      </c>
      <c r="P344" s="35">
        <v>7.3</v>
      </c>
    </row>
    <row r="345" spans="1:16" ht="15.75" customHeight="1" x14ac:dyDescent="0.3">
      <c r="A345" s="35" t="s">
        <v>926</v>
      </c>
      <c r="B345" s="35" t="s">
        <v>927</v>
      </c>
      <c r="C345" s="35" t="s">
        <v>49</v>
      </c>
      <c r="D345" s="35" t="s">
        <v>43</v>
      </c>
      <c r="E345" s="35" t="s">
        <v>25</v>
      </c>
      <c r="F345" s="35">
        <v>9</v>
      </c>
      <c r="G345" s="35">
        <v>2463.6999999999998</v>
      </c>
      <c r="H345" s="35">
        <v>22173.3</v>
      </c>
      <c r="I345" s="35">
        <v>15687.19</v>
      </c>
      <c r="J345" s="35">
        <v>6486.11</v>
      </c>
      <c r="K345" s="37">
        <v>45645</v>
      </c>
      <c r="L345" s="37">
        <v>45652</v>
      </c>
      <c r="M345" s="35" t="s">
        <v>33</v>
      </c>
      <c r="N345" s="35">
        <v>3</v>
      </c>
      <c r="O345" s="35" t="s">
        <v>111</v>
      </c>
      <c r="P345" s="35">
        <v>8.6</v>
      </c>
    </row>
    <row r="346" spans="1:16" ht="15.75" customHeight="1" x14ac:dyDescent="0.3">
      <c r="A346" s="35" t="s">
        <v>928</v>
      </c>
      <c r="B346" s="35" t="s">
        <v>929</v>
      </c>
      <c r="C346" s="35" t="s">
        <v>219</v>
      </c>
      <c r="D346" s="35" t="s">
        <v>43</v>
      </c>
      <c r="E346" s="35" t="s">
        <v>32</v>
      </c>
      <c r="F346" s="35">
        <v>8</v>
      </c>
      <c r="G346" s="35">
        <v>1986.01</v>
      </c>
      <c r="H346" s="35">
        <v>15888.08</v>
      </c>
      <c r="I346" s="35">
        <v>10437.200000000001</v>
      </c>
      <c r="J346" s="35">
        <v>5450.88</v>
      </c>
      <c r="K346" s="37">
        <v>45668</v>
      </c>
      <c r="L346" s="37">
        <v>45669</v>
      </c>
      <c r="M346" s="35" t="s">
        <v>50</v>
      </c>
      <c r="N346" s="35">
        <v>3</v>
      </c>
      <c r="O346" s="35" t="s">
        <v>318</v>
      </c>
      <c r="P346" s="35">
        <v>7.5</v>
      </c>
    </row>
    <row r="347" spans="1:16" ht="15.75" customHeight="1" x14ac:dyDescent="0.3">
      <c r="A347" s="35" t="s">
        <v>930</v>
      </c>
      <c r="B347" s="35" t="s">
        <v>931</v>
      </c>
      <c r="C347" s="35" t="s">
        <v>18</v>
      </c>
      <c r="D347" s="35" t="s">
        <v>19</v>
      </c>
      <c r="E347" s="35" t="s">
        <v>20</v>
      </c>
      <c r="F347" s="35">
        <v>6</v>
      </c>
      <c r="G347" s="35">
        <v>906.6</v>
      </c>
      <c r="H347" s="35">
        <v>5439.6</v>
      </c>
      <c r="I347" s="35">
        <v>3337.87</v>
      </c>
      <c r="J347" s="35">
        <v>2101.73</v>
      </c>
      <c r="K347" s="37">
        <v>46144</v>
      </c>
      <c r="L347" s="37">
        <v>46152</v>
      </c>
      <c r="M347" s="35" t="s">
        <v>33</v>
      </c>
      <c r="N347" s="35">
        <v>3</v>
      </c>
      <c r="O347" s="35" t="s">
        <v>172</v>
      </c>
      <c r="P347" s="35">
        <v>6.3</v>
      </c>
    </row>
    <row r="348" spans="1:16" ht="15.75" customHeight="1" x14ac:dyDescent="0.3">
      <c r="A348" s="35" t="s">
        <v>932</v>
      </c>
      <c r="B348" s="35" t="s">
        <v>933</v>
      </c>
      <c r="C348" s="35" t="s">
        <v>88</v>
      </c>
      <c r="D348" s="35" t="s">
        <v>31</v>
      </c>
      <c r="E348" s="35" t="s">
        <v>25</v>
      </c>
      <c r="F348" s="35">
        <v>19</v>
      </c>
      <c r="G348" s="35">
        <v>3929.36</v>
      </c>
      <c r="H348" s="35">
        <v>74657.84</v>
      </c>
      <c r="I348" s="35">
        <v>46316.68</v>
      </c>
      <c r="J348" s="35">
        <v>28341.16</v>
      </c>
      <c r="K348" s="37">
        <v>46097</v>
      </c>
      <c r="L348" s="37">
        <v>46104</v>
      </c>
      <c r="M348" s="35" t="s">
        <v>58</v>
      </c>
      <c r="N348" s="35">
        <v>2</v>
      </c>
      <c r="O348" s="35" t="s">
        <v>585</v>
      </c>
      <c r="P348" s="35">
        <v>8</v>
      </c>
    </row>
    <row r="349" spans="1:16" ht="15.75" customHeight="1" x14ac:dyDescent="0.3">
      <c r="A349" s="35" t="s">
        <v>934</v>
      </c>
      <c r="B349" s="35" t="s">
        <v>935</v>
      </c>
      <c r="C349" s="35" t="s">
        <v>37</v>
      </c>
      <c r="D349" s="35" t="s">
        <v>19</v>
      </c>
      <c r="E349" s="35" t="s">
        <v>20</v>
      </c>
      <c r="F349" s="35">
        <v>19</v>
      </c>
      <c r="G349" s="35">
        <v>4700.45</v>
      </c>
      <c r="H349" s="35">
        <v>89308.55</v>
      </c>
      <c r="I349" s="35">
        <v>75222.259999999995</v>
      </c>
      <c r="J349" s="35">
        <v>14086.29</v>
      </c>
      <c r="K349" s="37">
        <v>45591</v>
      </c>
      <c r="L349" s="37">
        <v>45599</v>
      </c>
      <c r="M349" s="35" t="s">
        <v>38</v>
      </c>
      <c r="N349" s="35">
        <v>3</v>
      </c>
      <c r="O349" s="35" t="s">
        <v>936</v>
      </c>
      <c r="P349" s="35">
        <v>8.4</v>
      </c>
    </row>
    <row r="350" spans="1:16" ht="15.75" customHeight="1" x14ac:dyDescent="0.3">
      <c r="A350" s="35" t="s">
        <v>937</v>
      </c>
      <c r="B350" s="35" t="s">
        <v>938</v>
      </c>
      <c r="C350" s="35" t="s">
        <v>168</v>
      </c>
      <c r="D350" s="35" t="s">
        <v>43</v>
      </c>
      <c r="E350" s="35" t="s">
        <v>25</v>
      </c>
      <c r="F350" s="35">
        <v>4</v>
      </c>
      <c r="G350" s="35">
        <v>3285.06</v>
      </c>
      <c r="H350" s="35">
        <v>13140.24</v>
      </c>
      <c r="I350" s="35">
        <v>8237.41</v>
      </c>
      <c r="J350" s="35">
        <v>4902.83</v>
      </c>
      <c r="K350" s="37">
        <v>45620</v>
      </c>
      <c r="L350" s="37">
        <v>45623</v>
      </c>
      <c r="M350" s="35" t="s">
        <v>21</v>
      </c>
      <c r="N350" s="35">
        <v>4</v>
      </c>
      <c r="O350" s="35" t="s">
        <v>899</v>
      </c>
      <c r="P350" s="35">
        <v>7.9</v>
      </c>
    </row>
    <row r="351" spans="1:16" ht="15.75" customHeight="1" x14ac:dyDescent="0.3">
      <c r="A351" s="35" t="s">
        <v>939</v>
      </c>
      <c r="B351" s="35" t="s">
        <v>940</v>
      </c>
      <c r="C351" s="35" t="s">
        <v>139</v>
      </c>
      <c r="D351" s="35" t="s">
        <v>31</v>
      </c>
      <c r="E351" s="35" t="s">
        <v>32</v>
      </c>
      <c r="F351" s="35">
        <v>11</v>
      </c>
      <c r="G351" s="35">
        <v>4055.48</v>
      </c>
      <c r="H351" s="35">
        <v>44610.28</v>
      </c>
      <c r="I351" s="35">
        <v>39316.379999999997</v>
      </c>
      <c r="J351" s="35">
        <v>5293.9</v>
      </c>
      <c r="K351" s="37">
        <v>45456</v>
      </c>
      <c r="L351" s="37">
        <v>45461</v>
      </c>
      <c r="M351" s="35" t="s">
        <v>181</v>
      </c>
      <c r="N351" s="35">
        <v>1</v>
      </c>
      <c r="O351" s="35" t="s">
        <v>27</v>
      </c>
      <c r="P351" s="35">
        <v>7.2</v>
      </c>
    </row>
    <row r="352" spans="1:16" ht="15.75" customHeight="1" x14ac:dyDescent="0.3">
      <c r="A352" s="35" t="s">
        <v>941</v>
      </c>
      <c r="B352" s="35" t="s">
        <v>942</v>
      </c>
      <c r="C352" s="35" t="s">
        <v>62</v>
      </c>
      <c r="D352" s="35" t="s">
        <v>31</v>
      </c>
      <c r="E352" s="35" t="s">
        <v>32</v>
      </c>
      <c r="F352" s="35">
        <v>11</v>
      </c>
      <c r="G352" s="35">
        <v>4034.4</v>
      </c>
      <c r="H352" s="35">
        <v>44378.400000000001</v>
      </c>
      <c r="I352" s="35">
        <v>34106.050000000003</v>
      </c>
      <c r="J352" s="35">
        <v>10272.35</v>
      </c>
      <c r="K352" s="37">
        <v>45450</v>
      </c>
      <c r="L352" s="37">
        <v>45452</v>
      </c>
      <c r="M352" s="35" t="s">
        <v>38</v>
      </c>
      <c r="N352" s="35">
        <v>5</v>
      </c>
      <c r="O352" s="35" t="s">
        <v>240</v>
      </c>
      <c r="P352" s="35">
        <v>9.9</v>
      </c>
    </row>
    <row r="353" spans="1:16" ht="15.75" customHeight="1" x14ac:dyDescent="0.3">
      <c r="A353" s="35" t="s">
        <v>943</v>
      </c>
      <c r="B353" s="35" t="s">
        <v>944</v>
      </c>
      <c r="C353" s="35" t="s">
        <v>72</v>
      </c>
      <c r="D353" s="35" t="s">
        <v>31</v>
      </c>
      <c r="E353" s="35" t="s">
        <v>20</v>
      </c>
      <c r="F353" s="35">
        <v>20</v>
      </c>
      <c r="G353" s="35">
        <v>1630.41</v>
      </c>
      <c r="H353" s="35">
        <v>32608.2</v>
      </c>
      <c r="I353" s="35">
        <v>28531.35</v>
      </c>
      <c r="J353" s="35">
        <v>4076.85</v>
      </c>
      <c r="K353" s="37">
        <v>46101</v>
      </c>
      <c r="L353" s="37">
        <v>46107</v>
      </c>
      <c r="M353" s="35" t="s">
        <v>33</v>
      </c>
      <c r="N353" s="35">
        <v>4</v>
      </c>
      <c r="O353" s="35" t="s">
        <v>780</v>
      </c>
      <c r="P353" s="35">
        <v>8.6</v>
      </c>
    </row>
    <row r="354" spans="1:16" ht="15.75" customHeight="1" x14ac:dyDescent="0.3">
      <c r="A354" s="35" t="s">
        <v>945</v>
      </c>
      <c r="B354" s="35" t="s">
        <v>946</v>
      </c>
      <c r="C354" s="35" t="s">
        <v>139</v>
      </c>
      <c r="D354" s="35" t="s">
        <v>31</v>
      </c>
      <c r="E354" s="35" t="s">
        <v>20</v>
      </c>
      <c r="F354" s="35">
        <v>17</v>
      </c>
      <c r="G354" s="35">
        <v>2667.03</v>
      </c>
      <c r="H354" s="35">
        <v>45339.51</v>
      </c>
      <c r="I354" s="35">
        <v>30963.59</v>
      </c>
      <c r="J354" s="35">
        <v>14375.92</v>
      </c>
      <c r="K354" s="37">
        <v>45534</v>
      </c>
      <c r="L354" s="37">
        <v>45541</v>
      </c>
      <c r="M354" s="35" t="s">
        <v>69</v>
      </c>
      <c r="N354" s="35">
        <v>4</v>
      </c>
      <c r="O354" s="35" t="s">
        <v>904</v>
      </c>
      <c r="P354" s="35">
        <v>7.7</v>
      </c>
    </row>
    <row r="355" spans="1:16" ht="15.75" customHeight="1" x14ac:dyDescent="0.3">
      <c r="A355" s="35" t="s">
        <v>947</v>
      </c>
      <c r="B355" s="35" t="s">
        <v>948</v>
      </c>
      <c r="C355" s="35" t="s">
        <v>57</v>
      </c>
      <c r="D355" s="35" t="s">
        <v>19</v>
      </c>
      <c r="E355" s="35" t="s">
        <v>44</v>
      </c>
      <c r="F355" s="35">
        <v>5</v>
      </c>
      <c r="G355" s="35">
        <v>1092.94</v>
      </c>
      <c r="H355" s="35">
        <v>5464.7</v>
      </c>
      <c r="I355" s="35">
        <v>4610.16</v>
      </c>
      <c r="J355" s="35">
        <v>854.54</v>
      </c>
      <c r="K355" s="37">
        <v>45469</v>
      </c>
      <c r="L355" s="37">
        <v>45475</v>
      </c>
      <c r="M355" s="35" t="s">
        <v>58</v>
      </c>
      <c r="N355" s="35">
        <v>1</v>
      </c>
      <c r="O355" s="35" t="s">
        <v>362</v>
      </c>
      <c r="P355" s="35">
        <v>6.3</v>
      </c>
    </row>
    <row r="356" spans="1:16" ht="15.75" customHeight="1" x14ac:dyDescent="0.3">
      <c r="A356" s="35" t="s">
        <v>949</v>
      </c>
      <c r="B356" s="35" t="s">
        <v>950</v>
      </c>
      <c r="C356" s="35" t="s">
        <v>57</v>
      </c>
      <c r="D356" s="35" t="s">
        <v>19</v>
      </c>
      <c r="E356" s="35" t="s">
        <v>25</v>
      </c>
      <c r="F356" s="35">
        <v>10</v>
      </c>
      <c r="G356" s="35">
        <v>1350.18</v>
      </c>
      <c r="H356" s="35">
        <v>13501.8</v>
      </c>
      <c r="I356" s="35">
        <v>10760.8</v>
      </c>
      <c r="J356" s="35">
        <v>2741</v>
      </c>
      <c r="K356" s="37">
        <v>45680</v>
      </c>
      <c r="L356" s="37">
        <v>45683</v>
      </c>
      <c r="M356" s="35" t="s">
        <v>38</v>
      </c>
      <c r="N356" s="35">
        <v>3</v>
      </c>
      <c r="O356" s="35" t="s">
        <v>496</v>
      </c>
      <c r="P356" s="35">
        <v>8.6999999999999993</v>
      </c>
    </row>
    <row r="357" spans="1:16" ht="15.75" customHeight="1" x14ac:dyDescent="0.3">
      <c r="A357" s="35" t="s">
        <v>951</v>
      </c>
      <c r="B357" s="35" t="s">
        <v>952</v>
      </c>
      <c r="C357" s="35" t="s">
        <v>72</v>
      </c>
      <c r="D357" s="35" t="s">
        <v>31</v>
      </c>
      <c r="E357" s="35" t="s">
        <v>32</v>
      </c>
      <c r="F357" s="35">
        <v>4</v>
      </c>
      <c r="G357" s="35">
        <v>2164.94</v>
      </c>
      <c r="H357" s="35">
        <v>8659.76</v>
      </c>
      <c r="I357" s="35">
        <v>4383.57</v>
      </c>
      <c r="J357" s="35">
        <v>4276.1899999999996</v>
      </c>
      <c r="K357" s="37">
        <v>46131</v>
      </c>
      <c r="L357" s="37">
        <v>46132</v>
      </c>
      <c r="M357" s="35" t="s">
        <v>45</v>
      </c>
      <c r="N357" s="35">
        <v>1</v>
      </c>
      <c r="O357" s="35" t="s">
        <v>506</v>
      </c>
      <c r="P357" s="35">
        <v>9.5</v>
      </c>
    </row>
    <row r="358" spans="1:16" ht="15.75" customHeight="1" x14ac:dyDescent="0.3">
      <c r="A358" s="35" t="s">
        <v>953</v>
      </c>
      <c r="B358" s="35" t="s">
        <v>954</v>
      </c>
      <c r="C358" s="35" t="s">
        <v>144</v>
      </c>
      <c r="D358" s="35" t="s">
        <v>19</v>
      </c>
      <c r="E358" s="35" t="s">
        <v>44</v>
      </c>
      <c r="F358" s="35">
        <v>7</v>
      </c>
      <c r="G358" s="35">
        <v>4793.24</v>
      </c>
      <c r="H358" s="35">
        <v>33552.68</v>
      </c>
      <c r="I358" s="35">
        <v>21270.99</v>
      </c>
      <c r="J358" s="35">
        <v>12281.69</v>
      </c>
      <c r="K358" s="37">
        <v>46140</v>
      </c>
      <c r="L358" s="37">
        <v>46148</v>
      </c>
      <c r="M358" s="35" t="s">
        <v>50</v>
      </c>
      <c r="N358" s="35">
        <v>3</v>
      </c>
      <c r="O358" s="35" t="s">
        <v>955</v>
      </c>
      <c r="P358" s="35">
        <v>9.8000000000000007</v>
      </c>
    </row>
    <row r="359" spans="1:16" ht="15.75" customHeight="1" x14ac:dyDescent="0.3">
      <c r="A359" s="35" t="s">
        <v>956</v>
      </c>
      <c r="B359" s="35" t="s">
        <v>957</v>
      </c>
      <c r="C359" s="35" t="s">
        <v>168</v>
      </c>
      <c r="D359" s="35" t="s">
        <v>43</v>
      </c>
      <c r="E359" s="35" t="s">
        <v>20</v>
      </c>
      <c r="F359" s="35">
        <v>5</v>
      </c>
      <c r="G359" s="35">
        <v>1785.75</v>
      </c>
      <c r="H359" s="35">
        <v>8928.75</v>
      </c>
      <c r="I359" s="35">
        <v>6447.06</v>
      </c>
      <c r="J359" s="35">
        <v>2481.69</v>
      </c>
      <c r="K359" s="37">
        <v>45922</v>
      </c>
      <c r="L359" s="37">
        <v>45931</v>
      </c>
      <c r="M359" s="35" t="s">
        <v>38</v>
      </c>
      <c r="N359" s="35">
        <v>3</v>
      </c>
      <c r="O359" s="35" t="s">
        <v>436</v>
      </c>
      <c r="P359" s="35">
        <v>8.1</v>
      </c>
    </row>
    <row r="360" spans="1:16" ht="15.75" customHeight="1" x14ac:dyDescent="0.3">
      <c r="A360" s="35" t="s">
        <v>958</v>
      </c>
      <c r="B360" s="35" t="s">
        <v>959</v>
      </c>
      <c r="C360" s="35" t="s">
        <v>139</v>
      </c>
      <c r="D360" s="35" t="s">
        <v>31</v>
      </c>
      <c r="E360" s="35" t="s">
        <v>20</v>
      </c>
      <c r="F360" s="35">
        <v>10</v>
      </c>
      <c r="G360" s="35">
        <v>1349.49</v>
      </c>
      <c r="H360" s="35">
        <v>13494.9</v>
      </c>
      <c r="I360" s="35">
        <v>9677.7199999999993</v>
      </c>
      <c r="J360" s="35">
        <v>3817.18</v>
      </c>
      <c r="K360" s="37">
        <v>45976</v>
      </c>
      <c r="L360" s="37">
        <v>45978</v>
      </c>
      <c r="M360" s="35" t="s">
        <v>38</v>
      </c>
      <c r="N360" s="35">
        <v>5</v>
      </c>
      <c r="O360" s="35" t="s">
        <v>888</v>
      </c>
      <c r="P360" s="35">
        <v>8.5</v>
      </c>
    </row>
    <row r="361" spans="1:16" ht="15.75" customHeight="1" x14ac:dyDescent="0.3">
      <c r="A361" s="35" t="s">
        <v>960</v>
      </c>
      <c r="B361" s="35" t="s">
        <v>961</v>
      </c>
      <c r="C361" s="35" t="s">
        <v>195</v>
      </c>
      <c r="D361" s="35" t="s">
        <v>43</v>
      </c>
      <c r="E361" s="35" t="s">
        <v>25</v>
      </c>
      <c r="F361" s="35">
        <v>17</v>
      </c>
      <c r="G361" s="35">
        <v>4535.22</v>
      </c>
      <c r="H361" s="35">
        <v>77098.740000000005</v>
      </c>
      <c r="I361" s="35">
        <v>46213.82</v>
      </c>
      <c r="J361" s="35">
        <v>30884.92</v>
      </c>
      <c r="K361" s="37">
        <v>45963</v>
      </c>
      <c r="L361" s="37">
        <v>45971</v>
      </c>
      <c r="M361" s="35" t="s">
        <v>33</v>
      </c>
      <c r="N361" s="35">
        <v>4</v>
      </c>
      <c r="O361" s="35" t="s">
        <v>610</v>
      </c>
      <c r="P361" s="35">
        <v>8.3000000000000007</v>
      </c>
    </row>
    <row r="362" spans="1:16" ht="15.75" customHeight="1" x14ac:dyDescent="0.3">
      <c r="A362" s="35" t="s">
        <v>962</v>
      </c>
      <c r="B362" s="35" t="s">
        <v>963</v>
      </c>
      <c r="C362" s="35" t="s">
        <v>57</v>
      </c>
      <c r="D362" s="35" t="s">
        <v>19</v>
      </c>
      <c r="E362" s="35" t="s">
        <v>25</v>
      </c>
      <c r="F362" s="35">
        <v>19</v>
      </c>
      <c r="G362" s="35">
        <v>2206.44</v>
      </c>
      <c r="H362" s="35">
        <v>41922.36</v>
      </c>
      <c r="I362" s="35">
        <v>23760.23</v>
      </c>
      <c r="J362" s="35">
        <v>18162.13</v>
      </c>
      <c r="K362" s="37">
        <v>45481</v>
      </c>
      <c r="L362" s="37">
        <v>45490</v>
      </c>
      <c r="M362" s="35" t="s">
        <v>50</v>
      </c>
      <c r="N362" s="35">
        <v>5</v>
      </c>
      <c r="O362" s="35" t="s">
        <v>92</v>
      </c>
      <c r="P362" s="35">
        <v>9.6999999999999993</v>
      </c>
    </row>
    <row r="363" spans="1:16" ht="15.75" customHeight="1" x14ac:dyDescent="0.3">
      <c r="A363" s="35" t="s">
        <v>964</v>
      </c>
      <c r="B363" s="35" t="s">
        <v>965</v>
      </c>
      <c r="C363" s="35" t="s">
        <v>62</v>
      </c>
      <c r="D363" s="35" t="s">
        <v>31</v>
      </c>
      <c r="E363" s="35" t="s">
        <v>25</v>
      </c>
      <c r="F363" s="35">
        <v>4</v>
      </c>
      <c r="G363" s="35">
        <v>3900.95</v>
      </c>
      <c r="H363" s="35">
        <v>15603.8</v>
      </c>
      <c r="I363" s="35">
        <v>12059.6</v>
      </c>
      <c r="J363" s="35">
        <v>3544.2</v>
      </c>
      <c r="K363" s="37">
        <v>45478</v>
      </c>
      <c r="L363" s="37">
        <v>45483</v>
      </c>
      <c r="M363" s="35" t="s">
        <v>123</v>
      </c>
      <c r="N363" s="35">
        <v>2</v>
      </c>
      <c r="O363" s="35" t="s">
        <v>235</v>
      </c>
      <c r="P363" s="35">
        <v>6</v>
      </c>
    </row>
    <row r="364" spans="1:16" ht="15.75" customHeight="1" x14ac:dyDescent="0.3">
      <c r="A364" s="35" t="s">
        <v>966</v>
      </c>
      <c r="B364" s="35" t="s">
        <v>967</v>
      </c>
      <c r="C364" s="35" t="s">
        <v>168</v>
      </c>
      <c r="D364" s="35" t="s">
        <v>43</v>
      </c>
      <c r="E364" s="35" t="s">
        <v>44</v>
      </c>
      <c r="F364" s="35">
        <v>7</v>
      </c>
      <c r="G364" s="35">
        <v>3817.66</v>
      </c>
      <c r="H364" s="35">
        <v>26723.62</v>
      </c>
      <c r="I364" s="35">
        <v>21045.599999999999</v>
      </c>
      <c r="J364" s="35">
        <v>5678.02</v>
      </c>
      <c r="K364" s="37">
        <v>45499</v>
      </c>
      <c r="L364" s="37">
        <v>45509</v>
      </c>
      <c r="M364" s="35" t="s">
        <v>26</v>
      </c>
      <c r="N364" s="35">
        <v>4</v>
      </c>
      <c r="O364" s="35" t="s">
        <v>904</v>
      </c>
      <c r="P364" s="35">
        <v>9.8000000000000007</v>
      </c>
    </row>
    <row r="365" spans="1:16" ht="15.75" customHeight="1" x14ac:dyDescent="0.3">
      <c r="A365" s="35" t="s">
        <v>968</v>
      </c>
      <c r="B365" s="35" t="s">
        <v>969</v>
      </c>
      <c r="C365" s="35" t="s">
        <v>62</v>
      </c>
      <c r="D365" s="35" t="s">
        <v>31</v>
      </c>
      <c r="E365" s="35" t="s">
        <v>32</v>
      </c>
      <c r="F365" s="35">
        <v>3</v>
      </c>
      <c r="G365" s="35">
        <v>3960.15</v>
      </c>
      <c r="H365" s="35">
        <v>11880.45</v>
      </c>
      <c r="I365" s="35">
        <v>6548.39</v>
      </c>
      <c r="J365" s="35">
        <v>5332.06</v>
      </c>
      <c r="K365" s="37">
        <v>45953</v>
      </c>
      <c r="L365" s="37">
        <v>45963</v>
      </c>
      <c r="M365" s="35" t="s">
        <v>45</v>
      </c>
      <c r="N365" s="35">
        <v>5</v>
      </c>
      <c r="O365" s="35" t="s">
        <v>881</v>
      </c>
      <c r="P365" s="35">
        <v>9.8000000000000007</v>
      </c>
    </row>
    <row r="366" spans="1:16" ht="15.75" customHeight="1" x14ac:dyDescent="0.3">
      <c r="A366" s="35" t="s">
        <v>970</v>
      </c>
      <c r="B366" s="35" t="s">
        <v>971</v>
      </c>
      <c r="C366" s="35" t="s">
        <v>37</v>
      </c>
      <c r="D366" s="35" t="s">
        <v>19</v>
      </c>
      <c r="E366" s="35" t="s">
        <v>32</v>
      </c>
      <c r="F366" s="35">
        <v>13</v>
      </c>
      <c r="G366" s="35">
        <v>1830.26</v>
      </c>
      <c r="H366" s="35">
        <v>23793.38</v>
      </c>
      <c r="I366" s="35">
        <v>13438.62</v>
      </c>
      <c r="J366" s="35">
        <v>10354.76</v>
      </c>
      <c r="K366" s="37">
        <v>45816</v>
      </c>
      <c r="L366" s="37">
        <v>45822</v>
      </c>
      <c r="M366" s="35" t="s">
        <v>69</v>
      </c>
      <c r="N366" s="35">
        <v>1</v>
      </c>
      <c r="O366" s="35" t="s">
        <v>972</v>
      </c>
      <c r="P366" s="35">
        <v>7.6</v>
      </c>
    </row>
    <row r="367" spans="1:16" ht="15.75" customHeight="1" x14ac:dyDescent="0.3">
      <c r="A367" s="35" t="s">
        <v>973</v>
      </c>
      <c r="B367" s="35" t="s">
        <v>974</v>
      </c>
      <c r="C367" s="35" t="s">
        <v>62</v>
      </c>
      <c r="D367" s="35" t="s">
        <v>31</v>
      </c>
      <c r="E367" s="35" t="s">
        <v>25</v>
      </c>
      <c r="F367" s="35">
        <v>5</v>
      </c>
      <c r="G367" s="35">
        <v>1537.11</v>
      </c>
      <c r="H367" s="35">
        <v>7685.55</v>
      </c>
      <c r="I367" s="35">
        <v>4207.62</v>
      </c>
      <c r="J367" s="35">
        <v>3477.93</v>
      </c>
      <c r="K367" s="37">
        <v>45985</v>
      </c>
      <c r="L367" s="37">
        <v>45994</v>
      </c>
      <c r="M367" s="35" t="s">
        <v>50</v>
      </c>
      <c r="N367" s="35">
        <v>2</v>
      </c>
      <c r="O367" s="35" t="s">
        <v>570</v>
      </c>
      <c r="P367" s="35">
        <v>9.3000000000000007</v>
      </c>
    </row>
    <row r="368" spans="1:16" ht="15.75" customHeight="1" x14ac:dyDescent="0.3">
      <c r="A368" s="35" t="s">
        <v>975</v>
      </c>
      <c r="B368" s="35" t="s">
        <v>976</v>
      </c>
      <c r="C368" s="35" t="s">
        <v>195</v>
      </c>
      <c r="D368" s="35" t="s">
        <v>43</v>
      </c>
      <c r="E368" s="35" t="s">
        <v>32</v>
      </c>
      <c r="F368" s="35">
        <v>17</v>
      </c>
      <c r="G368" s="35">
        <v>4700.25</v>
      </c>
      <c r="H368" s="35">
        <v>79904.25</v>
      </c>
      <c r="I368" s="35">
        <v>44416.81</v>
      </c>
      <c r="J368" s="35">
        <v>35487.440000000002</v>
      </c>
      <c r="K368" s="37">
        <v>45479</v>
      </c>
      <c r="L368" s="37">
        <v>45486</v>
      </c>
      <c r="M368" s="35" t="s">
        <v>38</v>
      </c>
      <c r="N368" s="35">
        <v>4</v>
      </c>
      <c r="O368" s="35" t="s">
        <v>300</v>
      </c>
      <c r="P368" s="35">
        <v>7.2</v>
      </c>
    </row>
    <row r="369" spans="1:16" ht="15.75" customHeight="1" x14ac:dyDescent="0.3">
      <c r="A369" s="35" t="s">
        <v>977</v>
      </c>
      <c r="B369" s="35" t="s">
        <v>978</v>
      </c>
      <c r="C369" s="35" t="s">
        <v>42</v>
      </c>
      <c r="D369" s="35" t="s">
        <v>43</v>
      </c>
      <c r="E369" s="35" t="s">
        <v>32</v>
      </c>
      <c r="F369" s="35">
        <v>13</v>
      </c>
      <c r="G369" s="35">
        <v>515.26</v>
      </c>
      <c r="H369" s="35">
        <v>6698.38</v>
      </c>
      <c r="I369" s="35">
        <v>5535.7</v>
      </c>
      <c r="J369" s="35">
        <v>1162.68</v>
      </c>
      <c r="K369" s="37">
        <v>45770</v>
      </c>
      <c r="L369" s="37">
        <v>45778</v>
      </c>
      <c r="M369" s="35" t="s">
        <v>38</v>
      </c>
      <c r="N369" s="35">
        <v>5</v>
      </c>
      <c r="O369" s="35" t="s">
        <v>888</v>
      </c>
      <c r="P369" s="35">
        <v>7.3</v>
      </c>
    </row>
    <row r="370" spans="1:16" ht="15.75" customHeight="1" x14ac:dyDescent="0.3">
      <c r="A370" s="35" t="s">
        <v>979</v>
      </c>
      <c r="B370" s="35" t="s">
        <v>980</v>
      </c>
      <c r="C370" s="35" t="s">
        <v>219</v>
      </c>
      <c r="D370" s="35" t="s">
        <v>43</v>
      </c>
      <c r="E370" s="35" t="s">
        <v>44</v>
      </c>
      <c r="F370" s="35">
        <v>2</v>
      </c>
      <c r="G370" s="35">
        <v>1890.94</v>
      </c>
      <c r="H370" s="35">
        <v>3781.88</v>
      </c>
      <c r="I370" s="35">
        <v>2565.6</v>
      </c>
      <c r="J370" s="35">
        <v>1216.28</v>
      </c>
      <c r="K370" s="37">
        <v>45519</v>
      </c>
      <c r="L370" s="37">
        <v>45528</v>
      </c>
      <c r="M370" s="35" t="s">
        <v>58</v>
      </c>
      <c r="N370" s="35">
        <v>2</v>
      </c>
      <c r="O370" s="35" t="s">
        <v>114</v>
      </c>
      <c r="P370" s="35">
        <v>9.6</v>
      </c>
    </row>
    <row r="371" spans="1:16" ht="15.75" customHeight="1" x14ac:dyDescent="0.3">
      <c r="A371" s="35" t="s">
        <v>981</v>
      </c>
      <c r="B371" s="35" t="s">
        <v>982</v>
      </c>
      <c r="C371" s="35" t="s">
        <v>42</v>
      </c>
      <c r="D371" s="35" t="s">
        <v>43</v>
      </c>
      <c r="E371" s="35" t="s">
        <v>44</v>
      </c>
      <c r="F371" s="35">
        <v>17</v>
      </c>
      <c r="G371" s="35">
        <v>268.93</v>
      </c>
      <c r="H371" s="35">
        <v>4571.8100000000004</v>
      </c>
      <c r="I371" s="35">
        <v>3032.87</v>
      </c>
      <c r="J371" s="35">
        <v>1538.94</v>
      </c>
      <c r="K371" s="37">
        <v>45784</v>
      </c>
      <c r="L371" s="37">
        <v>45792</v>
      </c>
      <c r="M371" s="35" t="s">
        <v>181</v>
      </c>
      <c r="N371" s="35">
        <v>4</v>
      </c>
      <c r="O371" s="35" t="s">
        <v>184</v>
      </c>
      <c r="P371" s="35">
        <v>6.4</v>
      </c>
    </row>
    <row r="372" spans="1:16" ht="15.75" customHeight="1" x14ac:dyDescent="0.3">
      <c r="A372" s="35" t="s">
        <v>983</v>
      </c>
      <c r="B372" s="35" t="s">
        <v>984</v>
      </c>
      <c r="C372" s="35" t="s">
        <v>95</v>
      </c>
      <c r="D372" s="35" t="s">
        <v>19</v>
      </c>
      <c r="E372" s="35" t="s">
        <v>25</v>
      </c>
      <c r="F372" s="35">
        <v>10</v>
      </c>
      <c r="G372" s="35">
        <v>1340.2</v>
      </c>
      <c r="H372" s="35">
        <v>13402</v>
      </c>
      <c r="I372" s="35">
        <v>11647.82</v>
      </c>
      <c r="J372" s="35">
        <v>1754.18</v>
      </c>
      <c r="K372" s="37">
        <v>45450</v>
      </c>
      <c r="L372" s="37">
        <v>45452</v>
      </c>
      <c r="M372" s="35" t="s">
        <v>21</v>
      </c>
      <c r="N372" s="35">
        <v>3</v>
      </c>
      <c r="O372" s="35" t="s">
        <v>417</v>
      </c>
      <c r="P372" s="35">
        <v>8.8000000000000007</v>
      </c>
    </row>
    <row r="373" spans="1:16" ht="15.75" customHeight="1" x14ac:dyDescent="0.3">
      <c r="A373" s="35" t="s">
        <v>985</v>
      </c>
      <c r="B373" s="35" t="s">
        <v>986</v>
      </c>
      <c r="C373" s="35" t="s">
        <v>219</v>
      </c>
      <c r="D373" s="35" t="s">
        <v>43</v>
      </c>
      <c r="E373" s="35" t="s">
        <v>32</v>
      </c>
      <c r="F373" s="35">
        <v>3</v>
      </c>
      <c r="G373" s="35">
        <v>4826.72</v>
      </c>
      <c r="H373" s="35">
        <v>14480.16</v>
      </c>
      <c r="I373" s="35">
        <v>11189.93</v>
      </c>
      <c r="J373" s="35">
        <v>3290.23</v>
      </c>
      <c r="K373" s="37">
        <v>46000</v>
      </c>
      <c r="L373" s="37">
        <v>46003</v>
      </c>
      <c r="M373" s="35" t="s">
        <v>21</v>
      </c>
      <c r="N373" s="35">
        <v>3</v>
      </c>
      <c r="O373" s="35" t="s">
        <v>715</v>
      </c>
      <c r="P373" s="35">
        <v>7.9</v>
      </c>
    </row>
    <row r="374" spans="1:16" ht="15.75" customHeight="1" x14ac:dyDescent="0.3">
      <c r="A374" s="35" t="s">
        <v>987</v>
      </c>
      <c r="B374" s="35" t="s">
        <v>988</v>
      </c>
      <c r="C374" s="35" t="s">
        <v>42</v>
      </c>
      <c r="D374" s="35" t="s">
        <v>43</v>
      </c>
      <c r="E374" s="35" t="s">
        <v>32</v>
      </c>
      <c r="F374" s="35">
        <v>13</v>
      </c>
      <c r="G374" s="35">
        <v>4318.68</v>
      </c>
      <c r="H374" s="35">
        <v>56142.84</v>
      </c>
      <c r="I374" s="35">
        <v>30876.03</v>
      </c>
      <c r="J374" s="35">
        <v>25266.81</v>
      </c>
      <c r="K374" s="37">
        <v>45561</v>
      </c>
      <c r="L374" s="37">
        <v>45563</v>
      </c>
      <c r="M374" s="35" t="s">
        <v>50</v>
      </c>
      <c r="N374" s="35">
        <v>5</v>
      </c>
      <c r="O374" s="35" t="s">
        <v>548</v>
      </c>
      <c r="P374" s="35">
        <v>7.4</v>
      </c>
    </row>
    <row r="375" spans="1:16" ht="15.75" customHeight="1" x14ac:dyDescent="0.3">
      <c r="A375" s="35" t="s">
        <v>989</v>
      </c>
      <c r="B375" s="35" t="s">
        <v>990</v>
      </c>
      <c r="C375" s="35" t="s">
        <v>139</v>
      </c>
      <c r="D375" s="35" t="s">
        <v>31</v>
      </c>
      <c r="E375" s="35" t="s">
        <v>32</v>
      </c>
      <c r="F375" s="35">
        <v>19</v>
      </c>
      <c r="G375" s="35">
        <v>1352.46</v>
      </c>
      <c r="H375" s="35">
        <v>25696.74</v>
      </c>
      <c r="I375" s="35">
        <v>16199.19</v>
      </c>
      <c r="J375" s="35">
        <v>9497.5499999999993</v>
      </c>
      <c r="K375" s="37">
        <v>45946</v>
      </c>
      <c r="L375" s="37">
        <v>45950</v>
      </c>
      <c r="M375" s="35" t="s">
        <v>69</v>
      </c>
      <c r="N375" s="35">
        <v>2</v>
      </c>
      <c r="O375" s="35" t="s">
        <v>375</v>
      </c>
      <c r="P375" s="35">
        <v>9.9</v>
      </c>
    </row>
    <row r="376" spans="1:16" ht="15.75" customHeight="1" x14ac:dyDescent="0.3">
      <c r="A376" s="35" t="s">
        <v>991</v>
      </c>
      <c r="B376" s="35" t="s">
        <v>992</v>
      </c>
      <c r="C376" s="35" t="s">
        <v>57</v>
      </c>
      <c r="D376" s="35" t="s">
        <v>19</v>
      </c>
      <c r="E376" s="35" t="s">
        <v>32</v>
      </c>
      <c r="F376" s="35">
        <v>11</v>
      </c>
      <c r="G376" s="35">
        <v>2715.31</v>
      </c>
      <c r="H376" s="35">
        <v>29868.41</v>
      </c>
      <c r="I376" s="35">
        <v>20323.439999999999</v>
      </c>
      <c r="J376" s="35">
        <v>9544.9699999999993</v>
      </c>
      <c r="K376" s="37">
        <v>46059</v>
      </c>
      <c r="L376" s="37">
        <v>46068</v>
      </c>
      <c r="M376" s="35" t="s">
        <v>123</v>
      </c>
      <c r="N376" s="35">
        <v>5</v>
      </c>
      <c r="O376" s="35" t="s">
        <v>993</v>
      </c>
      <c r="P376" s="35">
        <v>9.3000000000000007</v>
      </c>
    </row>
    <row r="377" spans="1:16" ht="15.75" customHeight="1" x14ac:dyDescent="0.3">
      <c r="A377" s="35" t="s">
        <v>994</v>
      </c>
      <c r="B377" s="35" t="s">
        <v>995</v>
      </c>
      <c r="C377" s="35" t="s">
        <v>144</v>
      </c>
      <c r="D377" s="35" t="s">
        <v>19</v>
      </c>
      <c r="E377" s="35" t="s">
        <v>20</v>
      </c>
      <c r="F377" s="35">
        <v>17</v>
      </c>
      <c r="G377" s="35">
        <v>3169.26</v>
      </c>
      <c r="H377" s="35">
        <v>53877.42</v>
      </c>
      <c r="I377" s="35">
        <v>27203.91</v>
      </c>
      <c r="J377" s="35">
        <v>26673.51</v>
      </c>
      <c r="K377" s="37">
        <v>46050</v>
      </c>
      <c r="L377" s="37">
        <v>46059</v>
      </c>
      <c r="M377" s="35" t="s">
        <v>69</v>
      </c>
      <c r="N377" s="35">
        <v>3</v>
      </c>
      <c r="O377" s="35" t="s">
        <v>89</v>
      </c>
      <c r="P377" s="35">
        <v>8.3000000000000007</v>
      </c>
    </row>
    <row r="378" spans="1:16" ht="15.75" customHeight="1" x14ac:dyDescent="0.3">
      <c r="A378" s="35" t="s">
        <v>996</v>
      </c>
      <c r="B378" s="35" t="s">
        <v>997</v>
      </c>
      <c r="C378" s="35" t="s">
        <v>95</v>
      </c>
      <c r="D378" s="35" t="s">
        <v>19</v>
      </c>
      <c r="E378" s="35" t="s">
        <v>20</v>
      </c>
      <c r="F378" s="35">
        <v>17</v>
      </c>
      <c r="G378" s="35">
        <v>1411.98</v>
      </c>
      <c r="H378" s="35">
        <v>24003.66</v>
      </c>
      <c r="I378" s="35">
        <v>12418.23</v>
      </c>
      <c r="J378" s="35">
        <v>11585.43</v>
      </c>
      <c r="K378" s="37">
        <v>45574</v>
      </c>
      <c r="L378" s="37">
        <v>45577</v>
      </c>
      <c r="M378" s="35" t="s">
        <v>21</v>
      </c>
      <c r="N378" s="35">
        <v>3</v>
      </c>
      <c r="O378" s="35" t="s">
        <v>998</v>
      </c>
      <c r="P378" s="35">
        <v>7.3</v>
      </c>
    </row>
    <row r="379" spans="1:16" ht="15.75" customHeight="1" x14ac:dyDescent="0.3">
      <c r="A379" s="35" t="s">
        <v>999</v>
      </c>
      <c r="B379" s="35" t="s">
        <v>1000</v>
      </c>
      <c r="C379" s="35" t="s">
        <v>49</v>
      </c>
      <c r="D379" s="35" t="s">
        <v>43</v>
      </c>
      <c r="E379" s="35" t="s">
        <v>44</v>
      </c>
      <c r="F379" s="35">
        <v>1</v>
      </c>
      <c r="G379" s="35">
        <v>2378.15</v>
      </c>
      <c r="H379" s="35">
        <v>2378.15</v>
      </c>
      <c r="I379" s="35">
        <v>2066.6799999999998</v>
      </c>
      <c r="J379" s="35">
        <v>311.47000000000003</v>
      </c>
      <c r="K379" s="37">
        <v>45681</v>
      </c>
      <c r="L379" s="37">
        <v>45690</v>
      </c>
      <c r="M379" s="35" t="s">
        <v>26</v>
      </c>
      <c r="N379" s="35">
        <v>3</v>
      </c>
      <c r="O379" s="35" t="s">
        <v>208</v>
      </c>
      <c r="P379" s="35">
        <v>8.5</v>
      </c>
    </row>
    <row r="380" spans="1:16" ht="15.75" customHeight="1" x14ac:dyDescent="0.3">
      <c r="A380" s="35" t="s">
        <v>1001</v>
      </c>
      <c r="B380" s="35" t="s">
        <v>1002</v>
      </c>
      <c r="C380" s="35" t="s">
        <v>18</v>
      </c>
      <c r="D380" s="35" t="s">
        <v>19</v>
      </c>
      <c r="E380" s="35" t="s">
        <v>25</v>
      </c>
      <c r="F380" s="35">
        <v>4</v>
      </c>
      <c r="G380" s="35">
        <v>2198.4499999999998</v>
      </c>
      <c r="H380" s="35">
        <v>8793.7999999999993</v>
      </c>
      <c r="I380" s="35">
        <v>7510.01</v>
      </c>
      <c r="J380" s="35">
        <v>1283.79</v>
      </c>
      <c r="K380" s="37">
        <v>45580</v>
      </c>
      <c r="L380" s="37">
        <v>45584</v>
      </c>
      <c r="M380" s="35" t="s">
        <v>58</v>
      </c>
      <c r="N380" s="35">
        <v>5</v>
      </c>
      <c r="O380" s="35" t="s">
        <v>475</v>
      </c>
      <c r="P380" s="35">
        <v>8.1999999999999993</v>
      </c>
    </row>
    <row r="381" spans="1:16" ht="15.75" customHeight="1" x14ac:dyDescent="0.3">
      <c r="A381" s="35" t="s">
        <v>1003</v>
      </c>
      <c r="B381" s="35" t="s">
        <v>1004</v>
      </c>
      <c r="C381" s="35" t="s">
        <v>62</v>
      </c>
      <c r="D381" s="35" t="s">
        <v>31</v>
      </c>
      <c r="E381" s="35" t="s">
        <v>25</v>
      </c>
      <c r="F381" s="35">
        <v>12</v>
      </c>
      <c r="G381" s="35">
        <v>723.31</v>
      </c>
      <c r="H381" s="35">
        <v>8679.7199999999993</v>
      </c>
      <c r="I381" s="35">
        <v>7599.2</v>
      </c>
      <c r="J381" s="35">
        <v>1080.52</v>
      </c>
      <c r="K381" s="37">
        <v>45556</v>
      </c>
      <c r="L381" s="37">
        <v>45566</v>
      </c>
      <c r="M381" s="35" t="s">
        <v>69</v>
      </c>
      <c r="N381" s="35">
        <v>4</v>
      </c>
      <c r="O381" s="35" t="s">
        <v>683</v>
      </c>
      <c r="P381" s="35">
        <v>7.5</v>
      </c>
    </row>
    <row r="382" spans="1:16" ht="15.75" customHeight="1" x14ac:dyDescent="0.3">
      <c r="A382" s="35" t="s">
        <v>1005</v>
      </c>
      <c r="B382" s="35" t="s">
        <v>1006</v>
      </c>
      <c r="C382" s="35" t="s">
        <v>88</v>
      </c>
      <c r="D382" s="35" t="s">
        <v>31</v>
      </c>
      <c r="E382" s="35" t="s">
        <v>20</v>
      </c>
      <c r="F382" s="35">
        <v>3</v>
      </c>
      <c r="G382" s="35">
        <v>1754</v>
      </c>
      <c r="H382" s="35">
        <v>5262</v>
      </c>
      <c r="I382" s="35">
        <v>2803.72</v>
      </c>
      <c r="J382" s="35">
        <v>2458.2800000000002</v>
      </c>
      <c r="K382" s="37">
        <v>45833</v>
      </c>
      <c r="L382" s="37">
        <v>45836</v>
      </c>
      <c r="M382" s="35" t="s">
        <v>26</v>
      </c>
      <c r="N382" s="35">
        <v>1</v>
      </c>
      <c r="O382" s="35" t="s">
        <v>460</v>
      </c>
      <c r="P382" s="35">
        <v>8.5</v>
      </c>
    </row>
    <row r="383" spans="1:16" ht="15.75" customHeight="1" x14ac:dyDescent="0.3">
      <c r="A383" s="35" t="s">
        <v>1007</v>
      </c>
      <c r="B383" s="35" t="s">
        <v>1008</v>
      </c>
      <c r="C383" s="35" t="s">
        <v>88</v>
      </c>
      <c r="D383" s="35" t="s">
        <v>31</v>
      </c>
      <c r="E383" s="35" t="s">
        <v>44</v>
      </c>
      <c r="F383" s="35">
        <v>18</v>
      </c>
      <c r="G383" s="35">
        <v>4790.66</v>
      </c>
      <c r="H383" s="35">
        <v>86231.88</v>
      </c>
      <c r="I383" s="35">
        <v>45012.44</v>
      </c>
      <c r="J383" s="35">
        <v>41219.440000000002</v>
      </c>
      <c r="K383" s="37">
        <v>45689</v>
      </c>
      <c r="L383" s="37">
        <v>45691</v>
      </c>
      <c r="M383" s="35" t="s">
        <v>26</v>
      </c>
      <c r="N383" s="35">
        <v>4</v>
      </c>
      <c r="O383" s="35" t="s">
        <v>525</v>
      </c>
      <c r="P383" s="35">
        <v>7.9</v>
      </c>
    </row>
    <row r="384" spans="1:16" ht="15.75" customHeight="1" x14ac:dyDescent="0.3">
      <c r="A384" s="35" t="s">
        <v>1009</v>
      </c>
      <c r="B384" s="35" t="s">
        <v>1010</v>
      </c>
      <c r="C384" s="35" t="s">
        <v>62</v>
      </c>
      <c r="D384" s="35" t="s">
        <v>31</v>
      </c>
      <c r="E384" s="35" t="s">
        <v>25</v>
      </c>
      <c r="F384" s="35">
        <v>11</v>
      </c>
      <c r="G384" s="35">
        <v>920.37</v>
      </c>
      <c r="H384" s="35">
        <v>10124.07</v>
      </c>
      <c r="I384" s="35">
        <v>7005.91</v>
      </c>
      <c r="J384" s="35">
        <v>3118.16</v>
      </c>
      <c r="K384" s="37">
        <v>45694</v>
      </c>
      <c r="L384" s="37">
        <v>45699</v>
      </c>
      <c r="M384" s="35" t="s">
        <v>45</v>
      </c>
      <c r="N384" s="35">
        <v>5</v>
      </c>
      <c r="O384" s="35" t="s">
        <v>22</v>
      </c>
      <c r="P384" s="35">
        <v>9.5</v>
      </c>
    </row>
    <row r="385" spans="1:16" ht="15.75" customHeight="1" x14ac:dyDescent="0.3">
      <c r="A385" s="35" t="s">
        <v>1011</v>
      </c>
      <c r="B385" s="35" t="s">
        <v>1012</v>
      </c>
      <c r="C385" s="35" t="s">
        <v>42</v>
      </c>
      <c r="D385" s="35" t="s">
        <v>43</v>
      </c>
      <c r="E385" s="35" t="s">
        <v>32</v>
      </c>
      <c r="F385" s="35">
        <v>6</v>
      </c>
      <c r="G385" s="35">
        <v>4528.8100000000004</v>
      </c>
      <c r="H385" s="35">
        <v>27172.86</v>
      </c>
      <c r="I385" s="35">
        <v>14974.17</v>
      </c>
      <c r="J385" s="35">
        <v>12198.69</v>
      </c>
      <c r="K385" s="37">
        <v>45910</v>
      </c>
      <c r="L385" s="37">
        <v>45911</v>
      </c>
      <c r="M385" s="35" t="s">
        <v>58</v>
      </c>
      <c r="N385" s="35">
        <v>2</v>
      </c>
      <c r="O385" s="35" t="s">
        <v>455</v>
      </c>
      <c r="P385" s="35">
        <v>6.9</v>
      </c>
    </row>
    <row r="386" spans="1:16" ht="15.75" customHeight="1" x14ac:dyDescent="0.3">
      <c r="A386" s="35" t="s">
        <v>1013</v>
      </c>
      <c r="B386" s="35" t="s">
        <v>1014</v>
      </c>
      <c r="C386" s="35" t="s">
        <v>139</v>
      </c>
      <c r="D386" s="35" t="s">
        <v>31</v>
      </c>
      <c r="E386" s="35" t="s">
        <v>44</v>
      </c>
      <c r="F386" s="35">
        <v>14</v>
      </c>
      <c r="G386" s="35">
        <v>2649.44</v>
      </c>
      <c r="H386" s="35">
        <v>37092.160000000003</v>
      </c>
      <c r="I386" s="35">
        <v>30975.58</v>
      </c>
      <c r="J386" s="35">
        <v>6116.58</v>
      </c>
      <c r="K386" s="37">
        <v>46085</v>
      </c>
      <c r="L386" s="37">
        <v>46092</v>
      </c>
      <c r="M386" s="35" t="s">
        <v>69</v>
      </c>
      <c r="N386" s="35">
        <v>5</v>
      </c>
      <c r="O386" s="35" t="s">
        <v>749</v>
      </c>
      <c r="P386" s="35">
        <v>8.6</v>
      </c>
    </row>
    <row r="387" spans="1:16" ht="15.75" customHeight="1" x14ac:dyDescent="0.3">
      <c r="A387" s="35" t="s">
        <v>1015</v>
      </c>
      <c r="B387" s="35" t="s">
        <v>1016</v>
      </c>
      <c r="C387" s="35" t="s">
        <v>95</v>
      </c>
      <c r="D387" s="35" t="s">
        <v>19</v>
      </c>
      <c r="E387" s="35" t="s">
        <v>44</v>
      </c>
      <c r="F387" s="35">
        <v>19</v>
      </c>
      <c r="G387" s="35">
        <v>1098.1500000000001</v>
      </c>
      <c r="H387" s="35">
        <v>20864.849999999999</v>
      </c>
      <c r="I387" s="35">
        <v>13031.5</v>
      </c>
      <c r="J387" s="35">
        <v>7833.35</v>
      </c>
      <c r="K387" s="37">
        <v>45508</v>
      </c>
      <c r="L387" s="37">
        <v>45517</v>
      </c>
      <c r="M387" s="35" t="s">
        <v>50</v>
      </c>
      <c r="N387" s="35">
        <v>5</v>
      </c>
      <c r="O387" s="35" t="s">
        <v>1017</v>
      </c>
      <c r="P387" s="35">
        <v>6.6</v>
      </c>
    </row>
    <row r="388" spans="1:16" ht="15.75" customHeight="1" x14ac:dyDescent="0.3">
      <c r="A388" s="35" t="s">
        <v>1018</v>
      </c>
      <c r="B388" s="35" t="s">
        <v>1019</v>
      </c>
      <c r="C388" s="35" t="s">
        <v>95</v>
      </c>
      <c r="D388" s="35" t="s">
        <v>19</v>
      </c>
      <c r="E388" s="35" t="s">
        <v>20</v>
      </c>
      <c r="F388" s="35">
        <v>9</v>
      </c>
      <c r="G388" s="35">
        <v>3011.34</v>
      </c>
      <c r="H388" s="35">
        <v>27102.06</v>
      </c>
      <c r="I388" s="35">
        <v>13869.57</v>
      </c>
      <c r="J388" s="35">
        <v>13232.49</v>
      </c>
      <c r="K388" s="37">
        <v>45458</v>
      </c>
      <c r="L388" s="37">
        <v>45466</v>
      </c>
      <c r="M388" s="35" t="s">
        <v>33</v>
      </c>
      <c r="N388" s="35">
        <v>3</v>
      </c>
      <c r="O388" s="35" t="s">
        <v>251</v>
      </c>
      <c r="P388" s="35">
        <v>8.1</v>
      </c>
    </row>
    <row r="389" spans="1:16" ht="15.75" customHeight="1" x14ac:dyDescent="0.3">
      <c r="A389" s="35" t="s">
        <v>1020</v>
      </c>
      <c r="B389" s="35" t="s">
        <v>1021</v>
      </c>
      <c r="C389" s="35" t="s">
        <v>168</v>
      </c>
      <c r="D389" s="35" t="s">
        <v>43</v>
      </c>
      <c r="E389" s="35" t="s">
        <v>25</v>
      </c>
      <c r="F389" s="35">
        <v>19</v>
      </c>
      <c r="G389" s="35">
        <v>1423.02</v>
      </c>
      <c r="H389" s="35">
        <v>27037.38</v>
      </c>
      <c r="I389" s="35">
        <v>18096.7</v>
      </c>
      <c r="J389" s="35">
        <v>8940.68</v>
      </c>
      <c r="K389" s="37">
        <v>45975</v>
      </c>
      <c r="L389" s="37">
        <v>45983</v>
      </c>
      <c r="M389" s="35" t="s">
        <v>58</v>
      </c>
      <c r="N389" s="35">
        <v>1</v>
      </c>
      <c r="O389" s="35" t="s">
        <v>663</v>
      </c>
      <c r="P389" s="35">
        <v>8.6</v>
      </c>
    </row>
    <row r="390" spans="1:16" ht="15.75" customHeight="1" x14ac:dyDescent="0.3">
      <c r="A390" s="35" t="s">
        <v>1022</v>
      </c>
      <c r="B390" s="35" t="s">
        <v>1023</v>
      </c>
      <c r="C390" s="35" t="s">
        <v>49</v>
      </c>
      <c r="D390" s="35" t="s">
        <v>43</v>
      </c>
      <c r="E390" s="35" t="s">
        <v>44</v>
      </c>
      <c r="F390" s="35">
        <v>19</v>
      </c>
      <c r="G390" s="35">
        <v>4866.8</v>
      </c>
      <c r="H390" s="35">
        <v>92469.2</v>
      </c>
      <c r="I390" s="35">
        <v>72056</v>
      </c>
      <c r="J390" s="35">
        <v>20413.2</v>
      </c>
      <c r="K390" s="37">
        <v>45515</v>
      </c>
      <c r="L390" s="37">
        <v>45524</v>
      </c>
      <c r="M390" s="35" t="s">
        <v>38</v>
      </c>
      <c r="N390" s="35">
        <v>5</v>
      </c>
      <c r="O390" s="35" t="s">
        <v>610</v>
      </c>
      <c r="P390" s="35">
        <v>9.8000000000000007</v>
      </c>
    </row>
    <row r="391" spans="1:16" ht="15.75" customHeight="1" x14ac:dyDescent="0.3">
      <c r="A391" s="35" t="s">
        <v>1024</v>
      </c>
      <c r="B391" s="35" t="s">
        <v>1025</v>
      </c>
      <c r="C391" s="35" t="s">
        <v>168</v>
      </c>
      <c r="D391" s="35" t="s">
        <v>43</v>
      </c>
      <c r="E391" s="35" t="s">
        <v>32</v>
      </c>
      <c r="F391" s="35">
        <v>17</v>
      </c>
      <c r="G391" s="35">
        <v>4473.1400000000003</v>
      </c>
      <c r="H391" s="35">
        <v>76043.38</v>
      </c>
      <c r="I391" s="35">
        <v>57069.56</v>
      </c>
      <c r="J391" s="35">
        <v>18973.82</v>
      </c>
      <c r="K391" s="37">
        <v>45464</v>
      </c>
      <c r="L391" s="37">
        <v>45470</v>
      </c>
      <c r="M391" s="35" t="s">
        <v>123</v>
      </c>
      <c r="N391" s="35">
        <v>3</v>
      </c>
      <c r="O391" s="35" t="s">
        <v>1026</v>
      </c>
      <c r="P391" s="35">
        <v>6.2</v>
      </c>
    </row>
    <row r="392" spans="1:16" ht="15.75" customHeight="1" x14ac:dyDescent="0.3">
      <c r="A392" s="35" t="s">
        <v>1027</v>
      </c>
      <c r="B392" s="35" t="s">
        <v>1028</v>
      </c>
      <c r="C392" s="35" t="s">
        <v>95</v>
      </c>
      <c r="D392" s="35" t="s">
        <v>19</v>
      </c>
      <c r="E392" s="35" t="s">
        <v>44</v>
      </c>
      <c r="F392" s="35">
        <v>18</v>
      </c>
      <c r="G392" s="35">
        <v>4231.6400000000003</v>
      </c>
      <c r="H392" s="35">
        <v>76169.52</v>
      </c>
      <c r="I392" s="35">
        <v>40121.4</v>
      </c>
      <c r="J392" s="35">
        <v>36048.120000000003</v>
      </c>
      <c r="K392" s="37">
        <v>46069</v>
      </c>
      <c r="L392" s="37">
        <v>46078</v>
      </c>
      <c r="M392" s="35" t="s">
        <v>45</v>
      </c>
      <c r="N392" s="35">
        <v>2</v>
      </c>
      <c r="O392" s="35" t="s">
        <v>208</v>
      </c>
      <c r="P392" s="35">
        <v>7.8</v>
      </c>
    </row>
    <row r="393" spans="1:16" ht="15.75" customHeight="1" x14ac:dyDescent="0.3">
      <c r="A393" s="35" t="s">
        <v>1029</v>
      </c>
      <c r="B393" s="35" t="s">
        <v>1030</v>
      </c>
      <c r="C393" s="35" t="s">
        <v>195</v>
      </c>
      <c r="D393" s="35" t="s">
        <v>43</v>
      </c>
      <c r="E393" s="35" t="s">
        <v>44</v>
      </c>
      <c r="F393" s="35">
        <v>16</v>
      </c>
      <c r="G393" s="35">
        <v>373.21</v>
      </c>
      <c r="H393" s="35">
        <v>5971.36</v>
      </c>
      <c r="I393" s="35">
        <v>4634.9799999999996</v>
      </c>
      <c r="J393" s="35">
        <v>1336.38</v>
      </c>
      <c r="K393" s="37">
        <v>45868</v>
      </c>
      <c r="L393" s="37">
        <v>45873</v>
      </c>
      <c r="M393" s="35" t="s">
        <v>33</v>
      </c>
      <c r="N393" s="35">
        <v>1</v>
      </c>
      <c r="O393" s="35" t="s">
        <v>645</v>
      </c>
      <c r="P393" s="35">
        <v>7.9</v>
      </c>
    </row>
    <row r="394" spans="1:16" ht="15.75" customHeight="1" x14ac:dyDescent="0.3">
      <c r="A394" s="35" t="s">
        <v>1031</v>
      </c>
      <c r="B394" s="35" t="s">
        <v>1032</v>
      </c>
      <c r="C394" s="35" t="s">
        <v>88</v>
      </c>
      <c r="D394" s="35" t="s">
        <v>31</v>
      </c>
      <c r="E394" s="35" t="s">
        <v>32</v>
      </c>
      <c r="F394" s="35">
        <v>4</v>
      </c>
      <c r="G394" s="35">
        <v>4042.39</v>
      </c>
      <c r="H394" s="35">
        <v>16169.56</v>
      </c>
      <c r="I394" s="35">
        <v>12013.57</v>
      </c>
      <c r="J394" s="35">
        <v>4155.99</v>
      </c>
      <c r="K394" s="37">
        <v>45626</v>
      </c>
      <c r="L394" s="37">
        <v>45628</v>
      </c>
      <c r="M394" s="35" t="s">
        <v>38</v>
      </c>
      <c r="N394" s="35">
        <v>4</v>
      </c>
      <c r="O394" s="35" t="s">
        <v>108</v>
      </c>
      <c r="P394" s="35">
        <v>6.5</v>
      </c>
    </row>
    <row r="395" spans="1:16" ht="15.75" customHeight="1" x14ac:dyDescent="0.3">
      <c r="A395" s="35" t="s">
        <v>1033</v>
      </c>
      <c r="B395" s="35" t="s">
        <v>1034</v>
      </c>
      <c r="C395" s="35" t="s">
        <v>95</v>
      </c>
      <c r="D395" s="35" t="s">
        <v>19</v>
      </c>
      <c r="E395" s="35" t="s">
        <v>32</v>
      </c>
      <c r="F395" s="35">
        <v>10</v>
      </c>
      <c r="G395" s="35">
        <v>3919.53</v>
      </c>
      <c r="H395" s="35">
        <v>39195.300000000003</v>
      </c>
      <c r="I395" s="35">
        <v>25982.09</v>
      </c>
      <c r="J395" s="35">
        <v>13213.21</v>
      </c>
      <c r="K395" s="37">
        <v>45555</v>
      </c>
      <c r="L395" s="37">
        <v>45558</v>
      </c>
      <c r="M395" s="35" t="s">
        <v>50</v>
      </c>
      <c r="N395" s="35">
        <v>1</v>
      </c>
      <c r="O395" s="35" t="s">
        <v>1035</v>
      </c>
      <c r="P395" s="35">
        <v>7.9</v>
      </c>
    </row>
    <row r="396" spans="1:16" ht="15.75" customHeight="1" x14ac:dyDescent="0.3">
      <c r="A396" s="35" t="s">
        <v>1036</v>
      </c>
      <c r="B396" s="35" t="s">
        <v>1037</v>
      </c>
      <c r="C396" s="35" t="s">
        <v>62</v>
      </c>
      <c r="D396" s="35" t="s">
        <v>31</v>
      </c>
      <c r="E396" s="35" t="s">
        <v>32</v>
      </c>
      <c r="F396" s="35">
        <v>12</v>
      </c>
      <c r="G396" s="35">
        <v>1969.65</v>
      </c>
      <c r="H396" s="35">
        <v>23635.8</v>
      </c>
      <c r="I396" s="35">
        <v>17748.52</v>
      </c>
      <c r="J396" s="35">
        <v>5887.28</v>
      </c>
      <c r="K396" s="37">
        <v>45534</v>
      </c>
      <c r="L396" s="37">
        <v>45538</v>
      </c>
      <c r="M396" s="35" t="s">
        <v>21</v>
      </c>
      <c r="N396" s="35">
        <v>3</v>
      </c>
      <c r="O396" s="35" t="s">
        <v>148</v>
      </c>
      <c r="P396" s="35">
        <v>7.3</v>
      </c>
    </row>
    <row r="397" spans="1:16" ht="15.75" customHeight="1" x14ac:dyDescent="0.3">
      <c r="A397" s="35" t="s">
        <v>1038</v>
      </c>
      <c r="B397" s="35" t="s">
        <v>1039</v>
      </c>
      <c r="C397" s="35" t="s">
        <v>95</v>
      </c>
      <c r="D397" s="35" t="s">
        <v>19</v>
      </c>
      <c r="E397" s="35" t="s">
        <v>32</v>
      </c>
      <c r="F397" s="35">
        <v>4</v>
      </c>
      <c r="G397" s="35">
        <v>1839.85</v>
      </c>
      <c r="H397" s="35">
        <v>7359.4</v>
      </c>
      <c r="I397" s="35">
        <v>4581.92</v>
      </c>
      <c r="J397" s="35">
        <v>2777.48</v>
      </c>
      <c r="K397" s="37">
        <v>45445</v>
      </c>
      <c r="L397" s="37">
        <v>45455</v>
      </c>
      <c r="M397" s="35" t="s">
        <v>38</v>
      </c>
      <c r="N397" s="35">
        <v>5</v>
      </c>
      <c r="O397" s="35" t="s">
        <v>375</v>
      </c>
      <c r="P397" s="35">
        <v>6.2</v>
      </c>
    </row>
    <row r="398" spans="1:16" ht="15.75" customHeight="1" x14ac:dyDescent="0.3">
      <c r="A398" s="35" t="s">
        <v>1040</v>
      </c>
      <c r="B398" s="35" t="s">
        <v>1041</v>
      </c>
      <c r="C398" s="35" t="s">
        <v>219</v>
      </c>
      <c r="D398" s="35" t="s">
        <v>43</v>
      </c>
      <c r="E398" s="35" t="s">
        <v>25</v>
      </c>
      <c r="F398" s="35">
        <v>4</v>
      </c>
      <c r="G398" s="35">
        <v>1739.09</v>
      </c>
      <c r="H398" s="35">
        <v>6956.36</v>
      </c>
      <c r="I398" s="35">
        <v>5234.3100000000004</v>
      </c>
      <c r="J398" s="35">
        <v>1722.05</v>
      </c>
      <c r="K398" s="37">
        <v>45955</v>
      </c>
      <c r="L398" s="37">
        <v>45964</v>
      </c>
      <c r="M398" s="35" t="s">
        <v>45</v>
      </c>
      <c r="N398" s="35">
        <v>3</v>
      </c>
      <c r="O398" s="35" t="s">
        <v>111</v>
      </c>
      <c r="P398" s="35">
        <v>6.1</v>
      </c>
    </row>
    <row r="399" spans="1:16" ht="15.75" customHeight="1" x14ac:dyDescent="0.3">
      <c r="A399" s="35" t="s">
        <v>1042</v>
      </c>
      <c r="B399" s="35" t="s">
        <v>1043</v>
      </c>
      <c r="C399" s="35" t="s">
        <v>88</v>
      </c>
      <c r="D399" s="35" t="s">
        <v>31</v>
      </c>
      <c r="E399" s="35" t="s">
        <v>44</v>
      </c>
      <c r="F399" s="35">
        <v>16</v>
      </c>
      <c r="G399" s="35">
        <v>1063.21</v>
      </c>
      <c r="H399" s="35">
        <v>17011.36</v>
      </c>
      <c r="I399" s="35">
        <v>14356.58</v>
      </c>
      <c r="J399" s="35">
        <v>2654.78</v>
      </c>
      <c r="K399" s="37">
        <v>45915</v>
      </c>
      <c r="L399" s="37">
        <v>45925</v>
      </c>
      <c r="M399" s="35" t="s">
        <v>69</v>
      </c>
      <c r="N399" s="35">
        <v>4</v>
      </c>
      <c r="O399" s="35" t="s">
        <v>370</v>
      </c>
      <c r="P399" s="35">
        <v>8.9</v>
      </c>
    </row>
    <row r="400" spans="1:16" ht="15.75" customHeight="1" x14ac:dyDescent="0.3">
      <c r="A400" s="35" t="s">
        <v>1044</v>
      </c>
      <c r="B400" s="35" t="s">
        <v>1045</v>
      </c>
      <c r="C400" s="35" t="s">
        <v>30</v>
      </c>
      <c r="D400" s="35" t="s">
        <v>31</v>
      </c>
      <c r="E400" s="35" t="s">
        <v>44</v>
      </c>
      <c r="F400" s="35">
        <v>9</v>
      </c>
      <c r="G400" s="35">
        <v>768.39</v>
      </c>
      <c r="H400" s="35">
        <v>6915.51</v>
      </c>
      <c r="I400" s="35">
        <v>5810.33</v>
      </c>
      <c r="J400" s="35">
        <v>1105.18</v>
      </c>
      <c r="K400" s="37">
        <v>46094</v>
      </c>
      <c r="L400" s="37">
        <v>46101</v>
      </c>
      <c r="M400" s="35" t="s">
        <v>26</v>
      </c>
      <c r="N400" s="35">
        <v>3</v>
      </c>
      <c r="O400" s="35" t="s">
        <v>512</v>
      </c>
      <c r="P400" s="35">
        <v>6</v>
      </c>
    </row>
    <row r="401" spans="1:16" ht="15.75" customHeight="1" x14ac:dyDescent="0.3">
      <c r="A401" s="35" t="s">
        <v>1046</v>
      </c>
      <c r="B401" s="35" t="s">
        <v>1047</v>
      </c>
      <c r="C401" s="35" t="s">
        <v>195</v>
      </c>
      <c r="D401" s="35" t="s">
        <v>43</v>
      </c>
      <c r="E401" s="35" t="s">
        <v>25</v>
      </c>
      <c r="F401" s="35">
        <v>4</v>
      </c>
      <c r="G401" s="35">
        <v>1322.22</v>
      </c>
      <c r="H401" s="35">
        <v>5288.88</v>
      </c>
      <c r="I401" s="35">
        <v>2657.5</v>
      </c>
      <c r="J401" s="35">
        <v>2631.38</v>
      </c>
      <c r="K401" s="37">
        <v>45723</v>
      </c>
      <c r="L401" s="37">
        <v>45725</v>
      </c>
      <c r="M401" s="35" t="s">
        <v>45</v>
      </c>
      <c r="N401" s="35">
        <v>4</v>
      </c>
      <c r="O401" s="35" t="s">
        <v>1048</v>
      </c>
      <c r="P401" s="35">
        <v>8.1999999999999993</v>
      </c>
    </row>
    <row r="402" spans="1:16" ht="15.75" customHeight="1" x14ac:dyDescent="0.3">
      <c r="A402" s="35" t="s">
        <v>1049</v>
      </c>
      <c r="B402" s="35" t="s">
        <v>1050</v>
      </c>
      <c r="C402" s="35" t="s">
        <v>57</v>
      </c>
      <c r="D402" s="35" t="s">
        <v>19</v>
      </c>
      <c r="E402" s="35" t="s">
        <v>32</v>
      </c>
      <c r="F402" s="35">
        <v>18</v>
      </c>
      <c r="G402" s="35">
        <v>4808.6499999999996</v>
      </c>
      <c r="H402" s="35">
        <v>86555.7</v>
      </c>
      <c r="I402" s="35">
        <v>63151.39</v>
      </c>
      <c r="J402" s="35">
        <v>23404.31</v>
      </c>
      <c r="K402" s="37">
        <v>45451</v>
      </c>
      <c r="L402" s="37">
        <v>45459</v>
      </c>
      <c r="M402" s="35" t="s">
        <v>50</v>
      </c>
      <c r="N402" s="35">
        <v>2</v>
      </c>
      <c r="O402" s="35" t="s">
        <v>22</v>
      </c>
      <c r="P402" s="35">
        <v>8.6</v>
      </c>
    </row>
    <row r="403" spans="1:16" ht="15.75" customHeight="1" x14ac:dyDescent="0.3">
      <c r="A403" s="35" t="s">
        <v>1051</v>
      </c>
      <c r="B403" s="35" t="s">
        <v>1052</v>
      </c>
      <c r="C403" s="35" t="s">
        <v>139</v>
      </c>
      <c r="D403" s="35" t="s">
        <v>31</v>
      </c>
      <c r="E403" s="35" t="s">
        <v>20</v>
      </c>
      <c r="F403" s="35">
        <v>18</v>
      </c>
      <c r="G403" s="35">
        <v>717.4</v>
      </c>
      <c r="H403" s="35">
        <v>12913.2</v>
      </c>
      <c r="I403" s="35">
        <v>6783.19</v>
      </c>
      <c r="J403" s="35">
        <v>6130.01</v>
      </c>
      <c r="K403" s="37">
        <v>46155</v>
      </c>
      <c r="L403" s="37">
        <v>46165</v>
      </c>
      <c r="M403" s="35" t="s">
        <v>50</v>
      </c>
      <c r="N403" s="35">
        <v>3</v>
      </c>
      <c r="O403" s="35" t="s">
        <v>499</v>
      </c>
      <c r="P403" s="35">
        <v>8</v>
      </c>
    </row>
    <row r="404" spans="1:16" ht="15.75" customHeight="1" x14ac:dyDescent="0.3">
      <c r="A404" s="35" t="s">
        <v>1053</v>
      </c>
      <c r="B404" s="35" t="s">
        <v>1054</v>
      </c>
      <c r="C404" s="35" t="s">
        <v>88</v>
      </c>
      <c r="D404" s="35" t="s">
        <v>31</v>
      </c>
      <c r="E404" s="35" t="s">
        <v>44</v>
      </c>
      <c r="F404" s="35">
        <v>19</v>
      </c>
      <c r="G404" s="35">
        <v>1465.34</v>
      </c>
      <c r="H404" s="35">
        <v>27841.46</v>
      </c>
      <c r="I404" s="35">
        <v>23695.33</v>
      </c>
      <c r="J404" s="35">
        <v>4146.13</v>
      </c>
      <c r="K404" s="37">
        <v>46043</v>
      </c>
      <c r="L404" s="37">
        <v>46052</v>
      </c>
      <c r="M404" s="35" t="s">
        <v>69</v>
      </c>
      <c r="N404" s="35">
        <v>1</v>
      </c>
      <c r="O404" s="35" t="s">
        <v>136</v>
      </c>
      <c r="P404" s="35">
        <v>6.3</v>
      </c>
    </row>
    <row r="405" spans="1:16" ht="15.75" customHeight="1" x14ac:dyDescent="0.3">
      <c r="A405" s="35" t="s">
        <v>1055</v>
      </c>
      <c r="B405" s="35" t="s">
        <v>1056</v>
      </c>
      <c r="C405" s="35" t="s">
        <v>72</v>
      </c>
      <c r="D405" s="35" t="s">
        <v>31</v>
      </c>
      <c r="E405" s="35" t="s">
        <v>44</v>
      </c>
      <c r="F405" s="35">
        <v>11</v>
      </c>
      <c r="G405" s="35">
        <v>857.29</v>
      </c>
      <c r="H405" s="35">
        <v>9430.19</v>
      </c>
      <c r="I405" s="35">
        <v>7859.35</v>
      </c>
      <c r="J405" s="35">
        <v>1570.84</v>
      </c>
      <c r="K405" s="37">
        <v>45918</v>
      </c>
      <c r="L405" s="37">
        <v>45925</v>
      </c>
      <c r="M405" s="35" t="s">
        <v>33</v>
      </c>
      <c r="N405" s="35">
        <v>2</v>
      </c>
      <c r="O405" s="35" t="s">
        <v>1057</v>
      </c>
      <c r="P405" s="35">
        <v>8.1999999999999993</v>
      </c>
    </row>
    <row r="406" spans="1:16" ht="15.75" customHeight="1" x14ac:dyDescent="0.3">
      <c r="A406" s="35" t="s">
        <v>1058</v>
      </c>
      <c r="B406" s="35" t="s">
        <v>1059</v>
      </c>
      <c r="C406" s="35" t="s">
        <v>49</v>
      </c>
      <c r="D406" s="35" t="s">
        <v>43</v>
      </c>
      <c r="E406" s="35" t="s">
        <v>25</v>
      </c>
      <c r="F406" s="35">
        <v>7</v>
      </c>
      <c r="G406" s="35">
        <v>1681.64</v>
      </c>
      <c r="H406" s="35">
        <v>11771.48</v>
      </c>
      <c r="I406" s="35">
        <v>7999.83</v>
      </c>
      <c r="J406" s="35">
        <v>3771.65</v>
      </c>
      <c r="K406" s="37">
        <v>45444</v>
      </c>
      <c r="L406" s="37">
        <v>45454</v>
      </c>
      <c r="M406" s="35" t="s">
        <v>123</v>
      </c>
      <c r="N406" s="35">
        <v>2</v>
      </c>
      <c r="O406" s="35" t="s">
        <v>1060</v>
      </c>
      <c r="P406" s="35">
        <v>6.1</v>
      </c>
    </row>
    <row r="407" spans="1:16" ht="15.75" customHeight="1" x14ac:dyDescent="0.3">
      <c r="A407" s="35" t="s">
        <v>1061</v>
      </c>
      <c r="B407" s="35" t="s">
        <v>1062</v>
      </c>
      <c r="C407" s="35" t="s">
        <v>62</v>
      </c>
      <c r="D407" s="35" t="s">
        <v>31</v>
      </c>
      <c r="E407" s="35" t="s">
        <v>25</v>
      </c>
      <c r="F407" s="35">
        <v>5</v>
      </c>
      <c r="G407" s="35">
        <v>1694.02</v>
      </c>
      <c r="H407" s="35">
        <v>8470.1</v>
      </c>
      <c r="I407" s="35">
        <v>5692.98</v>
      </c>
      <c r="J407" s="35">
        <v>2777.12</v>
      </c>
      <c r="K407" s="37">
        <v>46099</v>
      </c>
      <c r="L407" s="37">
        <v>46103</v>
      </c>
      <c r="M407" s="35" t="s">
        <v>33</v>
      </c>
      <c r="N407" s="35">
        <v>3</v>
      </c>
      <c r="O407" s="35" t="s">
        <v>145</v>
      </c>
      <c r="P407" s="35">
        <v>6.8</v>
      </c>
    </row>
    <row r="408" spans="1:16" ht="15.75" customHeight="1" x14ac:dyDescent="0.3">
      <c r="A408" s="35" t="s">
        <v>1063</v>
      </c>
      <c r="B408" s="35" t="s">
        <v>1064</v>
      </c>
      <c r="C408" s="35" t="s">
        <v>30</v>
      </c>
      <c r="D408" s="35" t="s">
        <v>31</v>
      </c>
      <c r="E408" s="35" t="s">
        <v>44</v>
      </c>
      <c r="F408" s="35">
        <v>7</v>
      </c>
      <c r="G408" s="35">
        <v>3932.42</v>
      </c>
      <c r="H408" s="35">
        <v>27526.94</v>
      </c>
      <c r="I408" s="35">
        <v>20033.25</v>
      </c>
      <c r="J408" s="35">
        <v>7493.69</v>
      </c>
      <c r="K408" s="37">
        <v>45663</v>
      </c>
      <c r="L408" s="37">
        <v>45664</v>
      </c>
      <c r="M408" s="35" t="s">
        <v>181</v>
      </c>
      <c r="N408" s="35">
        <v>4</v>
      </c>
      <c r="O408" s="35" t="s">
        <v>475</v>
      </c>
      <c r="P408" s="35">
        <v>7.5</v>
      </c>
    </row>
    <row r="409" spans="1:16" ht="15.75" customHeight="1" x14ac:dyDescent="0.3">
      <c r="A409" s="35" t="s">
        <v>1065</v>
      </c>
      <c r="B409" s="35" t="s">
        <v>1066</v>
      </c>
      <c r="C409" s="35" t="s">
        <v>144</v>
      </c>
      <c r="D409" s="35" t="s">
        <v>19</v>
      </c>
      <c r="E409" s="35" t="s">
        <v>32</v>
      </c>
      <c r="F409" s="35">
        <v>13</v>
      </c>
      <c r="G409" s="35">
        <v>853.12</v>
      </c>
      <c r="H409" s="35">
        <v>11090.56</v>
      </c>
      <c r="I409" s="35">
        <v>6087.94</v>
      </c>
      <c r="J409" s="35">
        <v>5002.62</v>
      </c>
      <c r="K409" s="37">
        <v>45587</v>
      </c>
      <c r="L409" s="37">
        <v>45592</v>
      </c>
      <c r="M409" s="35" t="s">
        <v>33</v>
      </c>
      <c r="N409" s="35">
        <v>5</v>
      </c>
      <c r="O409" s="35" t="s">
        <v>1067</v>
      </c>
      <c r="P409" s="35">
        <v>7.6</v>
      </c>
    </row>
    <row r="410" spans="1:16" ht="15.75" customHeight="1" x14ac:dyDescent="0.3">
      <c r="A410" s="35" t="s">
        <v>1068</v>
      </c>
      <c r="B410" s="35" t="s">
        <v>1069</v>
      </c>
      <c r="C410" s="35" t="s">
        <v>37</v>
      </c>
      <c r="D410" s="35" t="s">
        <v>19</v>
      </c>
      <c r="E410" s="35" t="s">
        <v>20</v>
      </c>
      <c r="F410" s="35">
        <v>3</v>
      </c>
      <c r="G410" s="35">
        <v>1189.3900000000001</v>
      </c>
      <c r="H410" s="35">
        <v>3568.17</v>
      </c>
      <c r="I410" s="35">
        <v>2766.5</v>
      </c>
      <c r="J410" s="35">
        <v>801.67</v>
      </c>
      <c r="K410" s="37">
        <v>45522</v>
      </c>
      <c r="L410" s="37">
        <v>45525</v>
      </c>
      <c r="M410" s="35" t="s">
        <v>21</v>
      </c>
      <c r="N410" s="35">
        <v>5</v>
      </c>
      <c r="O410" s="35" t="s">
        <v>391</v>
      </c>
      <c r="P410" s="35">
        <v>6.8</v>
      </c>
    </row>
    <row r="411" spans="1:16" ht="15.75" customHeight="1" x14ac:dyDescent="0.3">
      <c r="A411" s="35" t="s">
        <v>1070</v>
      </c>
      <c r="B411" s="35" t="s">
        <v>1071</v>
      </c>
      <c r="C411" s="35" t="s">
        <v>195</v>
      </c>
      <c r="D411" s="35" t="s">
        <v>43</v>
      </c>
      <c r="E411" s="35" t="s">
        <v>32</v>
      </c>
      <c r="F411" s="35">
        <v>12</v>
      </c>
      <c r="G411" s="35">
        <v>3649.76</v>
      </c>
      <c r="H411" s="35">
        <v>43797.120000000003</v>
      </c>
      <c r="I411" s="35">
        <v>27345.07</v>
      </c>
      <c r="J411" s="35">
        <v>16452.05</v>
      </c>
      <c r="K411" s="37">
        <v>45970</v>
      </c>
      <c r="L411" s="37">
        <v>45978</v>
      </c>
      <c r="M411" s="35" t="s">
        <v>26</v>
      </c>
      <c r="N411" s="35">
        <v>4</v>
      </c>
      <c r="O411" s="35" t="s">
        <v>232</v>
      </c>
      <c r="P411" s="35">
        <v>9</v>
      </c>
    </row>
    <row r="412" spans="1:16" ht="15.75" customHeight="1" x14ac:dyDescent="0.3">
      <c r="A412" s="35" t="s">
        <v>1072</v>
      </c>
      <c r="B412" s="35" t="s">
        <v>1073</v>
      </c>
      <c r="C412" s="35" t="s">
        <v>168</v>
      </c>
      <c r="D412" s="35" t="s">
        <v>43</v>
      </c>
      <c r="E412" s="35" t="s">
        <v>25</v>
      </c>
      <c r="F412" s="35">
        <v>10</v>
      </c>
      <c r="G412" s="35">
        <v>904.9</v>
      </c>
      <c r="H412" s="35">
        <v>9049</v>
      </c>
      <c r="I412" s="35">
        <v>4731.6099999999997</v>
      </c>
      <c r="J412" s="35">
        <v>4317.3900000000003</v>
      </c>
      <c r="K412" s="37">
        <v>45458</v>
      </c>
      <c r="L412" s="37">
        <v>45465</v>
      </c>
      <c r="M412" s="35" t="s">
        <v>123</v>
      </c>
      <c r="N412" s="35">
        <v>5</v>
      </c>
      <c r="O412" s="35" t="s">
        <v>580</v>
      </c>
      <c r="P412" s="35">
        <v>7.5</v>
      </c>
    </row>
    <row r="413" spans="1:16" ht="15.75" customHeight="1" x14ac:dyDescent="0.3">
      <c r="A413" s="35" t="s">
        <v>1074</v>
      </c>
      <c r="B413" s="35" t="s">
        <v>1075</v>
      </c>
      <c r="C413" s="35" t="s">
        <v>42</v>
      </c>
      <c r="D413" s="35" t="s">
        <v>43</v>
      </c>
      <c r="E413" s="35" t="s">
        <v>20</v>
      </c>
      <c r="F413" s="35">
        <v>16</v>
      </c>
      <c r="G413" s="35">
        <v>4878.66</v>
      </c>
      <c r="H413" s="35">
        <v>78058.559999999998</v>
      </c>
      <c r="I413" s="35">
        <v>66345.23</v>
      </c>
      <c r="J413" s="35">
        <v>11713.33</v>
      </c>
      <c r="K413" s="37">
        <v>45535</v>
      </c>
      <c r="L413" s="37">
        <v>45543</v>
      </c>
      <c r="M413" s="35" t="s">
        <v>26</v>
      </c>
      <c r="N413" s="35">
        <v>3</v>
      </c>
      <c r="O413" s="35" t="s">
        <v>27</v>
      </c>
      <c r="P413" s="35">
        <v>7.7</v>
      </c>
    </row>
    <row r="414" spans="1:16" ht="15.75" customHeight="1" x14ac:dyDescent="0.3">
      <c r="A414" s="35" t="s">
        <v>1076</v>
      </c>
      <c r="B414" s="35" t="s">
        <v>1077</v>
      </c>
      <c r="C414" s="35" t="s">
        <v>219</v>
      </c>
      <c r="D414" s="35" t="s">
        <v>43</v>
      </c>
      <c r="E414" s="35" t="s">
        <v>44</v>
      </c>
      <c r="F414" s="35">
        <v>9</v>
      </c>
      <c r="G414" s="35">
        <v>4739.7299999999996</v>
      </c>
      <c r="H414" s="35">
        <v>42657.57</v>
      </c>
      <c r="I414" s="35">
        <v>30591.24</v>
      </c>
      <c r="J414" s="35">
        <v>12066.33</v>
      </c>
      <c r="K414" s="37">
        <v>45574</v>
      </c>
      <c r="L414" s="37">
        <v>45580</v>
      </c>
      <c r="M414" s="35" t="s">
        <v>69</v>
      </c>
      <c r="N414" s="35">
        <v>3</v>
      </c>
      <c r="O414" s="35" t="s">
        <v>715</v>
      </c>
      <c r="P414" s="35">
        <v>7.7</v>
      </c>
    </row>
    <row r="415" spans="1:16" ht="15.75" customHeight="1" x14ac:dyDescent="0.3">
      <c r="A415" s="35" t="s">
        <v>1078</v>
      </c>
      <c r="B415" s="35" t="s">
        <v>1079</v>
      </c>
      <c r="C415" s="35" t="s">
        <v>62</v>
      </c>
      <c r="D415" s="35" t="s">
        <v>31</v>
      </c>
      <c r="E415" s="35" t="s">
        <v>25</v>
      </c>
      <c r="F415" s="35">
        <v>15</v>
      </c>
      <c r="G415" s="35">
        <v>1826.98</v>
      </c>
      <c r="H415" s="35">
        <v>27404.7</v>
      </c>
      <c r="I415" s="35">
        <v>13817.55</v>
      </c>
      <c r="J415" s="35">
        <v>13587.15</v>
      </c>
      <c r="K415" s="37">
        <v>45751</v>
      </c>
      <c r="L415" s="37">
        <v>45761</v>
      </c>
      <c r="M415" s="35" t="s">
        <v>50</v>
      </c>
      <c r="N415" s="35">
        <v>5</v>
      </c>
      <c r="O415" s="35" t="s">
        <v>351</v>
      </c>
      <c r="P415" s="35">
        <v>6.5</v>
      </c>
    </row>
    <row r="416" spans="1:16" ht="15.75" customHeight="1" x14ac:dyDescent="0.3">
      <c r="A416" s="35" t="s">
        <v>1080</v>
      </c>
      <c r="B416" s="35" t="s">
        <v>1081</v>
      </c>
      <c r="C416" s="35" t="s">
        <v>88</v>
      </c>
      <c r="D416" s="35" t="s">
        <v>31</v>
      </c>
      <c r="E416" s="35" t="s">
        <v>44</v>
      </c>
      <c r="F416" s="35">
        <v>1</v>
      </c>
      <c r="G416" s="35">
        <v>767.98</v>
      </c>
      <c r="H416" s="35">
        <v>767.98</v>
      </c>
      <c r="I416" s="35">
        <v>400.44</v>
      </c>
      <c r="J416" s="35">
        <v>367.54</v>
      </c>
      <c r="K416" s="37">
        <v>45712</v>
      </c>
      <c r="L416" s="37">
        <v>45722</v>
      </c>
      <c r="M416" s="35" t="s">
        <v>26</v>
      </c>
      <c r="N416" s="35">
        <v>1</v>
      </c>
      <c r="O416" s="35" t="s">
        <v>348</v>
      </c>
      <c r="P416" s="35">
        <v>7.4</v>
      </c>
    </row>
    <row r="417" spans="1:16" ht="15.75" customHeight="1" x14ac:dyDescent="0.3">
      <c r="A417" s="35" t="s">
        <v>1082</v>
      </c>
      <c r="B417" s="35" t="s">
        <v>1083</v>
      </c>
      <c r="C417" s="35" t="s">
        <v>72</v>
      </c>
      <c r="D417" s="35" t="s">
        <v>31</v>
      </c>
      <c r="E417" s="35" t="s">
        <v>20</v>
      </c>
      <c r="F417" s="35">
        <v>19</v>
      </c>
      <c r="G417" s="35">
        <v>345.31</v>
      </c>
      <c r="H417" s="35">
        <v>6560.89</v>
      </c>
      <c r="I417" s="35">
        <v>5534.47</v>
      </c>
      <c r="J417" s="35">
        <v>1026.42</v>
      </c>
      <c r="K417" s="37">
        <v>45452</v>
      </c>
      <c r="L417" s="37">
        <v>45458</v>
      </c>
      <c r="M417" s="35" t="s">
        <v>69</v>
      </c>
      <c r="N417" s="35">
        <v>1</v>
      </c>
      <c r="O417" s="35" t="s">
        <v>223</v>
      </c>
      <c r="P417" s="35">
        <v>8.6999999999999993</v>
      </c>
    </row>
    <row r="418" spans="1:16" ht="15.75" customHeight="1" x14ac:dyDescent="0.3">
      <c r="A418" s="35" t="s">
        <v>1084</v>
      </c>
      <c r="B418" s="35" t="s">
        <v>1085</v>
      </c>
      <c r="C418" s="35" t="s">
        <v>95</v>
      </c>
      <c r="D418" s="35" t="s">
        <v>19</v>
      </c>
      <c r="E418" s="35" t="s">
        <v>25</v>
      </c>
      <c r="F418" s="35">
        <v>7</v>
      </c>
      <c r="G418" s="35">
        <v>3853.98</v>
      </c>
      <c r="H418" s="35">
        <v>26977.86</v>
      </c>
      <c r="I418" s="35">
        <v>19569.650000000001</v>
      </c>
      <c r="J418" s="35">
        <v>7408.21</v>
      </c>
      <c r="K418" s="37">
        <v>45758</v>
      </c>
      <c r="L418" s="37">
        <v>45768</v>
      </c>
      <c r="M418" s="35" t="s">
        <v>50</v>
      </c>
      <c r="N418" s="35">
        <v>2</v>
      </c>
      <c r="O418" s="35" t="s">
        <v>1086</v>
      </c>
      <c r="P418" s="35">
        <v>6.5</v>
      </c>
    </row>
    <row r="419" spans="1:16" ht="15.75" customHeight="1" x14ac:dyDescent="0.3">
      <c r="A419" s="35" t="s">
        <v>1087</v>
      </c>
      <c r="B419" s="35" t="s">
        <v>1088</v>
      </c>
      <c r="C419" s="35" t="s">
        <v>144</v>
      </c>
      <c r="D419" s="35" t="s">
        <v>19</v>
      </c>
      <c r="E419" s="35" t="s">
        <v>20</v>
      </c>
      <c r="F419" s="35">
        <v>2</v>
      </c>
      <c r="G419" s="35">
        <v>3047.23</v>
      </c>
      <c r="H419" s="35">
        <v>6094.46</v>
      </c>
      <c r="I419" s="35">
        <v>5387.65</v>
      </c>
      <c r="J419" s="35">
        <v>706.81</v>
      </c>
      <c r="K419" s="37">
        <v>45700</v>
      </c>
      <c r="L419" s="37">
        <v>45708</v>
      </c>
      <c r="M419" s="35" t="s">
        <v>69</v>
      </c>
      <c r="N419" s="35">
        <v>5</v>
      </c>
      <c r="O419" s="35" t="s">
        <v>455</v>
      </c>
      <c r="P419" s="35">
        <v>8.8000000000000007</v>
      </c>
    </row>
    <row r="420" spans="1:16" ht="15.75" customHeight="1" x14ac:dyDescent="0.3">
      <c r="A420" s="35" t="s">
        <v>1089</v>
      </c>
      <c r="B420" s="35" t="s">
        <v>1090</v>
      </c>
      <c r="C420" s="35" t="s">
        <v>72</v>
      </c>
      <c r="D420" s="35" t="s">
        <v>31</v>
      </c>
      <c r="E420" s="35" t="s">
        <v>25</v>
      </c>
      <c r="F420" s="35">
        <v>20</v>
      </c>
      <c r="G420" s="35">
        <v>2426.81</v>
      </c>
      <c r="H420" s="35">
        <v>48536.2</v>
      </c>
      <c r="I420" s="35">
        <v>39874.53</v>
      </c>
      <c r="J420" s="35">
        <v>8661.67</v>
      </c>
      <c r="K420" s="37">
        <v>45590</v>
      </c>
      <c r="L420" s="37">
        <v>45591</v>
      </c>
      <c r="M420" s="35" t="s">
        <v>26</v>
      </c>
      <c r="N420" s="35">
        <v>5</v>
      </c>
      <c r="O420" s="35" t="s">
        <v>59</v>
      </c>
      <c r="P420" s="35">
        <v>9.6999999999999993</v>
      </c>
    </row>
    <row r="421" spans="1:16" ht="15.75" customHeight="1" x14ac:dyDescent="0.3">
      <c r="A421" s="35" t="s">
        <v>1091</v>
      </c>
      <c r="B421" s="35" t="s">
        <v>1092</v>
      </c>
      <c r="C421" s="35" t="s">
        <v>95</v>
      </c>
      <c r="D421" s="35" t="s">
        <v>19</v>
      </c>
      <c r="E421" s="35" t="s">
        <v>25</v>
      </c>
      <c r="F421" s="35">
        <v>8</v>
      </c>
      <c r="G421" s="35">
        <v>1914.2</v>
      </c>
      <c r="H421" s="35">
        <v>15313.6</v>
      </c>
      <c r="I421" s="35">
        <v>11740.99</v>
      </c>
      <c r="J421" s="35">
        <v>3572.61</v>
      </c>
      <c r="K421" s="37">
        <v>45841</v>
      </c>
      <c r="L421" s="37">
        <v>45850</v>
      </c>
      <c r="M421" s="35" t="s">
        <v>21</v>
      </c>
      <c r="N421" s="35">
        <v>2</v>
      </c>
      <c r="O421" s="35" t="s">
        <v>1093</v>
      </c>
      <c r="P421" s="35">
        <v>6.5</v>
      </c>
    </row>
    <row r="422" spans="1:16" ht="15.75" customHeight="1" x14ac:dyDescent="0.3">
      <c r="A422" s="35" t="s">
        <v>1094</v>
      </c>
      <c r="B422" s="35" t="s">
        <v>1095</v>
      </c>
      <c r="C422" s="35" t="s">
        <v>95</v>
      </c>
      <c r="D422" s="35" t="s">
        <v>19</v>
      </c>
      <c r="E422" s="35" t="s">
        <v>44</v>
      </c>
      <c r="F422" s="35">
        <v>17</v>
      </c>
      <c r="G422" s="35">
        <v>3148.59</v>
      </c>
      <c r="H422" s="35">
        <v>53526.03</v>
      </c>
      <c r="I422" s="35">
        <v>29322.09</v>
      </c>
      <c r="J422" s="35">
        <v>24203.94</v>
      </c>
      <c r="K422" s="37">
        <v>45443</v>
      </c>
      <c r="L422" s="37">
        <v>45444</v>
      </c>
      <c r="M422" s="35" t="s">
        <v>26</v>
      </c>
      <c r="N422" s="35">
        <v>1</v>
      </c>
      <c r="O422" s="35" t="s">
        <v>1096</v>
      </c>
      <c r="P422" s="35">
        <v>9.5</v>
      </c>
    </row>
    <row r="423" spans="1:16" ht="15.75" customHeight="1" x14ac:dyDescent="0.3">
      <c r="A423" s="35" t="s">
        <v>1097</v>
      </c>
      <c r="B423" s="35" t="s">
        <v>1098</v>
      </c>
      <c r="C423" s="35" t="s">
        <v>95</v>
      </c>
      <c r="D423" s="35" t="s">
        <v>19</v>
      </c>
      <c r="E423" s="35" t="s">
        <v>32</v>
      </c>
      <c r="F423" s="35">
        <v>8</v>
      </c>
      <c r="G423" s="35">
        <v>4664.07</v>
      </c>
      <c r="H423" s="35">
        <v>37312.559999999998</v>
      </c>
      <c r="I423" s="35">
        <v>24274.01</v>
      </c>
      <c r="J423" s="35">
        <v>13038.55</v>
      </c>
      <c r="K423" s="37">
        <v>45948</v>
      </c>
      <c r="L423" s="37">
        <v>45950</v>
      </c>
      <c r="M423" s="35" t="s">
        <v>38</v>
      </c>
      <c r="N423" s="35">
        <v>2</v>
      </c>
      <c r="O423" s="35" t="s">
        <v>359</v>
      </c>
      <c r="P423" s="35">
        <v>8.1999999999999993</v>
      </c>
    </row>
    <row r="424" spans="1:16" ht="15.75" customHeight="1" x14ac:dyDescent="0.3">
      <c r="A424" s="35" t="s">
        <v>1099</v>
      </c>
      <c r="B424" s="35" t="s">
        <v>1100</v>
      </c>
      <c r="C424" s="35" t="s">
        <v>72</v>
      </c>
      <c r="D424" s="35" t="s">
        <v>31</v>
      </c>
      <c r="E424" s="35" t="s">
        <v>25</v>
      </c>
      <c r="F424" s="35">
        <v>1</v>
      </c>
      <c r="G424" s="35">
        <v>3263.12</v>
      </c>
      <c r="H424" s="35">
        <v>3263.12</v>
      </c>
      <c r="I424" s="35">
        <v>1875.32</v>
      </c>
      <c r="J424" s="35">
        <v>1387.8</v>
      </c>
      <c r="K424" s="37">
        <v>46097</v>
      </c>
      <c r="L424" s="37">
        <v>46107</v>
      </c>
      <c r="M424" s="35" t="s">
        <v>21</v>
      </c>
      <c r="N424" s="35">
        <v>4</v>
      </c>
      <c r="O424" s="35" t="s">
        <v>746</v>
      </c>
      <c r="P424" s="35">
        <v>6.9</v>
      </c>
    </row>
    <row r="425" spans="1:16" ht="15.75" customHeight="1" x14ac:dyDescent="0.3">
      <c r="A425" s="35" t="s">
        <v>1101</v>
      </c>
      <c r="B425" s="35" t="s">
        <v>1102</v>
      </c>
      <c r="C425" s="35" t="s">
        <v>37</v>
      </c>
      <c r="D425" s="35" t="s">
        <v>19</v>
      </c>
      <c r="E425" s="35" t="s">
        <v>32</v>
      </c>
      <c r="F425" s="35">
        <v>5</v>
      </c>
      <c r="G425" s="35">
        <v>2834.11</v>
      </c>
      <c r="H425" s="35">
        <v>14170.55</v>
      </c>
      <c r="I425" s="35">
        <v>8055.92</v>
      </c>
      <c r="J425" s="35">
        <v>6114.63</v>
      </c>
      <c r="K425" s="37">
        <v>46001</v>
      </c>
      <c r="L425" s="37">
        <v>46008</v>
      </c>
      <c r="M425" s="35" t="s">
        <v>50</v>
      </c>
      <c r="N425" s="35">
        <v>2</v>
      </c>
      <c r="O425" s="35" t="s">
        <v>1103</v>
      </c>
      <c r="P425" s="35">
        <v>7.3</v>
      </c>
    </row>
    <row r="426" spans="1:16" ht="15.75" customHeight="1" x14ac:dyDescent="0.3">
      <c r="A426" s="35" t="s">
        <v>1104</v>
      </c>
      <c r="B426" s="35" t="s">
        <v>1105</v>
      </c>
      <c r="C426" s="35" t="s">
        <v>88</v>
      </c>
      <c r="D426" s="35" t="s">
        <v>31</v>
      </c>
      <c r="E426" s="35" t="s">
        <v>20</v>
      </c>
      <c r="F426" s="35">
        <v>17</v>
      </c>
      <c r="G426" s="35">
        <v>4730.74</v>
      </c>
      <c r="H426" s="35">
        <v>80422.58</v>
      </c>
      <c r="I426" s="35">
        <v>57594.69</v>
      </c>
      <c r="J426" s="35">
        <v>22827.89</v>
      </c>
      <c r="K426" s="37">
        <v>45625</v>
      </c>
      <c r="L426" s="37">
        <v>45627</v>
      </c>
      <c r="M426" s="35" t="s">
        <v>21</v>
      </c>
      <c r="N426" s="35">
        <v>2</v>
      </c>
      <c r="O426" s="35" t="s">
        <v>741</v>
      </c>
      <c r="P426" s="35">
        <v>7.7</v>
      </c>
    </row>
    <row r="427" spans="1:16" ht="15.75" customHeight="1" x14ac:dyDescent="0.3">
      <c r="A427" s="35" t="s">
        <v>1106</v>
      </c>
      <c r="B427" s="35" t="s">
        <v>1107</v>
      </c>
      <c r="C427" s="35" t="s">
        <v>37</v>
      </c>
      <c r="D427" s="35" t="s">
        <v>19</v>
      </c>
      <c r="E427" s="35" t="s">
        <v>25</v>
      </c>
      <c r="F427" s="35">
        <v>13</v>
      </c>
      <c r="G427" s="35">
        <v>2265.9699999999998</v>
      </c>
      <c r="H427" s="35">
        <v>29457.61</v>
      </c>
      <c r="I427" s="35">
        <v>21499.919999999998</v>
      </c>
      <c r="J427" s="35">
        <v>7957.69</v>
      </c>
      <c r="K427" s="37">
        <v>45508</v>
      </c>
      <c r="L427" s="37">
        <v>45512</v>
      </c>
      <c r="M427" s="35" t="s">
        <v>123</v>
      </c>
      <c r="N427" s="35">
        <v>2</v>
      </c>
      <c r="O427" s="35" t="s">
        <v>823</v>
      </c>
      <c r="P427" s="35">
        <v>6.7</v>
      </c>
    </row>
    <row r="428" spans="1:16" ht="15.75" customHeight="1" x14ac:dyDescent="0.3">
      <c r="A428" s="35" t="s">
        <v>1108</v>
      </c>
      <c r="B428" s="35" t="s">
        <v>1109</v>
      </c>
      <c r="C428" s="35" t="s">
        <v>95</v>
      </c>
      <c r="D428" s="35" t="s">
        <v>19</v>
      </c>
      <c r="E428" s="35" t="s">
        <v>20</v>
      </c>
      <c r="F428" s="35">
        <v>17</v>
      </c>
      <c r="G428" s="35">
        <v>1722.32</v>
      </c>
      <c r="H428" s="35">
        <v>29279.439999999999</v>
      </c>
      <c r="I428" s="35">
        <v>16703.64</v>
      </c>
      <c r="J428" s="35">
        <v>12575.8</v>
      </c>
      <c r="K428" s="37">
        <v>45980</v>
      </c>
      <c r="L428" s="37">
        <v>45984</v>
      </c>
      <c r="M428" s="35" t="s">
        <v>33</v>
      </c>
      <c r="N428" s="35">
        <v>4</v>
      </c>
      <c r="O428" s="35" t="s">
        <v>1093</v>
      </c>
      <c r="P428" s="35">
        <v>10</v>
      </c>
    </row>
    <row r="429" spans="1:16" ht="15.75" customHeight="1" x14ac:dyDescent="0.3">
      <c r="A429" s="35" t="s">
        <v>1110</v>
      </c>
      <c r="B429" s="35" t="s">
        <v>1111</v>
      </c>
      <c r="C429" s="35" t="s">
        <v>195</v>
      </c>
      <c r="D429" s="35" t="s">
        <v>43</v>
      </c>
      <c r="E429" s="35" t="s">
        <v>20</v>
      </c>
      <c r="F429" s="35">
        <v>8</v>
      </c>
      <c r="G429" s="35">
        <v>2396.91</v>
      </c>
      <c r="H429" s="35">
        <v>19175.28</v>
      </c>
      <c r="I429" s="35">
        <v>13801.46</v>
      </c>
      <c r="J429" s="35">
        <v>5373.82</v>
      </c>
      <c r="K429" s="37">
        <v>45828</v>
      </c>
      <c r="L429" s="37">
        <v>45831</v>
      </c>
      <c r="M429" s="35" t="s">
        <v>45</v>
      </c>
      <c r="N429" s="35">
        <v>5</v>
      </c>
      <c r="O429" s="35" t="s">
        <v>148</v>
      </c>
      <c r="P429" s="35">
        <v>6.2</v>
      </c>
    </row>
    <row r="430" spans="1:16" ht="15.75" customHeight="1" x14ac:dyDescent="0.3">
      <c r="A430" s="35" t="s">
        <v>1112</v>
      </c>
      <c r="B430" s="35" t="s">
        <v>1113</v>
      </c>
      <c r="C430" s="35" t="s">
        <v>57</v>
      </c>
      <c r="D430" s="35" t="s">
        <v>19</v>
      </c>
      <c r="E430" s="35" t="s">
        <v>25</v>
      </c>
      <c r="F430" s="35">
        <v>1</v>
      </c>
      <c r="G430" s="35">
        <v>1833.4</v>
      </c>
      <c r="H430" s="35">
        <v>1833.4</v>
      </c>
      <c r="I430" s="35">
        <v>1603.64</v>
      </c>
      <c r="J430" s="35">
        <v>229.76</v>
      </c>
      <c r="K430" s="37">
        <v>45694</v>
      </c>
      <c r="L430" s="37">
        <v>45698</v>
      </c>
      <c r="M430" s="35" t="s">
        <v>21</v>
      </c>
      <c r="N430" s="35">
        <v>3</v>
      </c>
      <c r="O430" s="35" t="s">
        <v>1114</v>
      </c>
      <c r="P430" s="35">
        <v>9.9</v>
      </c>
    </row>
    <row r="431" spans="1:16" ht="15.75" customHeight="1" x14ac:dyDescent="0.3">
      <c r="A431" s="35" t="s">
        <v>1115</v>
      </c>
      <c r="B431" s="35" t="s">
        <v>1116</v>
      </c>
      <c r="C431" s="35" t="s">
        <v>57</v>
      </c>
      <c r="D431" s="35" t="s">
        <v>19</v>
      </c>
      <c r="E431" s="35" t="s">
        <v>44</v>
      </c>
      <c r="F431" s="35">
        <v>6</v>
      </c>
      <c r="G431" s="35">
        <v>3483.73</v>
      </c>
      <c r="H431" s="35">
        <v>20902.38</v>
      </c>
      <c r="I431" s="35">
        <v>18461.34</v>
      </c>
      <c r="J431" s="35">
        <v>2441.04</v>
      </c>
      <c r="K431" s="37">
        <v>45632</v>
      </c>
      <c r="L431" s="37">
        <v>45638</v>
      </c>
      <c r="M431" s="35" t="s">
        <v>38</v>
      </c>
      <c r="N431" s="35">
        <v>3</v>
      </c>
      <c r="O431" s="35" t="s">
        <v>1117</v>
      </c>
      <c r="P431" s="35">
        <v>6</v>
      </c>
    </row>
    <row r="432" spans="1:16" ht="15.75" customHeight="1" x14ac:dyDescent="0.3">
      <c r="A432" s="35" t="s">
        <v>1118</v>
      </c>
      <c r="B432" s="35" t="s">
        <v>1119</v>
      </c>
      <c r="C432" s="35" t="s">
        <v>30</v>
      </c>
      <c r="D432" s="35" t="s">
        <v>31</v>
      </c>
      <c r="E432" s="35" t="s">
        <v>44</v>
      </c>
      <c r="F432" s="35">
        <v>15</v>
      </c>
      <c r="G432" s="35">
        <v>2146.73</v>
      </c>
      <c r="H432" s="35">
        <v>32200.95</v>
      </c>
      <c r="I432" s="35">
        <v>17703.849999999999</v>
      </c>
      <c r="J432" s="35">
        <v>14497.1</v>
      </c>
      <c r="K432" s="37">
        <v>46066</v>
      </c>
      <c r="L432" s="37">
        <v>46075</v>
      </c>
      <c r="M432" s="35" t="s">
        <v>50</v>
      </c>
      <c r="N432" s="35">
        <v>1</v>
      </c>
      <c r="O432" s="35" t="s">
        <v>426</v>
      </c>
      <c r="P432" s="35">
        <v>8</v>
      </c>
    </row>
    <row r="433" spans="1:16" ht="15.75" customHeight="1" x14ac:dyDescent="0.3">
      <c r="A433" s="35" t="s">
        <v>1120</v>
      </c>
      <c r="B433" s="35" t="s">
        <v>1121</v>
      </c>
      <c r="C433" s="35" t="s">
        <v>168</v>
      </c>
      <c r="D433" s="35" t="s">
        <v>43</v>
      </c>
      <c r="E433" s="35" t="s">
        <v>44</v>
      </c>
      <c r="F433" s="35">
        <v>19</v>
      </c>
      <c r="G433" s="35">
        <v>1131.32</v>
      </c>
      <c r="H433" s="35">
        <v>21495.08</v>
      </c>
      <c r="I433" s="35">
        <v>13401.28</v>
      </c>
      <c r="J433" s="35">
        <v>8093.8</v>
      </c>
      <c r="K433" s="37">
        <v>45817</v>
      </c>
      <c r="L433" s="37">
        <v>45825</v>
      </c>
      <c r="M433" s="35" t="s">
        <v>123</v>
      </c>
      <c r="N433" s="35">
        <v>4</v>
      </c>
      <c r="O433" s="35" t="s">
        <v>130</v>
      </c>
      <c r="P433" s="35">
        <v>6.3</v>
      </c>
    </row>
    <row r="434" spans="1:16" ht="15.75" customHeight="1" x14ac:dyDescent="0.3">
      <c r="A434" s="35" t="s">
        <v>1122</v>
      </c>
      <c r="B434" s="35" t="s">
        <v>1123</v>
      </c>
      <c r="C434" s="35" t="s">
        <v>30</v>
      </c>
      <c r="D434" s="35" t="s">
        <v>31</v>
      </c>
      <c r="E434" s="35" t="s">
        <v>20</v>
      </c>
      <c r="F434" s="35">
        <v>18</v>
      </c>
      <c r="G434" s="35">
        <v>3283.62</v>
      </c>
      <c r="H434" s="35">
        <v>59105.16</v>
      </c>
      <c r="I434" s="35">
        <v>40779.26</v>
      </c>
      <c r="J434" s="35">
        <v>18325.900000000001</v>
      </c>
      <c r="K434" s="37">
        <v>45574</v>
      </c>
      <c r="L434" s="37">
        <v>45580</v>
      </c>
      <c r="M434" s="35" t="s">
        <v>123</v>
      </c>
      <c r="N434" s="35">
        <v>3</v>
      </c>
      <c r="O434" s="35" t="s">
        <v>254</v>
      </c>
      <c r="P434" s="35">
        <v>6.9</v>
      </c>
    </row>
    <row r="435" spans="1:16" ht="15.75" customHeight="1" x14ac:dyDescent="0.3">
      <c r="A435" s="35" t="s">
        <v>1124</v>
      </c>
      <c r="B435" s="35" t="s">
        <v>1125</v>
      </c>
      <c r="C435" s="35" t="s">
        <v>88</v>
      </c>
      <c r="D435" s="35" t="s">
        <v>31</v>
      </c>
      <c r="E435" s="35" t="s">
        <v>20</v>
      </c>
      <c r="F435" s="35">
        <v>2</v>
      </c>
      <c r="G435" s="35">
        <v>3978.19</v>
      </c>
      <c r="H435" s="35">
        <v>7956.38</v>
      </c>
      <c r="I435" s="35">
        <v>6354.74</v>
      </c>
      <c r="J435" s="35">
        <v>1601.64</v>
      </c>
      <c r="K435" s="37">
        <v>45959</v>
      </c>
      <c r="L435" s="37">
        <v>45961</v>
      </c>
      <c r="M435" s="35" t="s">
        <v>123</v>
      </c>
      <c r="N435" s="35">
        <v>2</v>
      </c>
      <c r="O435" s="35" t="s">
        <v>839</v>
      </c>
      <c r="P435" s="35">
        <v>7.6</v>
      </c>
    </row>
    <row r="436" spans="1:16" ht="15.75" customHeight="1" x14ac:dyDescent="0.3">
      <c r="A436" s="35" t="s">
        <v>1126</v>
      </c>
      <c r="B436" s="35" t="s">
        <v>1127</v>
      </c>
      <c r="C436" s="35" t="s">
        <v>219</v>
      </c>
      <c r="D436" s="35" t="s">
        <v>43</v>
      </c>
      <c r="E436" s="35" t="s">
        <v>20</v>
      </c>
      <c r="F436" s="35">
        <v>5</v>
      </c>
      <c r="G436" s="35">
        <v>852.79</v>
      </c>
      <c r="H436" s="35">
        <v>4263.95</v>
      </c>
      <c r="I436" s="35">
        <v>2469.6</v>
      </c>
      <c r="J436" s="35">
        <v>1794.35</v>
      </c>
      <c r="K436" s="37">
        <v>45981</v>
      </c>
      <c r="L436" s="37">
        <v>45987</v>
      </c>
      <c r="M436" s="35" t="s">
        <v>33</v>
      </c>
      <c r="N436" s="35">
        <v>4</v>
      </c>
      <c r="O436" s="35" t="s">
        <v>99</v>
      </c>
      <c r="P436" s="35">
        <v>6.8</v>
      </c>
    </row>
    <row r="437" spans="1:16" ht="15.75" customHeight="1" x14ac:dyDescent="0.3">
      <c r="A437" s="35" t="s">
        <v>1128</v>
      </c>
      <c r="B437" s="35" t="s">
        <v>1129</v>
      </c>
      <c r="C437" s="35" t="s">
        <v>168</v>
      </c>
      <c r="D437" s="35" t="s">
        <v>43</v>
      </c>
      <c r="E437" s="35" t="s">
        <v>20</v>
      </c>
      <c r="F437" s="35">
        <v>6</v>
      </c>
      <c r="G437" s="35">
        <v>2925.08</v>
      </c>
      <c r="H437" s="35">
        <v>17550.48</v>
      </c>
      <c r="I437" s="35">
        <v>12795.84</v>
      </c>
      <c r="J437" s="35">
        <v>4754.6400000000003</v>
      </c>
      <c r="K437" s="37">
        <v>45770</v>
      </c>
      <c r="L437" s="37">
        <v>45779</v>
      </c>
      <c r="M437" s="35" t="s">
        <v>26</v>
      </c>
      <c r="N437" s="35">
        <v>5</v>
      </c>
      <c r="O437" s="35" t="s">
        <v>1060</v>
      </c>
      <c r="P437" s="35">
        <v>8.5</v>
      </c>
    </row>
    <row r="438" spans="1:16" ht="15.75" customHeight="1" x14ac:dyDescent="0.3">
      <c r="A438" s="35" t="s">
        <v>1130</v>
      </c>
      <c r="B438" s="35" t="s">
        <v>1131</v>
      </c>
      <c r="C438" s="35" t="s">
        <v>72</v>
      </c>
      <c r="D438" s="35" t="s">
        <v>31</v>
      </c>
      <c r="E438" s="35" t="s">
        <v>44</v>
      </c>
      <c r="F438" s="35">
        <v>16</v>
      </c>
      <c r="G438" s="35">
        <v>4963.68</v>
      </c>
      <c r="H438" s="35">
        <v>79418.880000000005</v>
      </c>
      <c r="I438" s="35">
        <v>47317.51</v>
      </c>
      <c r="J438" s="35">
        <v>32101.37</v>
      </c>
      <c r="K438" s="37">
        <v>45814</v>
      </c>
      <c r="L438" s="37">
        <v>45821</v>
      </c>
      <c r="M438" s="35" t="s">
        <v>45</v>
      </c>
      <c r="N438" s="35">
        <v>3</v>
      </c>
      <c r="O438" s="35" t="s">
        <v>888</v>
      </c>
      <c r="P438" s="35">
        <v>9.9</v>
      </c>
    </row>
    <row r="439" spans="1:16" ht="15.75" customHeight="1" x14ac:dyDescent="0.3">
      <c r="A439" s="35" t="s">
        <v>1132</v>
      </c>
      <c r="B439" s="35" t="s">
        <v>1133</v>
      </c>
      <c r="C439" s="35" t="s">
        <v>195</v>
      </c>
      <c r="D439" s="35" t="s">
        <v>43</v>
      </c>
      <c r="E439" s="35" t="s">
        <v>32</v>
      </c>
      <c r="F439" s="35">
        <v>11</v>
      </c>
      <c r="G439" s="35">
        <v>1218.4100000000001</v>
      </c>
      <c r="H439" s="35">
        <v>13402.51</v>
      </c>
      <c r="I439" s="35">
        <v>9357.0400000000009</v>
      </c>
      <c r="J439" s="35">
        <v>4045.47</v>
      </c>
      <c r="K439" s="37">
        <v>46116</v>
      </c>
      <c r="L439" s="37">
        <v>46125</v>
      </c>
      <c r="M439" s="35" t="s">
        <v>38</v>
      </c>
      <c r="N439" s="35">
        <v>5</v>
      </c>
      <c r="O439" s="35" t="s">
        <v>746</v>
      </c>
      <c r="P439" s="35">
        <v>7.5</v>
      </c>
    </row>
    <row r="440" spans="1:16" ht="15.75" customHeight="1" x14ac:dyDescent="0.3">
      <c r="A440" s="35" t="s">
        <v>1134</v>
      </c>
      <c r="B440" s="35" t="s">
        <v>1135</v>
      </c>
      <c r="C440" s="35" t="s">
        <v>18</v>
      </c>
      <c r="D440" s="35" t="s">
        <v>19</v>
      </c>
      <c r="E440" s="35" t="s">
        <v>25</v>
      </c>
      <c r="F440" s="35">
        <v>15</v>
      </c>
      <c r="G440" s="35">
        <v>516.03</v>
      </c>
      <c r="H440" s="35">
        <v>7740.45</v>
      </c>
      <c r="I440" s="35">
        <v>4119.1000000000004</v>
      </c>
      <c r="J440" s="35">
        <v>3621.35</v>
      </c>
      <c r="K440" s="37">
        <v>45755</v>
      </c>
      <c r="L440" s="37">
        <v>45760</v>
      </c>
      <c r="M440" s="35" t="s">
        <v>45</v>
      </c>
      <c r="N440" s="35">
        <v>4</v>
      </c>
      <c r="O440" s="35" t="s">
        <v>260</v>
      </c>
      <c r="P440" s="35">
        <v>9.5</v>
      </c>
    </row>
    <row r="441" spans="1:16" ht="15.75" customHeight="1" x14ac:dyDescent="0.3">
      <c r="A441" s="35" t="s">
        <v>1136</v>
      </c>
      <c r="B441" s="35" t="s">
        <v>1137</v>
      </c>
      <c r="C441" s="35" t="s">
        <v>72</v>
      </c>
      <c r="D441" s="35" t="s">
        <v>31</v>
      </c>
      <c r="E441" s="35" t="s">
        <v>20</v>
      </c>
      <c r="F441" s="35">
        <v>3</v>
      </c>
      <c r="G441" s="35">
        <v>4818.01</v>
      </c>
      <c r="H441" s="35">
        <v>14454.03</v>
      </c>
      <c r="I441" s="35">
        <v>12226.82</v>
      </c>
      <c r="J441" s="35">
        <v>2227.21</v>
      </c>
      <c r="K441" s="37">
        <v>45709</v>
      </c>
      <c r="L441" s="37">
        <v>45718</v>
      </c>
      <c r="M441" s="35" t="s">
        <v>58</v>
      </c>
      <c r="N441" s="35">
        <v>4</v>
      </c>
      <c r="O441" s="35" t="s">
        <v>936</v>
      </c>
      <c r="P441" s="35">
        <v>6.6</v>
      </c>
    </row>
    <row r="442" spans="1:16" ht="15.75" customHeight="1" x14ac:dyDescent="0.3">
      <c r="A442" s="35" t="s">
        <v>1138</v>
      </c>
      <c r="B442" s="35" t="s">
        <v>1139</v>
      </c>
      <c r="C442" s="35" t="s">
        <v>95</v>
      </c>
      <c r="D442" s="35" t="s">
        <v>19</v>
      </c>
      <c r="E442" s="35" t="s">
        <v>25</v>
      </c>
      <c r="F442" s="35">
        <v>12</v>
      </c>
      <c r="G442" s="35">
        <v>4893.59</v>
      </c>
      <c r="H442" s="35">
        <v>58723.08</v>
      </c>
      <c r="I442" s="35">
        <v>50176.72</v>
      </c>
      <c r="J442" s="35">
        <v>8546.36</v>
      </c>
      <c r="K442" s="37">
        <v>45723</v>
      </c>
      <c r="L442" s="37">
        <v>45733</v>
      </c>
      <c r="M442" s="35" t="s">
        <v>123</v>
      </c>
      <c r="N442" s="35">
        <v>1</v>
      </c>
      <c r="O442" s="35" t="s">
        <v>918</v>
      </c>
      <c r="P442" s="35">
        <v>6.3</v>
      </c>
    </row>
    <row r="443" spans="1:16" ht="15.75" customHeight="1" x14ac:dyDescent="0.3">
      <c r="A443" s="35" t="s">
        <v>1140</v>
      </c>
      <c r="B443" s="35" t="s">
        <v>1141</v>
      </c>
      <c r="C443" s="35" t="s">
        <v>219</v>
      </c>
      <c r="D443" s="35" t="s">
        <v>43</v>
      </c>
      <c r="E443" s="35" t="s">
        <v>20</v>
      </c>
      <c r="F443" s="35">
        <v>19</v>
      </c>
      <c r="G443" s="35">
        <v>1620.53</v>
      </c>
      <c r="H443" s="35">
        <v>30790.07</v>
      </c>
      <c r="I443" s="35">
        <v>21996.36</v>
      </c>
      <c r="J443" s="35">
        <v>8793.7099999999991</v>
      </c>
      <c r="K443" s="37">
        <v>45499</v>
      </c>
      <c r="L443" s="37">
        <v>45505</v>
      </c>
      <c r="M443" s="35" t="s">
        <v>38</v>
      </c>
      <c r="N443" s="35">
        <v>5</v>
      </c>
      <c r="O443" s="35" t="s">
        <v>300</v>
      </c>
      <c r="P443" s="35">
        <v>9.8000000000000007</v>
      </c>
    </row>
    <row r="444" spans="1:16" ht="15.75" customHeight="1" x14ac:dyDescent="0.3">
      <c r="A444" s="35" t="s">
        <v>1142</v>
      </c>
      <c r="B444" s="35" t="s">
        <v>1143</v>
      </c>
      <c r="C444" s="35" t="s">
        <v>49</v>
      </c>
      <c r="D444" s="35" t="s">
        <v>43</v>
      </c>
      <c r="E444" s="35" t="s">
        <v>44</v>
      </c>
      <c r="F444" s="35">
        <v>6</v>
      </c>
      <c r="G444" s="35">
        <v>807.54</v>
      </c>
      <c r="H444" s="35">
        <v>4845.24</v>
      </c>
      <c r="I444" s="35">
        <v>4342.12</v>
      </c>
      <c r="J444" s="35">
        <v>503.12</v>
      </c>
      <c r="K444" s="37">
        <v>45894</v>
      </c>
      <c r="L444" s="37">
        <v>45898</v>
      </c>
      <c r="M444" s="35" t="s">
        <v>26</v>
      </c>
      <c r="N444" s="35">
        <v>3</v>
      </c>
      <c r="O444" s="35" t="s">
        <v>257</v>
      </c>
      <c r="P444" s="35">
        <v>6.5</v>
      </c>
    </row>
    <row r="445" spans="1:16" ht="15.75" customHeight="1" x14ac:dyDescent="0.3">
      <c r="A445" s="35" t="s">
        <v>1144</v>
      </c>
      <c r="B445" s="35" t="s">
        <v>1145</v>
      </c>
      <c r="C445" s="35" t="s">
        <v>139</v>
      </c>
      <c r="D445" s="35" t="s">
        <v>31</v>
      </c>
      <c r="E445" s="35" t="s">
        <v>20</v>
      </c>
      <c r="F445" s="35">
        <v>15</v>
      </c>
      <c r="G445" s="35">
        <v>64.489999999999995</v>
      </c>
      <c r="H445" s="35">
        <v>967.35</v>
      </c>
      <c r="I445" s="35">
        <v>844.68</v>
      </c>
      <c r="J445" s="35">
        <v>122.67</v>
      </c>
      <c r="K445" s="37">
        <v>45463</v>
      </c>
      <c r="L445" s="37">
        <v>45468</v>
      </c>
      <c r="M445" s="35" t="s">
        <v>181</v>
      </c>
      <c r="N445" s="35">
        <v>2</v>
      </c>
      <c r="O445" s="35" t="s">
        <v>267</v>
      </c>
      <c r="P445" s="35">
        <v>8.6</v>
      </c>
    </row>
    <row r="446" spans="1:16" ht="15.75" customHeight="1" x14ac:dyDescent="0.3">
      <c r="A446" s="35" t="s">
        <v>1146</v>
      </c>
      <c r="B446" s="35" t="s">
        <v>1147</v>
      </c>
      <c r="C446" s="35" t="s">
        <v>168</v>
      </c>
      <c r="D446" s="35" t="s">
        <v>43</v>
      </c>
      <c r="E446" s="35" t="s">
        <v>20</v>
      </c>
      <c r="F446" s="35">
        <v>18</v>
      </c>
      <c r="G446" s="35">
        <v>3595.02</v>
      </c>
      <c r="H446" s="35">
        <v>64710.36</v>
      </c>
      <c r="I446" s="35">
        <v>38383.089999999997</v>
      </c>
      <c r="J446" s="35">
        <v>26327.27</v>
      </c>
      <c r="K446" s="37">
        <v>45688</v>
      </c>
      <c r="L446" s="37">
        <v>45698</v>
      </c>
      <c r="M446" s="35" t="s">
        <v>123</v>
      </c>
      <c r="N446" s="35">
        <v>1</v>
      </c>
      <c r="O446" s="35" t="s">
        <v>955</v>
      </c>
      <c r="P446" s="35">
        <v>6.7</v>
      </c>
    </row>
    <row r="447" spans="1:16" ht="15.75" customHeight="1" x14ac:dyDescent="0.3">
      <c r="A447" s="35" t="s">
        <v>1148</v>
      </c>
      <c r="B447" s="35" t="s">
        <v>1149</v>
      </c>
      <c r="C447" s="35" t="s">
        <v>144</v>
      </c>
      <c r="D447" s="35" t="s">
        <v>19</v>
      </c>
      <c r="E447" s="35" t="s">
        <v>20</v>
      </c>
      <c r="F447" s="35">
        <v>15</v>
      </c>
      <c r="G447" s="35">
        <v>2370.2800000000002</v>
      </c>
      <c r="H447" s="35">
        <v>35554.199999999997</v>
      </c>
      <c r="I447" s="35">
        <v>24504.02</v>
      </c>
      <c r="J447" s="35">
        <v>11050.18</v>
      </c>
      <c r="K447" s="37">
        <v>45713</v>
      </c>
      <c r="L447" s="37">
        <v>45721</v>
      </c>
      <c r="M447" s="35" t="s">
        <v>69</v>
      </c>
      <c r="N447" s="35">
        <v>1</v>
      </c>
      <c r="O447" s="35" t="s">
        <v>73</v>
      </c>
      <c r="P447" s="35">
        <v>9.4</v>
      </c>
    </row>
    <row r="448" spans="1:16" ht="15.75" customHeight="1" x14ac:dyDescent="0.3">
      <c r="A448" s="35" t="s">
        <v>1150</v>
      </c>
      <c r="B448" s="35" t="s">
        <v>1151</v>
      </c>
      <c r="C448" s="35" t="s">
        <v>88</v>
      </c>
      <c r="D448" s="35" t="s">
        <v>31</v>
      </c>
      <c r="E448" s="35" t="s">
        <v>32</v>
      </c>
      <c r="F448" s="35">
        <v>2</v>
      </c>
      <c r="G448" s="35">
        <v>1561.32</v>
      </c>
      <c r="H448" s="35">
        <v>3122.64</v>
      </c>
      <c r="I448" s="35">
        <v>1928.31</v>
      </c>
      <c r="J448" s="35">
        <v>1194.33</v>
      </c>
      <c r="K448" s="37">
        <v>45740</v>
      </c>
      <c r="L448" s="37">
        <v>45744</v>
      </c>
      <c r="M448" s="35" t="s">
        <v>21</v>
      </c>
      <c r="N448" s="35">
        <v>2</v>
      </c>
      <c r="O448" s="35" t="s">
        <v>359</v>
      </c>
      <c r="P448" s="35">
        <v>8.3000000000000007</v>
      </c>
    </row>
    <row r="449" spans="1:16" ht="15.75" customHeight="1" x14ac:dyDescent="0.3">
      <c r="A449" s="35" t="s">
        <v>1152</v>
      </c>
      <c r="B449" s="35" t="s">
        <v>1153</v>
      </c>
      <c r="C449" s="35" t="s">
        <v>139</v>
      </c>
      <c r="D449" s="35" t="s">
        <v>31</v>
      </c>
      <c r="E449" s="35" t="s">
        <v>44</v>
      </c>
      <c r="F449" s="35">
        <v>16</v>
      </c>
      <c r="G449" s="35">
        <v>2168.67</v>
      </c>
      <c r="H449" s="35">
        <v>34698.720000000001</v>
      </c>
      <c r="I449" s="35">
        <v>30224.46</v>
      </c>
      <c r="J449" s="35">
        <v>4474.26</v>
      </c>
      <c r="K449" s="37">
        <v>46110</v>
      </c>
      <c r="L449" s="37">
        <v>46114</v>
      </c>
      <c r="M449" s="35" t="s">
        <v>123</v>
      </c>
      <c r="N449" s="35">
        <v>2</v>
      </c>
      <c r="O449" s="35" t="s">
        <v>251</v>
      </c>
      <c r="P449" s="35">
        <v>7.4</v>
      </c>
    </row>
    <row r="450" spans="1:16" ht="15.75" customHeight="1" x14ac:dyDescent="0.3">
      <c r="A450" s="35" t="s">
        <v>1154</v>
      </c>
      <c r="B450" s="35" t="s">
        <v>1155</v>
      </c>
      <c r="C450" s="35" t="s">
        <v>95</v>
      </c>
      <c r="D450" s="35" t="s">
        <v>19</v>
      </c>
      <c r="E450" s="35" t="s">
        <v>20</v>
      </c>
      <c r="F450" s="35">
        <v>3</v>
      </c>
      <c r="G450" s="35">
        <v>549.21</v>
      </c>
      <c r="H450" s="35">
        <v>1647.63</v>
      </c>
      <c r="I450" s="35">
        <v>941.33</v>
      </c>
      <c r="J450" s="35">
        <v>706.3</v>
      </c>
      <c r="K450" s="37">
        <v>45798</v>
      </c>
      <c r="L450" s="37">
        <v>45803</v>
      </c>
      <c r="M450" s="35" t="s">
        <v>181</v>
      </c>
      <c r="N450" s="35">
        <v>1</v>
      </c>
      <c r="O450" s="35" t="s">
        <v>1067</v>
      </c>
      <c r="P450" s="35">
        <v>6.6</v>
      </c>
    </row>
    <row r="451" spans="1:16" ht="15.75" customHeight="1" x14ac:dyDescent="0.3">
      <c r="A451" s="35" t="s">
        <v>1156</v>
      </c>
      <c r="B451" s="35" t="s">
        <v>1157</v>
      </c>
      <c r="C451" s="35" t="s">
        <v>95</v>
      </c>
      <c r="D451" s="35" t="s">
        <v>19</v>
      </c>
      <c r="E451" s="35" t="s">
        <v>32</v>
      </c>
      <c r="F451" s="35">
        <v>1</v>
      </c>
      <c r="G451" s="35">
        <v>175.51</v>
      </c>
      <c r="H451" s="35">
        <v>175.51</v>
      </c>
      <c r="I451" s="35">
        <v>99.73</v>
      </c>
      <c r="J451" s="35">
        <v>75.78</v>
      </c>
      <c r="K451" s="37">
        <v>45677</v>
      </c>
      <c r="L451" s="37">
        <v>45679</v>
      </c>
      <c r="M451" s="35" t="s">
        <v>123</v>
      </c>
      <c r="N451" s="35">
        <v>2</v>
      </c>
      <c r="O451" s="35" t="s">
        <v>184</v>
      </c>
      <c r="P451" s="35">
        <v>6.8</v>
      </c>
    </row>
    <row r="452" spans="1:16" ht="15.75" customHeight="1" x14ac:dyDescent="0.3">
      <c r="A452" s="35" t="s">
        <v>1158</v>
      </c>
      <c r="B452" s="35" t="s">
        <v>1159</v>
      </c>
      <c r="C452" s="35" t="s">
        <v>168</v>
      </c>
      <c r="D452" s="35" t="s">
        <v>43</v>
      </c>
      <c r="E452" s="35" t="s">
        <v>25</v>
      </c>
      <c r="F452" s="35">
        <v>5</v>
      </c>
      <c r="G452" s="35">
        <v>3488.82</v>
      </c>
      <c r="H452" s="35">
        <v>17444.099999999999</v>
      </c>
      <c r="I452" s="35">
        <v>14873.22</v>
      </c>
      <c r="J452" s="35">
        <v>2570.88</v>
      </c>
      <c r="K452" s="37">
        <v>46112</v>
      </c>
      <c r="L452" s="37">
        <v>46117</v>
      </c>
      <c r="M452" s="35" t="s">
        <v>181</v>
      </c>
      <c r="N452" s="35">
        <v>1</v>
      </c>
      <c r="O452" s="35" t="s">
        <v>538</v>
      </c>
      <c r="P452" s="35">
        <v>8.4</v>
      </c>
    </row>
    <row r="453" spans="1:16" ht="15.75" customHeight="1" x14ac:dyDescent="0.3">
      <c r="A453" s="35" t="s">
        <v>1160</v>
      </c>
      <c r="B453" s="35" t="s">
        <v>1161</v>
      </c>
      <c r="C453" s="35" t="s">
        <v>30</v>
      </c>
      <c r="D453" s="35" t="s">
        <v>31</v>
      </c>
      <c r="E453" s="35" t="s">
        <v>25</v>
      </c>
      <c r="F453" s="35">
        <v>15</v>
      </c>
      <c r="G453" s="35">
        <v>3760.96</v>
      </c>
      <c r="H453" s="35">
        <v>56414.400000000001</v>
      </c>
      <c r="I453" s="35">
        <v>31623.84</v>
      </c>
      <c r="J453" s="35">
        <v>24790.560000000001</v>
      </c>
      <c r="K453" s="37">
        <v>45749</v>
      </c>
      <c r="L453" s="37">
        <v>45754</v>
      </c>
      <c r="M453" s="35" t="s">
        <v>69</v>
      </c>
      <c r="N453" s="35">
        <v>5</v>
      </c>
      <c r="O453" s="35" t="s">
        <v>1162</v>
      </c>
      <c r="P453" s="35">
        <v>8</v>
      </c>
    </row>
    <row r="454" spans="1:16" ht="15.75" customHeight="1" x14ac:dyDescent="0.3">
      <c r="A454" s="35" t="s">
        <v>1163</v>
      </c>
      <c r="B454" s="35" t="s">
        <v>1164</v>
      </c>
      <c r="C454" s="35" t="s">
        <v>18</v>
      </c>
      <c r="D454" s="35" t="s">
        <v>19</v>
      </c>
      <c r="E454" s="35" t="s">
        <v>25</v>
      </c>
      <c r="F454" s="35">
        <v>11</v>
      </c>
      <c r="G454" s="35">
        <v>2041.27</v>
      </c>
      <c r="H454" s="35">
        <v>22453.97</v>
      </c>
      <c r="I454" s="35">
        <v>19987.41</v>
      </c>
      <c r="J454" s="35">
        <v>2466.56</v>
      </c>
      <c r="K454" s="37">
        <v>45575</v>
      </c>
      <c r="L454" s="37">
        <v>45580</v>
      </c>
      <c r="M454" s="35" t="s">
        <v>58</v>
      </c>
      <c r="N454" s="35">
        <v>4</v>
      </c>
      <c r="O454" s="35" t="s">
        <v>522</v>
      </c>
      <c r="P454" s="35">
        <v>6</v>
      </c>
    </row>
    <row r="455" spans="1:16" ht="15.75" customHeight="1" x14ac:dyDescent="0.3">
      <c r="A455" s="35" t="s">
        <v>1165</v>
      </c>
      <c r="B455" s="35" t="s">
        <v>1166</v>
      </c>
      <c r="C455" s="35" t="s">
        <v>72</v>
      </c>
      <c r="D455" s="35" t="s">
        <v>31</v>
      </c>
      <c r="E455" s="35" t="s">
        <v>20</v>
      </c>
      <c r="F455" s="35">
        <v>10</v>
      </c>
      <c r="G455" s="35">
        <v>827.06</v>
      </c>
      <c r="H455" s="35">
        <v>8270.6</v>
      </c>
      <c r="I455" s="35">
        <v>4717.8100000000004</v>
      </c>
      <c r="J455" s="35">
        <v>3552.79</v>
      </c>
      <c r="K455" s="37">
        <v>45831</v>
      </c>
      <c r="L455" s="37">
        <v>45833</v>
      </c>
      <c r="M455" s="35" t="s">
        <v>21</v>
      </c>
      <c r="N455" s="35">
        <v>1</v>
      </c>
      <c r="O455" s="35" t="s">
        <v>54</v>
      </c>
      <c r="P455" s="35">
        <v>8.5</v>
      </c>
    </row>
    <row r="456" spans="1:16" ht="15.75" customHeight="1" x14ac:dyDescent="0.3">
      <c r="A456" s="35" t="s">
        <v>1167</v>
      </c>
      <c r="B456" s="35" t="s">
        <v>1168</v>
      </c>
      <c r="C456" s="35" t="s">
        <v>195</v>
      </c>
      <c r="D456" s="35" t="s">
        <v>43</v>
      </c>
      <c r="E456" s="35" t="s">
        <v>32</v>
      </c>
      <c r="F456" s="35">
        <v>7</v>
      </c>
      <c r="G456" s="35">
        <v>3019.21</v>
      </c>
      <c r="H456" s="35">
        <v>21134.47</v>
      </c>
      <c r="I456" s="35">
        <v>18423.849999999999</v>
      </c>
      <c r="J456" s="35">
        <v>2710.62</v>
      </c>
      <c r="K456" s="37">
        <v>46149</v>
      </c>
      <c r="L456" s="37">
        <v>46159</v>
      </c>
      <c r="M456" s="35" t="s">
        <v>50</v>
      </c>
      <c r="N456" s="35">
        <v>5</v>
      </c>
      <c r="O456" s="35" t="s">
        <v>214</v>
      </c>
      <c r="P456" s="35">
        <v>6.9</v>
      </c>
    </row>
    <row r="457" spans="1:16" ht="15.75" customHeight="1" x14ac:dyDescent="0.3">
      <c r="A457" s="35" t="s">
        <v>1169</v>
      </c>
      <c r="B457" s="35" t="s">
        <v>1170</v>
      </c>
      <c r="C457" s="35" t="s">
        <v>88</v>
      </c>
      <c r="D457" s="35" t="s">
        <v>31</v>
      </c>
      <c r="E457" s="35" t="s">
        <v>20</v>
      </c>
      <c r="F457" s="35">
        <v>6</v>
      </c>
      <c r="G457" s="35">
        <v>291.57</v>
      </c>
      <c r="H457" s="35">
        <v>1749.42</v>
      </c>
      <c r="I457" s="35">
        <v>1414.01</v>
      </c>
      <c r="J457" s="35">
        <v>335.41</v>
      </c>
      <c r="K457" s="37">
        <v>45628</v>
      </c>
      <c r="L457" s="37">
        <v>45629</v>
      </c>
      <c r="M457" s="35" t="s">
        <v>58</v>
      </c>
      <c r="N457" s="35">
        <v>2</v>
      </c>
      <c r="O457" s="35" t="s">
        <v>557</v>
      </c>
      <c r="P457" s="35">
        <v>6.4</v>
      </c>
    </row>
    <row r="458" spans="1:16" ht="15.75" customHeight="1" x14ac:dyDescent="0.3">
      <c r="A458" s="35" t="s">
        <v>1171</v>
      </c>
      <c r="B458" s="35" t="s">
        <v>1172</v>
      </c>
      <c r="C458" s="35" t="s">
        <v>62</v>
      </c>
      <c r="D458" s="35" t="s">
        <v>31</v>
      </c>
      <c r="E458" s="35" t="s">
        <v>32</v>
      </c>
      <c r="F458" s="35">
        <v>9</v>
      </c>
      <c r="G458" s="35">
        <v>89.3</v>
      </c>
      <c r="H458" s="35">
        <v>803.7</v>
      </c>
      <c r="I458" s="35">
        <v>653.6</v>
      </c>
      <c r="J458" s="35">
        <v>150.1</v>
      </c>
      <c r="K458" s="37">
        <v>46108</v>
      </c>
      <c r="L458" s="37">
        <v>46115</v>
      </c>
      <c r="M458" s="35" t="s">
        <v>50</v>
      </c>
      <c r="N458" s="35">
        <v>1</v>
      </c>
      <c r="O458" s="35" t="s">
        <v>923</v>
      </c>
      <c r="P458" s="35">
        <v>9.6999999999999993</v>
      </c>
    </row>
    <row r="459" spans="1:16" ht="15.75" customHeight="1" x14ac:dyDescent="0.3">
      <c r="A459" s="35" t="s">
        <v>1173</v>
      </c>
      <c r="B459" s="35" t="s">
        <v>1174</v>
      </c>
      <c r="C459" s="35" t="s">
        <v>139</v>
      </c>
      <c r="D459" s="35" t="s">
        <v>31</v>
      </c>
      <c r="E459" s="35" t="s">
        <v>32</v>
      </c>
      <c r="F459" s="35">
        <v>7</v>
      </c>
      <c r="G459" s="35">
        <v>3754.48</v>
      </c>
      <c r="H459" s="35">
        <v>26281.360000000001</v>
      </c>
      <c r="I459" s="35">
        <v>17711.12</v>
      </c>
      <c r="J459" s="35">
        <v>8570.24</v>
      </c>
      <c r="K459" s="37">
        <v>45860</v>
      </c>
      <c r="L459" s="37">
        <v>45869</v>
      </c>
      <c r="M459" s="35" t="s">
        <v>58</v>
      </c>
      <c r="N459" s="35">
        <v>3</v>
      </c>
      <c r="O459" s="35" t="s">
        <v>1026</v>
      </c>
      <c r="P459" s="35">
        <v>8.4</v>
      </c>
    </row>
    <row r="460" spans="1:16" ht="15.75" customHeight="1" x14ac:dyDescent="0.3">
      <c r="A460" s="35" t="s">
        <v>1175</v>
      </c>
      <c r="B460" s="35" t="s">
        <v>1176</v>
      </c>
      <c r="C460" s="35" t="s">
        <v>72</v>
      </c>
      <c r="D460" s="35" t="s">
        <v>31</v>
      </c>
      <c r="E460" s="35" t="s">
        <v>44</v>
      </c>
      <c r="F460" s="35">
        <v>16</v>
      </c>
      <c r="G460" s="35">
        <v>1374.64</v>
      </c>
      <c r="H460" s="35">
        <v>21994.240000000002</v>
      </c>
      <c r="I460" s="35">
        <v>14820.46</v>
      </c>
      <c r="J460" s="35">
        <v>7173.78</v>
      </c>
      <c r="K460" s="37">
        <v>45952</v>
      </c>
      <c r="L460" s="37">
        <v>45955</v>
      </c>
      <c r="M460" s="35" t="s">
        <v>21</v>
      </c>
      <c r="N460" s="35">
        <v>2</v>
      </c>
      <c r="O460" s="35" t="s">
        <v>394</v>
      </c>
      <c r="P460" s="35">
        <v>6.8</v>
      </c>
    </row>
    <row r="461" spans="1:16" ht="15.75" customHeight="1" x14ac:dyDescent="0.3">
      <c r="A461" s="35" t="s">
        <v>1177</v>
      </c>
      <c r="B461" s="35" t="s">
        <v>1178</v>
      </c>
      <c r="C461" s="35" t="s">
        <v>62</v>
      </c>
      <c r="D461" s="35" t="s">
        <v>31</v>
      </c>
      <c r="E461" s="35" t="s">
        <v>32</v>
      </c>
      <c r="F461" s="35">
        <v>4</v>
      </c>
      <c r="G461" s="35">
        <v>3106.94</v>
      </c>
      <c r="H461" s="35">
        <v>12427.76</v>
      </c>
      <c r="I461" s="35">
        <v>9929.68</v>
      </c>
      <c r="J461" s="35">
        <v>2498.08</v>
      </c>
      <c r="K461" s="37">
        <v>46082</v>
      </c>
      <c r="L461" s="37">
        <v>46090</v>
      </c>
      <c r="M461" s="35" t="s">
        <v>21</v>
      </c>
      <c r="N461" s="35">
        <v>5</v>
      </c>
      <c r="O461" s="35" t="s">
        <v>102</v>
      </c>
      <c r="P461" s="35">
        <v>9.1</v>
      </c>
    </row>
    <row r="462" spans="1:16" ht="15.75" customHeight="1" x14ac:dyDescent="0.3">
      <c r="A462" s="35" t="s">
        <v>1179</v>
      </c>
      <c r="B462" s="35" t="s">
        <v>1180</v>
      </c>
      <c r="C462" s="35" t="s">
        <v>95</v>
      </c>
      <c r="D462" s="35" t="s">
        <v>19</v>
      </c>
      <c r="E462" s="35" t="s">
        <v>25</v>
      </c>
      <c r="F462" s="35">
        <v>17</v>
      </c>
      <c r="G462" s="35">
        <v>1616.35</v>
      </c>
      <c r="H462" s="35">
        <v>27477.95</v>
      </c>
      <c r="I462" s="35">
        <v>18802.849999999999</v>
      </c>
      <c r="J462" s="35">
        <v>8675.1</v>
      </c>
      <c r="K462" s="37">
        <v>46039</v>
      </c>
      <c r="L462" s="37">
        <v>46043</v>
      </c>
      <c r="M462" s="35" t="s">
        <v>45</v>
      </c>
      <c r="N462" s="35">
        <v>4</v>
      </c>
      <c r="O462" s="35" t="s">
        <v>515</v>
      </c>
      <c r="P462" s="35">
        <v>8</v>
      </c>
    </row>
    <row r="463" spans="1:16" ht="15.75" customHeight="1" x14ac:dyDescent="0.3">
      <c r="A463" s="35" t="s">
        <v>1181</v>
      </c>
      <c r="B463" s="35" t="s">
        <v>1182</v>
      </c>
      <c r="C463" s="35" t="s">
        <v>95</v>
      </c>
      <c r="D463" s="35" t="s">
        <v>19</v>
      </c>
      <c r="E463" s="35" t="s">
        <v>44</v>
      </c>
      <c r="F463" s="35">
        <v>18</v>
      </c>
      <c r="G463" s="35">
        <v>1297.17</v>
      </c>
      <c r="H463" s="35">
        <v>23349.06</v>
      </c>
      <c r="I463" s="35">
        <v>17280.55</v>
      </c>
      <c r="J463" s="35">
        <v>6068.51</v>
      </c>
      <c r="K463" s="37">
        <v>45870</v>
      </c>
      <c r="L463" s="37">
        <v>45871</v>
      </c>
      <c r="M463" s="35" t="s">
        <v>21</v>
      </c>
      <c r="N463" s="35">
        <v>4</v>
      </c>
      <c r="O463" s="35" t="s">
        <v>802</v>
      </c>
      <c r="P463" s="35">
        <v>6.8</v>
      </c>
    </row>
    <row r="464" spans="1:16" ht="15.75" customHeight="1" x14ac:dyDescent="0.3">
      <c r="A464" s="35" t="s">
        <v>1183</v>
      </c>
      <c r="B464" s="35" t="s">
        <v>1184</v>
      </c>
      <c r="C464" s="35" t="s">
        <v>95</v>
      </c>
      <c r="D464" s="35" t="s">
        <v>19</v>
      </c>
      <c r="E464" s="35" t="s">
        <v>25</v>
      </c>
      <c r="F464" s="35">
        <v>19</v>
      </c>
      <c r="G464" s="35">
        <v>4664.8500000000004</v>
      </c>
      <c r="H464" s="35">
        <v>88632.15</v>
      </c>
      <c r="I464" s="35">
        <v>70313.899999999994</v>
      </c>
      <c r="J464" s="35">
        <v>18318.25</v>
      </c>
      <c r="K464" s="37">
        <v>45454</v>
      </c>
      <c r="L464" s="37">
        <v>45464</v>
      </c>
      <c r="M464" s="35" t="s">
        <v>45</v>
      </c>
      <c r="N464" s="35">
        <v>1</v>
      </c>
      <c r="O464" s="35" t="s">
        <v>276</v>
      </c>
      <c r="P464" s="35">
        <v>8.9</v>
      </c>
    </row>
    <row r="465" spans="1:16" ht="15.75" customHeight="1" x14ac:dyDescent="0.3">
      <c r="A465" s="35" t="s">
        <v>1185</v>
      </c>
      <c r="B465" s="35" t="s">
        <v>1186</v>
      </c>
      <c r="C465" s="35" t="s">
        <v>62</v>
      </c>
      <c r="D465" s="35" t="s">
        <v>31</v>
      </c>
      <c r="E465" s="35" t="s">
        <v>44</v>
      </c>
      <c r="F465" s="35">
        <v>15</v>
      </c>
      <c r="G465" s="35">
        <v>660.73</v>
      </c>
      <c r="H465" s="35">
        <v>9910.9500000000007</v>
      </c>
      <c r="I465" s="35">
        <v>5509.2</v>
      </c>
      <c r="J465" s="35">
        <v>4401.75</v>
      </c>
      <c r="K465" s="37">
        <v>45981</v>
      </c>
      <c r="L465" s="37">
        <v>45991</v>
      </c>
      <c r="M465" s="35" t="s">
        <v>38</v>
      </c>
      <c r="N465" s="35">
        <v>2</v>
      </c>
      <c r="O465" s="35" t="s">
        <v>998</v>
      </c>
      <c r="P465" s="35">
        <v>7.2</v>
      </c>
    </row>
    <row r="466" spans="1:16" ht="15.75" customHeight="1" x14ac:dyDescent="0.3">
      <c r="A466" s="35" t="s">
        <v>1187</v>
      </c>
      <c r="B466" s="35" t="s">
        <v>1188</v>
      </c>
      <c r="C466" s="35" t="s">
        <v>95</v>
      </c>
      <c r="D466" s="35" t="s">
        <v>19</v>
      </c>
      <c r="E466" s="35" t="s">
        <v>20</v>
      </c>
      <c r="F466" s="35">
        <v>16</v>
      </c>
      <c r="G466" s="35">
        <v>4967.6400000000003</v>
      </c>
      <c r="H466" s="35">
        <v>79482.240000000005</v>
      </c>
      <c r="I466" s="35">
        <v>53263.839999999997</v>
      </c>
      <c r="J466" s="35">
        <v>26218.400000000001</v>
      </c>
      <c r="K466" s="37">
        <v>45511</v>
      </c>
      <c r="L466" s="37">
        <v>45519</v>
      </c>
      <c r="M466" s="35" t="s">
        <v>33</v>
      </c>
      <c r="N466" s="35">
        <v>2</v>
      </c>
      <c r="O466" s="35" t="s">
        <v>196</v>
      </c>
      <c r="P466" s="35">
        <v>7.7</v>
      </c>
    </row>
    <row r="467" spans="1:16" ht="15.75" customHeight="1" x14ac:dyDescent="0.3">
      <c r="A467" s="35" t="s">
        <v>1189</v>
      </c>
      <c r="B467" s="35" t="s">
        <v>1190</v>
      </c>
      <c r="C467" s="35" t="s">
        <v>42</v>
      </c>
      <c r="D467" s="35" t="s">
        <v>43</v>
      </c>
      <c r="E467" s="35" t="s">
        <v>25</v>
      </c>
      <c r="F467" s="35">
        <v>9</v>
      </c>
      <c r="G467" s="35">
        <v>1831.96</v>
      </c>
      <c r="H467" s="35">
        <v>16487.64</v>
      </c>
      <c r="I467" s="35">
        <v>9785.5499999999993</v>
      </c>
      <c r="J467" s="35">
        <v>6702.09</v>
      </c>
      <c r="K467" s="37">
        <v>46112</v>
      </c>
      <c r="L467" s="37">
        <v>46120</v>
      </c>
      <c r="M467" s="35" t="s">
        <v>69</v>
      </c>
      <c r="N467" s="35">
        <v>5</v>
      </c>
      <c r="O467" s="35" t="s">
        <v>1191</v>
      </c>
      <c r="P467" s="35">
        <v>6.6</v>
      </c>
    </row>
    <row r="468" spans="1:16" ht="15.75" customHeight="1" x14ac:dyDescent="0.3">
      <c r="A468" s="35" t="s">
        <v>1192</v>
      </c>
      <c r="B468" s="35" t="s">
        <v>1193</v>
      </c>
      <c r="C468" s="35" t="s">
        <v>18</v>
      </c>
      <c r="D468" s="35" t="s">
        <v>19</v>
      </c>
      <c r="E468" s="35" t="s">
        <v>20</v>
      </c>
      <c r="F468" s="35">
        <v>1</v>
      </c>
      <c r="G468" s="35">
        <v>1209.77</v>
      </c>
      <c r="H468" s="35">
        <v>1209.77</v>
      </c>
      <c r="I468" s="35">
        <v>714.44</v>
      </c>
      <c r="J468" s="35">
        <v>495.33</v>
      </c>
      <c r="K468" s="37">
        <v>46101</v>
      </c>
      <c r="L468" s="37">
        <v>46106</v>
      </c>
      <c r="M468" s="35" t="s">
        <v>50</v>
      </c>
      <c r="N468" s="35">
        <v>2</v>
      </c>
      <c r="O468" s="35" t="s">
        <v>192</v>
      </c>
      <c r="P468" s="35">
        <v>8.1999999999999993</v>
      </c>
    </row>
    <row r="469" spans="1:16" ht="15.75" customHeight="1" x14ac:dyDescent="0.3">
      <c r="A469" s="35" t="s">
        <v>1194</v>
      </c>
      <c r="B469" s="35" t="s">
        <v>1195</v>
      </c>
      <c r="C469" s="35" t="s">
        <v>37</v>
      </c>
      <c r="D469" s="35" t="s">
        <v>19</v>
      </c>
      <c r="E469" s="35" t="s">
        <v>25</v>
      </c>
      <c r="F469" s="35">
        <v>9</v>
      </c>
      <c r="G469" s="35">
        <v>2731.63</v>
      </c>
      <c r="H469" s="35">
        <v>24584.67</v>
      </c>
      <c r="I469" s="35">
        <v>14106.04</v>
      </c>
      <c r="J469" s="35">
        <v>10478.629999999999</v>
      </c>
      <c r="K469" s="37">
        <v>45718</v>
      </c>
      <c r="L469" s="37">
        <v>45724</v>
      </c>
      <c r="M469" s="35" t="s">
        <v>33</v>
      </c>
      <c r="N469" s="35">
        <v>4</v>
      </c>
      <c r="O469" s="35" t="s">
        <v>300</v>
      </c>
      <c r="P469" s="35">
        <v>7.8</v>
      </c>
    </row>
    <row r="470" spans="1:16" ht="15.75" customHeight="1" x14ac:dyDescent="0.3">
      <c r="A470" s="35" t="s">
        <v>1196</v>
      </c>
      <c r="B470" s="35" t="s">
        <v>1197</v>
      </c>
      <c r="C470" s="35" t="s">
        <v>219</v>
      </c>
      <c r="D470" s="35" t="s">
        <v>43</v>
      </c>
      <c r="E470" s="35" t="s">
        <v>44</v>
      </c>
      <c r="F470" s="35">
        <v>10</v>
      </c>
      <c r="G470" s="35">
        <v>1027.18</v>
      </c>
      <c r="H470" s="35">
        <v>10271.799999999999</v>
      </c>
      <c r="I470" s="35">
        <v>5773.39</v>
      </c>
      <c r="J470" s="35">
        <v>4498.41</v>
      </c>
      <c r="K470" s="37">
        <v>45807</v>
      </c>
      <c r="L470" s="37">
        <v>45816</v>
      </c>
      <c r="M470" s="35" t="s">
        <v>181</v>
      </c>
      <c r="N470" s="35">
        <v>5</v>
      </c>
      <c r="O470" s="35" t="s">
        <v>645</v>
      </c>
      <c r="P470" s="35">
        <v>9</v>
      </c>
    </row>
    <row r="471" spans="1:16" ht="15.75" customHeight="1" x14ac:dyDescent="0.3">
      <c r="A471" s="35" t="s">
        <v>1198</v>
      </c>
      <c r="B471" s="35" t="s">
        <v>1199</v>
      </c>
      <c r="C471" s="35" t="s">
        <v>195</v>
      </c>
      <c r="D471" s="35" t="s">
        <v>43</v>
      </c>
      <c r="E471" s="35" t="s">
        <v>25</v>
      </c>
      <c r="F471" s="35">
        <v>20</v>
      </c>
      <c r="G471" s="35">
        <v>1867.62</v>
      </c>
      <c r="H471" s="35">
        <v>37352.400000000001</v>
      </c>
      <c r="I471" s="35">
        <v>27218.74</v>
      </c>
      <c r="J471" s="35">
        <v>10133.66</v>
      </c>
      <c r="K471" s="37">
        <v>45697</v>
      </c>
      <c r="L471" s="37">
        <v>45702</v>
      </c>
      <c r="M471" s="35" t="s">
        <v>123</v>
      </c>
      <c r="N471" s="35">
        <v>4</v>
      </c>
      <c r="O471" s="35" t="s">
        <v>175</v>
      </c>
      <c r="P471" s="35">
        <v>7.9</v>
      </c>
    </row>
    <row r="472" spans="1:16" ht="15.75" customHeight="1" x14ac:dyDescent="0.3">
      <c r="A472" s="35" t="s">
        <v>1200</v>
      </c>
      <c r="B472" s="35" t="s">
        <v>1201</v>
      </c>
      <c r="C472" s="35" t="s">
        <v>195</v>
      </c>
      <c r="D472" s="35" t="s">
        <v>43</v>
      </c>
      <c r="E472" s="35" t="s">
        <v>44</v>
      </c>
      <c r="F472" s="35">
        <v>11</v>
      </c>
      <c r="G472" s="35">
        <v>2940.07</v>
      </c>
      <c r="H472" s="35">
        <v>32340.77</v>
      </c>
      <c r="I472" s="35">
        <v>27943.15</v>
      </c>
      <c r="J472" s="35">
        <v>4397.62</v>
      </c>
      <c r="K472" s="37">
        <v>45849</v>
      </c>
      <c r="L472" s="37">
        <v>45859</v>
      </c>
      <c r="M472" s="35" t="s">
        <v>181</v>
      </c>
      <c r="N472" s="35">
        <v>4</v>
      </c>
      <c r="O472" s="35" t="s">
        <v>463</v>
      </c>
      <c r="P472" s="35">
        <v>8.1999999999999993</v>
      </c>
    </row>
    <row r="473" spans="1:16" ht="15.75" customHeight="1" x14ac:dyDescent="0.3">
      <c r="A473" s="35" t="s">
        <v>1202</v>
      </c>
      <c r="B473" s="35" t="s">
        <v>1203</v>
      </c>
      <c r="C473" s="35" t="s">
        <v>30</v>
      </c>
      <c r="D473" s="35" t="s">
        <v>31</v>
      </c>
      <c r="E473" s="35" t="s">
        <v>25</v>
      </c>
      <c r="F473" s="35">
        <v>4</v>
      </c>
      <c r="G473" s="35">
        <v>4043.53</v>
      </c>
      <c r="H473" s="35">
        <v>16174.12</v>
      </c>
      <c r="I473" s="35">
        <v>13033.63</v>
      </c>
      <c r="J473" s="35">
        <v>3140.49</v>
      </c>
      <c r="K473" s="37">
        <v>46120</v>
      </c>
      <c r="L473" s="37">
        <v>46124</v>
      </c>
      <c r="M473" s="35" t="s">
        <v>58</v>
      </c>
      <c r="N473" s="35">
        <v>4</v>
      </c>
      <c r="O473" s="35" t="s">
        <v>809</v>
      </c>
      <c r="P473" s="35">
        <v>6.4</v>
      </c>
    </row>
    <row r="474" spans="1:16" ht="15.75" customHeight="1" x14ac:dyDescent="0.3">
      <c r="A474" s="35" t="s">
        <v>1204</v>
      </c>
      <c r="B474" s="35" t="s">
        <v>1205</v>
      </c>
      <c r="C474" s="35" t="s">
        <v>49</v>
      </c>
      <c r="D474" s="35" t="s">
        <v>43</v>
      </c>
      <c r="E474" s="35" t="s">
        <v>20</v>
      </c>
      <c r="F474" s="35">
        <v>11</v>
      </c>
      <c r="G474" s="35">
        <v>123.25</v>
      </c>
      <c r="H474" s="35">
        <v>1355.75</v>
      </c>
      <c r="I474" s="35">
        <v>849.46</v>
      </c>
      <c r="J474" s="35">
        <v>506.29</v>
      </c>
      <c r="K474" s="37">
        <v>45961</v>
      </c>
      <c r="L474" s="37">
        <v>45965</v>
      </c>
      <c r="M474" s="35" t="s">
        <v>50</v>
      </c>
      <c r="N474" s="35">
        <v>1</v>
      </c>
      <c r="O474" s="35" t="s">
        <v>154</v>
      </c>
      <c r="P474" s="35">
        <v>9.1999999999999993</v>
      </c>
    </row>
    <row r="475" spans="1:16" ht="15.75" customHeight="1" x14ac:dyDescent="0.3">
      <c r="A475" s="35" t="s">
        <v>1206</v>
      </c>
      <c r="B475" s="35" t="s">
        <v>1207</v>
      </c>
      <c r="C475" s="35" t="s">
        <v>62</v>
      </c>
      <c r="D475" s="35" t="s">
        <v>31</v>
      </c>
      <c r="E475" s="35" t="s">
        <v>32</v>
      </c>
      <c r="F475" s="35">
        <v>7</v>
      </c>
      <c r="G475" s="35">
        <v>427.77</v>
      </c>
      <c r="H475" s="35">
        <v>2994.39</v>
      </c>
      <c r="I475" s="35">
        <v>2126.02</v>
      </c>
      <c r="J475" s="35">
        <v>868.37</v>
      </c>
      <c r="K475" s="37">
        <v>45480</v>
      </c>
      <c r="L475" s="37">
        <v>45490</v>
      </c>
      <c r="M475" s="35" t="s">
        <v>21</v>
      </c>
      <c r="N475" s="35">
        <v>4</v>
      </c>
      <c r="O475" s="35" t="s">
        <v>232</v>
      </c>
      <c r="P475" s="35">
        <v>6.9</v>
      </c>
    </row>
    <row r="476" spans="1:16" ht="15.75" customHeight="1" x14ac:dyDescent="0.3">
      <c r="A476" s="35" t="s">
        <v>1208</v>
      </c>
      <c r="B476" s="35" t="s">
        <v>1209</v>
      </c>
      <c r="C476" s="35" t="s">
        <v>95</v>
      </c>
      <c r="D476" s="35" t="s">
        <v>19</v>
      </c>
      <c r="E476" s="35" t="s">
        <v>44</v>
      </c>
      <c r="F476" s="35">
        <v>14</v>
      </c>
      <c r="G476" s="35">
        <v>3012.61</v>
      </c>
      <c r="H476" s="35">
        <v>42176.54</v>
      </c>
      <c r="I476" s="35">
        <v>26296.66</v>
      </c>
      <c r="J476" s="35">
        <v>15879.88</v>
      </c>
      <c r="K476" s="37">
        <v>45680</v>
      </c>
      <c r="L476" s="37">
        <v>45686</v>
      </c>
      <c r="M476" s="35" t="s">
        <v>69</v>
      </c>
      <c r="N476" s="35">
        <v>1</v>
      </c>
      <c r="O476" s="35" t="s">
        <v>254</v>
      </c>
      <c r="P476" s="35">
        <v>8.8000000000000007</v>
      </c>
    </row>
    <row r="477" spans="1:16" ht="15.75" customHeight="1" x14ac:dyDescent="0.3">
      <c r="A477" s="35" t="s">
        <v>1210</v>
      </c>
      <c r="B477" s="35" t="s">
        <v>1211</v>
      </c>
      <c r="C477" s="35" t="s">
        <v>95</v>
      </c>
      <c r="D477" s="35" t="s">
        <v>19</v>
      </c>
      <c r="E477" s="35" t="s">
        <v>20</v>
      </c>
      <c r="F477" s="35">
        <v>18</v>
      </c>
      <c r="G477" s="35">
        <v>2739.21</v>
      </c>
      <c r="H477" s="35">
        <v>49305.78</v>
      </c>
      <c r="I477" s="35">
        <v>34023.61</v>
      </c>
      <c r="J477" s="35">
        <v>15282.17</v>
      </c>
      <c r="K477" s="37">
        <v>45433</v>
      </c>
      <c r="L477" s="37">
        <v>45436</v>
      </c>
      <c r="M477" s="35" t="s">
        <v>26</v>
      </c>
      <c r="N477" s="35">
        <v>3</v>
      </c>
      <c r="O477" s="35" t="s">
        <v>767</v>
      </c>
      <c r="P477" s="35">
        <v>8</v>
      </c>
    </row>
    <row r="478" spans="1:16" ht="15.75" customHeight="1" x14ac:dyDescent="0.3">
      <c r="A478" s="35" t="s">
        <v>1212</v>
      </c>
      <c r="B478" s="35" t="s">
        <v>1213</v>
      </c>
      <c r="C478" s="35" t="s">
        <v>88</v>
      </c>
      <c r="D478" s="35" t="s">
        <v>31</v>
      </c>
      <c r="E478" s="35" t="s">
        <v>25</v>
      </c>
      <c r="F478" s="35">
        <v>15</v>
      </c>
      <c r="G478" s="35">
        <v>2711.92</v>
      </c>
      <c r="H478" s="35">
        <v>40678.800000000003</v>
      </c>
      <c r="I478" s="35">
        <v>26544.46</v>
      </c>
      <c r="J478" s="35">
        <v>14134.34</v>
      </c>
      <c r="K478" s="37">
        <v>45876</v>
      </c>
      <c r="L478" s="37">
        <v>45883</v>
      </c>
      <c r="M478" s="35" t="s">
        <v>58</v>
      </c>
      <c r="N478" s="35">
        <v>1</v>
      </c>
      <c r="O478" s="35" t="s">
        <v>243</v>
      </c>
      <c r="P478" s="35">
        <v>8.3000000000000007</v>
      </c>
    </row>
    <row r="479" spans="1:16" ht="15.75" customHeight="1" x14ac:dyDescent="0.3">
      <c r="A479" s="35" t="s">
        <v>1214</v>
      </c>
      <c r="B479" s="35" t="s">
        <v>1215</v>
      </c>
      <c r="C479" s="35" t="s">
        <v>49</v>
      </c>
      <c r="D479" s="35" t="s">
        <v>43</v>
      </c>
      <c r="E479" s="35" t="s">
        <v>44</v>
      </c>
      <c r="F479" s="35">
        <v>14</v>
      </c>
      <c r="G479" s="35">
        <v>4231.45</v>
      </c>
      <c r="H479" s="35">
        <v>59240.3</v>
      </c>
      <c r="I479" s="35">
        <v>41851.519999999997</v>
      </c>
      <c r="J479" s="35">
        <v>17388.78</v>
      </c>
      <c r="K479" s="37">
        <v>45611</v>
      </c>
      <c r="L479" s="37">
        <v>45621</v>
      </c>
      <c r="M479" s="35" t="s">
        <v>69</v>
      </c>
      <c r="N479" s="35">
        <v>3</v>
      </c>
      <c r="O479" s="35" t="s">
        <v>359</v>
      </c>
      <c r="P479" s="35">
        <v>7.4</v>
      </c>
    </row>
    <row r="480" spans="1:16" ht="15.75" customHeight="1" x14ac:dyDescent="0.3">
      <c r="A480" s="35" t="s">
        <v>1216</v>
      </c>
      <c r="B480" s="35" t="s">
        <v>1217</v>
      </c>
      <c r="C480" s="35" t="s">
        <v>88</v>
      </c>
      <c r="D480" s="35" t="s">
        <v>31</v>
      </c>
      <c r="E480" s="35" t="s">
        <v>44</v>
      </c>
      <c r="F480" s="35">
        <v>6</v>
      </c>
      <c r="G480" s="35">
        <v>1361.97</v>
      </c>
      <c r="H480" s="35">
        <v>8171.82</v>
      </c>
      <c r="I480" s="35">
        <v>6610.85</v>
      </c>
      <c r="J480" s="35">
        <v>1560.97</v>
      </c>
      <c r="K480" s="37">
        <v>46000</v>
      </c>
      <c r="L480" s="37">
        <v>46008</v>
      </c>
      <c r="M480" s="35" t="s">
        <v>45</v>
      </c>
      <c r="N480" s="35">
        <v>2</v>
      </c>
      <c r="O480" s="35" t="s">
        <v>1218</v>
      </c>
      <c r="P480" s="35">
        <v>8.8000000000000007</v>
      </c>
    </row>
    <row r="481" spans="1:16" ht="15.75" customHeight="1" x14ac:dyDescent="0.3">
      <c r="A481" s="35" t="s">
        <v>1219</v>
      </c>
      <c r="B481" s="35" t="s">
        <v>1220</v>
      </c>
      <c r="C481" s="35" t="s">
        <v>139</v>
      </c>
      <c r="D481" s="35" t="s">
        <v>31</v>
      </c>
      <c r="E481" s="35" t="s">
        <v>32</v>
      </c>
      <c r="F481" s="35">
        <v>17</v>
      </c>
      <c r="G481" s="35">
        <v>3565.78</v>
      </c>
      <c r="H481" s="35">
        <v>60618.26</v>
      </c>
      <c r="I481" s="35">
        <v>34953.71</v>
      </c>
      <c r="J481" s="35">
        <v>25664.55</v>
      </c>
      <c r="K481" s="37">
        <v>45624</v>
      </c>
      <c r="L481" s="37">
        <v>45630</v>
      </c>
      <c r="M481" s="35" t="s">
        <v>123</v>
      </c>
      <c r="N481" s="35">
        <v>3</v>
      </c>
      <c r="O481" s="35" t="s">
        <v>202</v>
      </c>
      <c r="P481" s="35">
        <v>8.3000000000000007</v>
      </c>
    </row>
    <row r="482" spans="1:16" ht="15.75" customHeight="1" x14ac:dyDescent="0.3">
      <c r="A482" s="35" t="s">
        <v>1221</v>
      </c>
      <c r="B482" s="35" t="s">
        <v>1222</v>
      </c>
      <c r="C482" s="35" t="s">
        <v>49</v>
      </c>
      <c r="D482" s="35" t="s">
        <v>43</v>
      </c>
      <c r="E482" s="35" t="s">
        <v>32</v>
      </c>
      <c r="F482" s="35">
        <v>20</v>
      </c>
      <c r="G482" s="35">
        <v>535.27</v>
      </c>
      <c r="H482" s="35">
        <v>10705.4</v>
      </c>
      <c r="I482" s="35">
        <v>8368.06</v>
      </c>
      <c r="J482" s="35">
        <v>2337.34</v>
      </c>
      <c r="K482" s="37">
        <v>45808</v>
      </c>
      <c r="L482" s="37">
        <v>45812</v>
      </c>
      <c r="M482" s="35" t="s">
        <v>69</v>
      </c>
      <c r="N482" s="35">
        <v>3</v>
      </c>
      <c r="O482" s="35" t="s">
        <v>162</v>
      </c>
      <c r="P482" s="35">
        <v>8.1999999999999993</v>
      </c>
    </row>
    <row r="483" spans="1:16" ht="15.75" customHeight="1" x14ac:dyDescent="0.3">
      <c r="A483" s="35" t="s">
        <v>1223</v>
      </c>
      <c r="B483" s="35" t="s">
        <v>1224</v>
      </c>
      <c r="C483" s="35" t="s">
        <v>42</v>
      </c>
      <c r="D483" s="35" t="s">
        <v>43</v>
      </c>
      <c r="E483" s="35" t="s">
        <v>25</v>
      </c>
      <c r="F483" s="35">
        <v>2</v>
      </c>
      <c r="G483" s="35">
        <v>2980.43</v>
      </c>
      <c r="H483" s="35">
        <v>5960.86</v>
      </c>
      <c r="I483" s="35">
        <v>4746.8900000000003</v>
      </c>
      <c r="J483" s="35">
        <v>1213.97</v>
      </c>
      <c r="K483" s="37">
        <v>45765</v>
      </c>
      <c r="L483" s="37">
        <v>45766</v>
      </c>
      <c r="M483" s="35" t="s">
        <v>69</v>
      </c>
      <c r="N483" s="35">
        <v>3</v>
      </c>
      <c r="O483" s="35" t="s">
        <v>496</v>
      </c>
      <c r="P483" s="35">
        <v>9.1</v>
      </c>
    </row>
    <row r="484" spans="1:16" ht="15.75" customHeight="1" x14ac:dyDescent="0.3">
      <c r="A484" s="35" t="s">
        <v>1225</v>
      </c>
      <c r="B484" s="35" t="s">
        <v>1226</v>
      </c>
      <c r="C484" s="35" t="s">
        <v>30</v>
      </c>
      <c r="D484" s="35" t="s">
        <v>31</v>
      </c>
      <c r="E484" s="35" t="s">
        <v>32</v>
      </c>
      <c r="F484" s="35">
        <v>9</v>
      </c>
      <c r="G484" s="35">
        <v>2625.01</v>
      </c>
      <c r="H484" s="35">
        <v>23625.09</v>
      </c>
      <c r="I484" s="35">
        <v>16038.2</v>
      </c>
      <c r="J484" s="35">
        <v>7586.89</v>
      </c>
      <c r="K484" s="37">
        <v>45930</v>
      </c>
      <c r="L484" s="37">
        <v>45935</v>
      </c>
      <c r="M484" s="35" t="s">
        <v>33</v>
      </c>
      <c r="N484" s="35">
        <v>4</v>
      </c>
      <c r="O484" s="35" t="s">
        <v>715</v>
      </c>
      <c r="P484" s="35">
        <v>8.8000000000000007</v>
      </c>
    </row>
    <row r="485" spans="1:16" ht="15.75" customHeight="1" x14ac:dyDescent="0.3">
      <c r="A485" s="35" t="s">
        <v>1227</v>
      </c>
      <c r="B485" s="35" t="s">
        <v>1228</v>
      </c>
      <c r="C485" s="35" t="s">
        <v>88</v>
      </c>
      <c r="D485" s="35" t="s">
        <v>31</v>
      </c>
      <c r="E485" s="35" t="s">
        <v>44</v>
      </c>
      <c r="F485" s="35">
        <v>16</v>
      </c>
      <c r="G485" s="35">
        <v>1241.06</v>
      </c>
      <c r="H485" s="35">
        <v>19856.96</v>
      </c>
      <c r="I485" s="35">
        <v>10727.4</v>
      </c>
      <c r="J485" s="35">
        <v>9129.56</v>
      </c>
      <c r="K485" s="37">
        <v>45738</v>
      </c>
      <c r="L485" s="37">
        <v>45740</v>
      </c>
      <c r="M485" s="35" t="s">
        <v>38</v>
      </c>
      <c r="N485" s="35">
        <v>5</v>
      </c>
      <c r="O485" s="35" t="s">
        <v>92</v>
      </c>
      <c r="P485" s="35">
        <v>7.8</v>
      </c>
    </row>
    <row r="486" spans="1:16" ht="15.75" customHeight="1" x14ac:dyDescent="0.3">
      <c r="A486" s="35" t="s">
        <v>1229</v>
      </c>
      <c r="B486" s="35" t="s">
        <v>1230</v>
      </c>
      <c r="C486" s="35" t="s">
        <v>42</v>
      </c>
      <c r="D486" s="35" t="s">
        <v>43</v>
      </c>
      <c r="E486" s="35" t="s">
        <v>32</v>
      </c>
      <c r="F486" s="35">
        <v>17</v>
      </c>
      <c r="G486" s="35">
        <v>1344.55</v>
      </c>
      <c r="H486" s="35">
        <v>22857.35</v>
      </c>
      <c r="I486" s="35">
        <v>20264.689999999999</v>
      </c>
      <c r="J486" s="35">
        <v>2592.66</v>
      </c>
      <c r="K486" s="37">
        <v>45588</v>
      </c>
      <c r="L486" s="37">
        <v>45591</v>
      </c>
      <c r="M486" s="35" t="s">
        <v>50</v>
      </c>
      <c r="N486" s="35">
        <v>3</v>
      </c>
      <c r="O486" s="35" t="s">
        <v>436</v>
      </c>
      <c r="P486" s="35">
        <v>6.5</v>
      </c>
    </row>
    <row r="487" spans="1:16" ht="15.75" customHeight="1" x14ac:dyDescent="0.3">
      <c r="A487" s="35" t="s">
        <v>1231</v>
      </c>
      <c r="B487" s="35" t="s">
        <v>1232</v>
      </c>
      <c r="C487" s="35" t="s">
        <v>88</v>
      </c>
      <c r="D487" s="35" t="s">
        <v>31</v>
      </c>
      <c r="E487" s="35" t="s">
        <v>32</v>
      </c>
      <c r="F487" s="35">
        <v>14</v>
      </c>
      <c r="G487" s="35">
        <v>1195.8499999999999</v>
      </c>
      <c r="H487" s="35">
        <v>16741.900000000001</v>
      </c>
      <c r="I487" s="35">
        <v>12890.12</v>
      </c>
      <c r="J487" s="35">
        <v>3851.78</v>
      </c>
      <c r="K487" s="37">
        <v>45972</v>
      </c>
      <c r="L487" s="37">
        <v>45980</v>
      </c>
      <c r="M487" s="35" t="s">
        <v>181</v>
      </c>
      <c r="N487" s="35">
        <v>4</v>
      </c>
      <c r="O487" s="35" t="s">
        <v>604</v>
      </c>
      <c r="P487" s="35">
        <v>8.8000000000000007</v>
      </c>
    </row>
    <row r="488" spans="1:16" ht="15.75" customHeight="1" x14ac:dyDescent="0.3">
      <c r="A488" s="35" t="s">
        <v>1233</v>
      </c>
      <c r="B488" s="35" t="s">
        <v>1234</v>
      </c>
      <c r="C488" s="35" t="s">
        <v>30</v>
      </c>
      <c r="D488" s="35" t="s">
        <v>31</v>
      </c>
      <c r="E488" s="35" t="s">
        <v>25</v>
      </c>
      <c r="F488" s="35">
        <v>6</v>
      </c>
      <c r="G488" s="35">
        <v>2055.27</v>
      </c>
      <c r="H488" s="35">
        <v>12331.62</v>
      </c>
      <c r="I488" s="35">
        <v>9750.51</v>
      </c>
      <c r="J488" s="35">
        <v>2581.11</v>
      </c>
      <c r="K488" s="37">
        <v>45498</v>
      </c>
      <c r="L488" s="37">
        <v>45506</v>
      </c>
      <c r="M488" s="35" t="s">
        <v>45</v>
      </c>
      <c r="N488" s="35">
        <v>5</v>
      </c>
      <c r="O488" s="35" t="s">
        <v>66</v>
      </c>
      <c r="P488" s="35">
        <v>7.4</v>
      </c>
    </row>
    <row r="489" spans="1:16" ht="15.75" customHeight="1" x14ac:dyDescent="0.3">
      <c r="A489" s="35" t="s">
        <v>1235</v>
      </c>
      <c r="B489" s="35" t="s">
        <v>1236</v>
      </c>
      <c r="C489" s="35" t="s">
        <v>168</v>
      </c>
      <c r="D489" s="35" t="s">
        <v>43</v>
      </c>
      <c r="E489" s="35" t="s">
        <v>25</v>
      </c>
      <c r="F489" s="35">
        <v>10</v>
      </c>
      <c r="G489" s="35">
        <v>207.18</v>
      </c>
      <c r="H489" s="35">
        <v>2071.8000000000002</v>
      </c>
      <c r="I489" s="35">
        <v>1207.8599999999999</v>
      </c>
      <c r="J489" s="35">
        <v>863.94</v>
      </c>
      <c r="K489" s="37">
        <v>45762</v>
      </c>
      <c r="L489" s="37">
        <v>45771</v>
      </c>
      <c r="M489" s="35" t="s">
        <v>33</v>
      </c>
      <c r="N489" s="35">
        <v>4</v>
      </c>
      <c r="O489" s="35" t="s">
        <v>828</v>
      </c>
      <c r="P489" s="35">
        <v>7.2</v>
      </c>
    </row>
    <row r="490" spans="1:16" ht="15.75" customHeight="1" x14ac:dyDescent="0.3">
      <c r="A490" s="35" t="s">
        <v>1237</v>
      </c>
      <c r="B490" s="35" t="s">
        <v>1238</v>
      </c>
      <c r="C490" s="35" t="s">
        <v>95</v>
      </c>
      <c r="D490" s="35" t="s">
        <v>19</v>
      </c>
      <c r="E490" s="35" t="s">
        <v>32</v>
      </c>
      <c r="F490" s="35">
        <v>13</v>
      </c>
      <c r="G490" s="35">
        <v>1775.11</v>
      </c>
      <c r="H490" s="35">
        <v>23076.43</v>
      </c>
      <c r="I490" s="35">
        <v>13899.53</v>
      </c>
      <c r="J490" s="35">
        <v>9176.9</v>
      </c>
      <c r="K490" s="37">
        <v>46121</v>
      </c>
      <c r="L490" s="37">
        <v>46130</v>
      </c>
      <c r="M490" s="35" t="s">
        <v>38</v>
      </c>
      <c r="N490" s="35">
        <v>5</v>
      </c>
      <c r="O490" s="35" t="s">
        <v>1239</v>
      </c>
      <c r="P490" s="35">
        <v>8.9</v>
      </c>
    </row>
    <row r="491" spans="1:16" ht="15.75" customHeight="1" x14ac:dyDescent="0.3">
      <c r="A491" s="35" t="s">
        <v>1240</v>
      </c>
      <c r="B491" s="35" t="s">
        <v>1241</v>
      </c>
      <c r="C491" s="35" t="s">
        <v>95</v>
      </c>
      <c r="D491" s="35" t="s">
        <v>19</v>
      </c>
      <c r="E491" s="35" t="s">
        <v>32</v>
      </c>
      <c r="F491" s="35">
        <v>10</v>
      </c>
      <c r="G491" s="35">
        <v>1704.68</v>
      </c>
      <c r="H491" s="35">
        <v>17046.8</v>
      </c>
      <c r="I491" s="35">
        <v>9649.44</v>
      </c>
      <c r="J491" s="35">
        <v>7397.36</v>
      </c>
      <c r="K491" s="37">
        <v>45782</v>
      </c>
      <c r="L491" s="37">
        <v>45785</v>
      </c>
      <c r="M491" s="35" t="s">
        <v>21</v>
      </c>
      <c r="N491" s="35">
        <v>4</v>
      </c>
      <c r="O491" s="35" t="s">
        <v>1242</v>
      </c>
      <c r="P491" s="35">
        <v>9.6</v>
      </c>
    </row>
    <row r="492" spans="1:16" ht="15.75" customHeight="1" x14ac:dyDescent="0.3">
      <c r="A492" s="35" t="s">
        <v>1243</v>
      </c>
      <c r="B492" s="35" t="s">
        <v>1244</v>
      </c>
      <c r="C492" s="35" t="s">
        <v>95</v>
      </c>
      <c r="D492" s="35" t="s">
        <v>19</v>
      </c>
      <c r="E492" s="35" t="s">
        <v>44</v>
      </c>
      <c r="F492" s="35">
        <v>6</v>
      </c>
      <c r="G492" s="35">
        <v>3318.29</v>
      </c>
      <c r="H492" s="35">
        <v>19909.740000000002</v>
      </c>
      <c r="I492" s="35">
        <v>11074.09</v>
      </c>
      <c r="J492" s="35">
        <v>8835.65</v>
      </c>
      <c r="K492" s="37">
        <v>45724</v>
      </c>
      <c r="L492" s="37">
        <v>45734</v>
      </c>
      <c r="M492" s="35" t="s">
        <v>50</v>
      </c>
      <c r="N492" s="35">
        <v>4</v>
      </c>
      <c r="O492" s="35" t="s">
        <v>294</v>
      </c>
      <c r="P492" s="35">
        <v>7.8</v>
      </c>
    </row>
    <row r="493" spans="1:16" ht="15.75" customHeight="1" x14ac:dyDescent="0.3">
      <c r="A493" s="35" t="s">
        <v>1245</v>
      </c>
      <c r="B493" s="35" t="s">
        <v>1246</v>
      </c>
      <c r="C493" s="35" t="s">
        <v>144</v>
      </c>
      <c r="D493" s="35" t="s">
        <v>19</v>
      </c>
      <c r="E493" s="35" t="s">
        <v>25</v>
      </c>
      <c r="F493" s="35">
        <v>7</v>
      </c>
      <c r="G493" s="35">
        <v>4114.63</v>
      </c>
      <c r="H493" s="35">
        <v>28802.41</v>
      </c>
      <c r="I493" s="35">
        <v>16654.259999999998</v>
      </c>
      <c r="J493" s="35">
        <v>12148.15</v>
      </c>
      <c r="K493" s="37">
        <v>45910</v>
      </c>
      <c r="L493" s="37">
        <v>45918</v>
      </c>
      <c r="M493" s="35" t="s">
        <v>38</v>
      </c>
      <c r="N493" s="35">
        <v>3</v>
      </c>
      <c r="O493" s="35" t="s">
        <v>1035</v>
      </c>
      <c r="P493" s="35">
        <v>8.1999999999999993</v>
      </c>
    </row>
    <row r="494" spans="1:16" ht="15.75" customHeight="1" x14ac:dyDescent="0.3">
      <c r="A494" s="35" t="s">
        <v>1247</v>
      </c>
      <c r="B494" s="35" t="s">
        <v>1248</v>
      </c>
      <c r="C494" s="35" t="s">
        <v>37</v>
      </c>
      <c r="D494" s="35" t="s">
        <v>19</v>
      </c>
      <c r="E494" s="35" t="s">
        <v>20</v>
      </c>
      <c r="F494" s="35">
        <v>3</v>
      </c>
      <c r="G494" s="35">
        <v>651.28</v>
      </c>
      <c r="H494" s="35">
        <v>1953.84</v>
      </c>
      <c r="I494" s="35">
        <v>1270.82</v>
      </c>
      <c r="J494" s="35">
        <v>683.02</v>
      </c>
      <c r="K494" s="37">
        <v>45871</v>
      </c>
      <c r="L494" s="37">
        <v>45881</v>
      </c>
      <c r="M494" s="35" t="s">
        <v>58</v>
      </c>
      <c r="N494" s="35">
        <v>4</v>
      </c>
      <c r="O494" s="35" t="s">
        <v>362</v>
      </c>
      <c r="P494" s="35">
        <v>6.7</v>
      </c>
    </row>
    <row r="495" spans="1:16" ht="15.75" customHeight="1" x14ac:dyDescent="0.3">
      <c r="A495" s="35" t="s">
        <v>1249</v>
      </c>
      <c r="B495" s="35" t="s">
        <v>1250</v>
      </c>
      <c r="C495" s="35" t="s">
        <v>144</v>
      </c>
      <c r="D495" s="35" t="s">
        <v>19</v>
      </c>
      <c r="E495" s="35" t="s">
        <v>32</v>
      </c>
      <c r="F495" s="35">
        <v>5</v>
      </c>
      <c r="G495" s="35">
        <v>3154.38</v>
      </c>
      <c r="H495" s="35">
        <v>15771.9</v>
      </c>
      <c r="I495" s="35">
        <v>13369.74</v>
      </c>
      <c r="J495" s="35">
        <v>2402.16</v>
      </c>
      <c r="K495" s="37">
        <v>45500</v>
      </c>
      <c r="L495" s="37">
        <v>45502</v>
      </c>
      <c r="M495" s="35" t="s">
        <v>50</v>
      </c>
      <c r="N495" s="35">
        <v>3</v>
      </c>
      <c r="O495" s="35" t="s">
        <v>1251</v>
      </c>
      <c r="P495" s="35">
        <v>9.8000000000000007</v>
      </c>
    </row>
    <row r="496" spans="1:16" ht="15.75" customHeight="1" x14ac:dyDescent="0.3">
      <c r="A496" s="35" t="s">
        <v>1252</v>
      </c>
      <c r="B496" s="35" t="s">
        <v>1253</v>
      </c>
      <c r="C496" s="35" t="s">
        <v>144</v>
      </c>
      <c r="D496" s="35" t="s">
        <v>19</v>
      </c>
      <c r="E496" s="35" t="s">
        <v>25</v>
      </c>
      <c r="F496" s="35">
        <v>18</v>
      </c>
      <c r="G496" s="35">
        <v>4259.55</v>
      </c>
      <c r="H496" s="35">
        <v>76671.899999999994</v>
      </c>
      <c r="I496" s="35">
        <v>54546.01</v>
      </c>
      <c r="J496" s="35">
        <v>22125.89</v>
      </c>
      <c r="K496" s="37">
        <v>45932</v>
      </c>
      <c r="L496" s="37">
        <v>45939</v>
      </c>
      <c r="M496" s="35" t="s">
        <v>21</v>
      </c>
      <c r="N496" s="35">
        <v>5</v>
      </c>
      <c r="O496" s="35" t="s">
        <v>839</v>
      </c>
      <c r="P496" s="35">
        <v>7.1</v>
      </c>
    </row>
    <row r="497" spans="1:16" ht="15.75" customHeight="1" x14ac:dyDescent="0.3">
      <c r="A497" s="35" t="s">
        <v>1254</v>
      </c>
      <c r="B497" s="35" t="s">
        <v>1255</v>
      </c>
      <c r="C497" s="35" t="s">
        <v>88</v>
      </c>
      <c r="D497" s="35" t="s">
        <v>31</v>
      </c>
      <c r="E497" s="35" t="s">
        <v>25</v>
      </c>
      <c r="F497" s="35">
        <v>7</v>
      </c>
      <c r="G497" s="35">
        <v>3425.71</v>
      </c>
      <c r="H497" s="35">
        <v>23979.97</v>
      </c>
      <c r="I497" s="35">
        <v>13562.42</v>
      </c>
      <c r="J497" s="35">
        <v>10417.549999999999</v>
      </c>
      <c r="K497" s="37">
        <v>45726</v>
      </c>
      <c r="L497" s="37">
        <v>45731</v>
      </c>
      <c r="M497" s="35" t="s">
        <v>45</v>
      </c>
      <c r="N497" s="35">
        <v>3</v>
      </c>
      <c r="O497" s="35" t="s">
        <v>460</v>
      </c>
      <c r="P497" s="35">
        <v>9.6999999999999993</v>
      </c>
    </row>
    <row r="498" spans="1:16" ht="15.75" customHeight="1" x14ac:dyDescent="0.3">
      <c r="A498" s="35" t="s">
        <v>1256</v>
      </c>
      <c r="B498" s="35" t="s">
        <v>1257</v>
      </c>
      <c r="C498" s="35" t="s">
        <v>30</v>
      </c>
      <c r="D498" s="35" t="s">
        <v>31</v>
      </c>
      <c r="E498" s="35" t="s">
        <v>44</v>
      </c>
      <c r="F498" s="35">
        <v>13</v>
      </c>
      <c r="G498" s="35">
        <v>3374.42</v>
      </c>
      <c r="H498" s="35">
        <v>43867.46</v>
      </c>
      <c r="I498" s="35">
        <v>28290.34</v>
      </c>
      <c r="J498" s="35">
        <v>15577.12</v>
      </c>
      <c r="K498" s="37">
        <v>45596</v>
      </c>
      <c r="L498" s="37">
        <v>45604</v>
      </c>
      <c r="M498" s="35" t="s">
        <v>45</v>
      </c>
      <c r="N498" s="35">
        <v>4</v>
      </c>
      <c r="O498" s="35" t="s">
        <v>904</v>
      </c>
      <c r="P498" s="35">
        <v>8.4</v>
      </c>
    </row>
    <row r="499" spans="1:16" ht="15.75" customHeight="1" x14ac:dyDescent="0.3">
      <c r="A499" s="35" t="s">
        <v>1258</v>
      </c>
      <c r="B499" s="35" t="s">
        <v>1259</v>
      </c>
      <c r="C499" s="35" t="s">
        <v>139</v>
      </c>
      <c r="D499" s="35" t="s">
        <v>31</v>
      </c>
      <c r="E499" s="35" t="s">
        <v>44</v>
      </c>
      <c r="F499" s="35">
        <v>14</v>
      </c>
      <c r="G499" s="35">
        <v>379.18</v>
      </c>
      <c r="H499" s="35">
        <v>5308.52</v>
      </c>
      <c r="I499" s="35">
        <v>3541.49</v>
      </c>
      <c r="J499" s="35">
        <v>1767.03</v>
      </c>
      <c r="K499" s="37">
        <v>45665</v>
      </c>
      <c r="L499" s="37">
        <v>45666</v>
      </c>
      <c r="M499" s="35" t="s">
        <v>58</v>
      </c>
      <c r="N499" s="35">
        <v>4</v>
      </c>
      <c r="O499" s="35" t="s">
        <v>426</v>
      </c>
      <c r="P499" s="35">
        <v>8</v>
      </c>
    </row>
    <row r="500" spans="1:16" ht="15.75" customHeight="1" x14ac:dyDescent="0.3">
      <c r="A500" s="35" t="s">
        <v>1260</v>
      </c>
      <c r="B500" s="35" t="s">
        <v>1261</v>
      </c>
      <c r="C500" s="35" t="s">
        <v>37</v>
      </c>
      <c r="D500" s="35" t="s">
        <v>19</v>
      </c>
      <c r="E500" s="35" t="s">
        <v>25</v>
      </c>
      <c r="F500" s="35">
        <v>15</v>
      </c>
      <c r="G500" s="35">
        <v>4984.7700000000004</v>
      </c>
      <c r="H500" s="35">
        <v>74771.55</v>
      </c>
      <c r="I500" s="35">
        <v>39178.269999999997</v>
      </c>
      <c r="J500" s="35">
        <v>35593.279999999999</v>
      </c>
      <c r="K500" s="37">
        <v>45963</v>
      </c>
      <c r="L500" s="37">
        <v>45970</v>
      </c>
      <c r="M500" s="35" t="s">
        <v>181</v>
      </c>
      <c r="N500" s="35">
        <v>1</v>
      </c>
      <c r="O500" s="35" t="s">
        <v>648</v>
      </c>
      <c r="P500" s="35">
        <v>7.4</v>
      </c>
    </row>
    <row r="501" spans="1:16" ht="15.75" customHeight="1" x14ac:dyDescent="0.3">
      <c r="A501" s="35" t="s">
        <v>1262</v>
      </c>
      <c r="B501" s="35" t="s">
        <v>1263</v>
      </c>
      <c r="C501" s="35" t="s">
        <v>144</v>
      </c>
      <c r="D501" s="35" t="s">
        <v>19</v>
      </c>
      <c r="E501" s="35" t="s">
        <v>44</v>
      </c>
      <c r="F501" s="35">
        <v>13</v>
      </c>
      <c r="G501" s="35">
        <v>3588.85</v>
      </c>
      <c r="H501" s="35">
        <v>46655.05</v>
      </c>
      <c r="I501" s="35">
        <v>27663.13</v>
      </c>
      <c r="J501" s="35">
        <v>18991.919999999998</v>
      </c>
      <c r="K501" s="37">
        <v>45616</v>
      </c>
      <c r="L501" s="37">
        <v>45624</v>
      </c>
      <c r="M501" s="35" t="s">
        <v>50</v>
      </c>
      <c r="N501" s="35">
        <v>1</v>
      </c>
      <c r="O501" s="35" t="s">
        <v>709</v>
      </c>
      <c r="P501" s="35">
        <v>8.6999999999999993</v>
      </c>
    </row>
    <row r="502" spans="1:16" ht="15.75" customHeight="1" x14ac:dyDescent="0.3">
      <c r="A502" s="35" t="s">
        <v>1264</v>
      </c>
      <c r="B502" s="35" t="s">
        <v>1265</v>
      </c>
      <c r="C502" s="35" t="s">
        <v>37</v>
      </c>
      <c r="D502" s="35" t="s">
        <v>19</v>
      </c>
      <c r="E502" s="35" t="s">
        <v>32</v>
      </c>
      <c r="F502" s="35">
        <v>7</v>
      </c>
      <c r="G502" s="35">
        <v>799.44</v>
      </c>
      <c r="H502" s="35">
        <v>5596.08</v>
      </c>
      <c r="I502" s="35">
        <v>3264.34</v>
      </c>
      <c r="J502" s="35">
        <v>2331.7399999999998</v>
      </c>
      <c r="K502" s="37">
        <v>45966</v>
      </c>
      <c r="L502" s="37">
        <v>45969</v>
      </c>
      <c r="M502" s="35" t="s">
        <v>69</v>
      </c>
      <c r="N502" s="35">
        <v>4</v>
      </c>
      <c r="O502" s="35" t="s">
        <v>133</v>
      </c>
      <c r="P502" s="35">
        <v>9.9</v>
      </c>
    </row>
    <row r="503" spans="1:16" ht="15.75" customHeight="1" x14ac:dyDescent="0.3">
      <c r="A503" s="35" t="s">
        <v>1266</v>
      </c>
      <c r="B503" s="35" t="s">
        <v>1267</v>
      </c>
      <c r="C503" s="35" t="s">
        <v>168</v>
      </c>
      <c r="D503" s="35" t="s">
        <v>43</v>
      </c>
      <c r="E503" s="35" t="s">
        <v>44</v>
      </c>
      <c r="F503" s="35">
        <v>9</v>
      </c>
      <c r="G503" s="35">
        <v>4695.75</v>
      </c>
      <c r="H503" s="35">
        <v>42261.75</v>
      </c>
      <c r="I503" s="35">
        <v>31791.77</v>
      </c>
      <c r="J503" s="35">
        <v>10469.98</v>
      </c>
      <c r="K503" s="37">
        <v>46127</v>
      </c>
      <c r="L503" s="37">
        <v>46135</v>
      </c>
      <c r="M503" s="35" t="s">
        <v>50</v>
      </c>
      <c r="N503" s="35">
        <v>5</v>
      </c>
      <c r="O503" s="35" t="s">
        <v>1268</v>
      </c>
      <c r="P503" s="35">
        <v>10</v>
      </c>
    </row>
    <row r="504" spans="1:16" ht="15.75" customHeight="1" x14ac:dyDescent="0.3">
      <c r="A504" s="35" t="s">
        <v>1269</v>
      </c>
      <c r="B504" s="35" t="s">
        <v>1270</v>
      </c>
      <c r="C504" s="35" t="s">
        <v>49</v>
      </c>
      <c r="D504" s="35" t="s">
        <v>43</v>
      </c>
      <c r="E504" s="35" t="s">
        <v>20</v>
      </c>
      <c r="F504" s="35">
        <v>5</v>
      </c>
      <c r="G504" s="35">
        <v>4645.6899999999996</v>
      </c>
      <c r="H504" s="35">
        <v>23228.45</v>
      </c>
      <c r="I504" s="35">
        <v>16821.900000000001</v>
      </c>
      <c r="J504" s="35">
        <v>6406.55</v>
      </c>
      <c r="K504" s="37">
        <v>45908</v>
      </c>
      <c r="L504" s="37">
        <v>45918</v>
      </c>
      <c r="M504" s="35" t="s">
        <v>45</v>
      </c>
      <c r="N504" s="35">
        <v>1</v>
      </c>
      <c r="O504" s="35" t="s">
        <v>159</v>
      </c>
      <c r="P504" s="35">
        <v>8.3000000000000007</v>
      </c>
    </row>
    <row r="505" spans="1:16" ht="15.75" customHeight="1" x14ac:dyDescent="0.3">
      <c r="A505" s="35" t="s">
        <v>1271</v>
      </c>
      <c r="B505" s="35" t="s">
        <v>1272</v>
      </c>
      <c r="C505" s="35" t="s">
        <v>88</v>
      </c>
      <c r="D505" s="35" t="s">
        <v>31</v>
      </c>
      <c r="E505" s="35" t="s">
        <v>20</v>
      </c>
      <c r="F505" s="35">
        <v>7</v>
      </c>
      <c r="G505" s="35">
        <v>518.86</v>
      </c>
      <c r="H505" s="35">
        <v>3632.02</v>
      </c>
      <c r="I505" s="35">
        <v>2832.45</v>
      </c>
      <c r="J505" s="35">
        <v>799.57</v>
      </c>
      <c r="K505" s="37">
        <v>45466</v>
      </c>
      <c r="L505" s="37">
        <v>45471</v>
      </c>
      <c r="M505" s="35" t="s">
        <v>33</v>
      </c>
      <c r="N505" s="35">
        <v>1</v>
      </c>
      <c r="O505" s="35" t="s">
        <v>496</v>
      </c>
      <c r="P505" s="35">
        <v>7.2</v>
      </c>
    </row>
    <row r="506" spans="1:16" ht="15.75" customHeight="1" x14ac:dyDescent="0.3">
      <c r="A506" s="35" t="s">
        <v>1273</v>
      </c>
      <c r="B506" s="35" t="s">
        <v>1274</v>
      </c>
      <c r="C506" s="35" t="s">
        <v>72</v>
      </c>
      <c r="D506" s="35" t="s">
        <v>31</v>
      </c>
      <c r="E506" s="35" t="s">
        <v>25</v>
      </c>
      <c r="F506" s="35">
        <v>8</v>
      </c>
      <c r="G506" s="35">
        <v>3656.54</v>
      </c>
      <c r="H506" s="35">
        <v>29252.32</v>
      </c>
      <c r="I506" s="35">
        <v>17361.28</v>
      </c>
      <c r="J506" s="35">
        <v>11891.04</v>
      </c>
      <c r="K506" s="37">
        <v>45436</v>
      </c>
      <c r="L506" s="37">
        <v>45437</v>
      </c>
      <c r="M506" s="35" t="s">
        <v>33</v>
      </c>
      <c r="N506" s="35">
        <v>5</v>
      </c>
      <c r="O506" s="35" t="s">
        <v>102</v>
      </c>
      <c r="P506" s="35">
        <v>7.7</v>
      </c>
    </row>
    <row r="507" spans="1:16" ht="15.75" customHeight="1" x14ac:dyDescent="0.3">
      <c r="A507" s="35" t="s">
        <v>1275</v>
      </c>
      <c r="B507" s="35" t="s">
        <v>1276</v>
      </c>
      <c r="C507" s="35" t="s">
        <v>42</v>
      </c>
      <c r="D507" s="35" t="s">
        <v>43</v>
      </c>
      <c r="E507" s="35" t="s">
        <v>20</v>
      </c>
      <c r="F507" s="35">
        <v>20</v>
      </c>
      <c r="G507" s="35">
        <v>1411.37</v>
      </c>
      <c r="H507" s="35">
        <v>28227.4</v>
      </c>
      <c r="I507" s="35">
        <v>24285.89</v>
      </c>
      <c r="J507" s="35">
        <v>3941.51</v>
      </c>
      <c r="K507" s="37">
        <v>45468</v>
      </c>
      <c r="L507" s="37">
        <v>45474</v>
      </c>
      <c r="M507" s="35" t="s">
        <v>26</v>
      </c>
      <c r="N507" s="35">
        <v>2</v>
      </c>
      <c r="O507" s="35" t="s">
        <v>580</v>
      </c>
      <c r="P507" s="35">
        <v>7.9</v>
      </c>
    </row>
    <row r="508" spans="1:16" ht="15.75" customHeight="1" x14ac:dyDescent="0.3">
      <c r="A508" s="35" t="s">
        <v>1277</v>
      </c>
      <c r="B508" s="35" t="s">
        <v>1278</v>
      </c>
      <c r="C508" s="35" t="s">
        <v>49</v>
      </c>
      <c r="D508" s="35" t="s">
        <v>43</v>
      </c>
      <c r="E508" s="35" t="s">
        <v>25</v>
      </c>
      <c r="F508" s="35">
        <v>8</v>
      </c>
      <c r="G508" s="35">
        <v>1046.3399999999999</v>
      </c>
      <c r="H508" s="35">
        <v>8370.7199999999993</v>
      </c>
      <c r="I508" s="35">
        <v>5872.29</v>
      </c>
      <c r="J508" s="35">
        <v>2498.4299999999998</v>
      </c>
      <c r="K508" s="37">
        <v>45908</v>
      </c>
      <c r="L508" s="37">
        <v>45913</v>
      </c>
      <c r="M508" s="35" t="s">
        <v>26</v>
      </c>
      <c r="N508" s="35">
        <v>1</v>
      </c>
      <c r="O508" s="35" t="s">
        <v>240</v>
      </c>
      <c r="P508" s="35">
        <v>7.2</v>
      </c>
    </row>
    <row r="509" spans="1:16" ht="15.75" customHeight="1" x14ac:dyDescent="0.3">
      <c r="A509" s="35" t="s">
        <v>1279</v>
      </c>
      <c r="B509" s="35" t="s">
        <v>1280</v>
      </c>
      <c r="C509" s="35" t="s">
        <v>57</v>
      </c>
      <c r="D509" s="35" t="s">
        <v>19</v>
      </c>
      <c r="E509" s="35" t="s">
        <v>20</v>
      </c>
      <c r="F509" s="35">
        <v>7</v>
      </c>
      <c r="G509" s="35">
        <v>913.51</v>
      </c>
      <c r="H509" s="35">
        <v>6394.57</v>
      </c>
      <c r="I509" s="35">
        <v>5020.8900000000003</v>
      </c>
      <c r="J509" s="35">
        <v>1373.68</v>
      </c>
      <c r="K509" s="37">
        <v>45545</v>
      </c>
      <c r="L509" s="37">
        <v>45554</v>
      </c>
      <c r="M509" s="35" t="s">
        <v>123</v>
      </c>
      <c r="N509" s="35">
        <v>5</v>
      </c>
      <c r="O509" s="35" t="s">
        <v>359</v>
      </c>
      <c r="P509" s="35">
        <v>7.2</v>
      </c>
    </row>
    <row r="510" spans="1:16" ht="15.75" customHeight="1" x14ac:dyDescent="0.3">
      <c r="A510" s="35" t="s">
        <v>1281</v>
      </c>
      <c r="B510" s="35" t="s">
        <v>1282</v>
      </c>
      <c r="C510" s="35" t="s">
        <v>57</v>
      </c>
      <c r="D510" s="35" t="s">
        <v>19</v>
      </c>
      <c r="E510" s="35" t="s">
        <v>44</v>
      </c>
      <c r="F510" s="35">
        <v>15</v>
      </c>
      <c r="G510" s="35">
        <v>1928.24</v>
      </c>
      <c r="H510" s="35">
        <v>28923.599999999999</v>
      </c>
      <c r="I510" s="35">
        <v>17401.46</v>
      </c>
      <c r="J510" s="35">
        <v>11522.14</v>
      </c>
      <c r="K510" s="37">
        <v>45796</v>
      </c>
      <c r="L510" s="37">
        <v>45805</v>
      </c>
      <c r="M510" s="35" t="s">
        <v>123</v>
      </c>
      <c r="N510" s="35">
        <v>2</v>
      </c>
      <c r="O510" s="35" t="s">
        <v>483</v>
      </c>
      <c r="P510" s="35">
        <v>8.4</v>
      </c>
    </row>
    <row r="511" spans="1:16" ht="15.75" customHeight="1" x14ac:dyDescent="0.3">
      <c r="A511" s="35" t="s">
        <v>1283</v>
      </c>
      <c r="B511" s="35" t="s">
        <v>1284</v>
      </c>
      <c r="C511" s="35" t="s">
        <v>62</v>
      </c>
      <c r="D511" s="35" t="s">
        <v>31</v>
      </c>
      <c r="E511" s="35" t="s">
        <v>32</v>
      </c>
      <c r="F511" s="35">
        <v>16</v>
      </c>
      <c r="G511" s="35">
        <v>3523.43</v>
      </c>
      <c r="H511" s="35">
        <v>56374.879999999997</v>
      </c>
      <c r="I511" s="35">
        <v>37420.9</v>
      </c>
      <c r="J511" s="35">
        <v>18953.98</v>
      </c>
      <c r="K511" s="37">
        <v>45627</v>
      </c>
      <c r="L511" s="37">
        <v>45635</v>
      </c>
      <c r="M511" s="35" t="s">
        <v>123</v>
      </c>
      <c r="N511" s="35">
        <v>5</v>
      </c>
      <c r="O511" s="35" t="s">
        <v>567</v>
      </c>
      <c r="P511" s="35">
        <v>8.1999999999999993</v>
      </c>
    </row>
    <row r="512" spans="1:16" ht="15.75" customHeight="1" x14ac:dyDescent="0.3">
      <c r="A512" s="35" t="s">
        <v>1285</v>
      </c>
      <c r="B512" s="35" t="s">
        <v>1286</v>
      </c>
      <c r="C512" s="35" t="s">
        <v>195</v>
      </c>
      <c r="D512" s="35" t="s">
        <v>43</v>
      </c>
      <c r="E512" s="35" t="s">
        <v>20</v>
      </c>
      <c r="F512" s="35">
        <v>3</v>
      </c>
      <c r="G512" s="35">
        <v>667.73</v>
      </c>
      <c r="H512" s="35">
        <v>2003.19</v>
      </c>
      <c r="I512" s="35">
        <v>1090.3399999999999</v>
      </c>
      <c r="J512" s="35">
        <v>912.85</v>
      </c>
      <c r="K512" s="37">
        <v>45957</v>
      </c>
      <c r="L512" s="37">
        <v>45966</v>
      </c>
      <c r="M512" s="35" t="s">
        <v>123</v>
      </c>
      <c r="N512" s="35">
        <v>4</v>
      </c>
      <c r="O512" s="35" t="s">
        <v>936</v>
      </c>
      <c r="P512" s="35">
        <v>6.2</v>
      </c>
    </row>
    <row r="513" spans="1:16" ht="15.75" customHeight="1" x14ac:dyDescent="0.3">
      <c r="A513" s="35" t="s">
        <v>1287</v>
      </c>
      <c r="B513" s="35" t="s">
        <v>1288</v>
      </c>
      <c r="C513" s="35" t="s">
        <v>139</v>
      </c>
      <c r="D513" s="35" t="s">
        <v>31</v>
      </c>
      <c r="E513" s="35" t="s">
        <v>20</v>
      </c>
      <c r="F513" s="35">
        <v>16</v>
      </c>
      <c r="G513" s="35">
        <v>599.09</v>
      </c>
      <c r="H513" s="35">
        <v>9585.44</v>
      </c>
      <c r="I513" s="35">
        <v>4972.43</v>
      </c>
      <c r="J513" s="35">
        <v>4613.01</v>
      </c>
      <c r="K513" s="37">
        <v>45931</v>
      </c>
      <c r="L513" s="37">
        <v>45932</v>
      </c>
      <c r="M513" s="35" t="s">
        <v>45</v>
      </c>
      <c r="N513" s="35">
        <v>1</v>
      </c>
      <c r="O513" s="35" t="s">
        <v>276</v>
      </c>
      <c r="P513" s="35">
        <v>9.4</v>
      </c>
    </row>
    <row r="514" spans="1:16" ht="15.75" customHeight="1" x14ac:dyDescent="0.3">
      <c r="A514" s="35" t="s">
        <v>1289</v>
      </c>
      <c r="B514" s="35" t="s">
        <v>1290</v>
      </c>
      <c r="C514" s="35" t="s">
        <v>144</v>
      </c>
      <c r="D514" s="35" t="s">
        <v>19</v>
      </c>
      <c r="E514" s="35" t="s">
        <v>44</v>
      </c>
      <c r="F514" s="35">
        <v>4</v>
      </c>
      <c r="G514" s="35">
        <v>1764.77</v>
      </c>
      <c r="H514" s="35">
        <v>7059.08</v>
      </c>
      <c r="I514" s="35">
        <v>5380.33</v>
      </c>
      <c r="J514" s="35">
        <v>1678.75</v>
      </c>
      <c r="K514" s="37">
        <v>45946</v>
      </c>
      <c r="L514" s="37">
        <v>45949</v>
      </c>
      <c r="M514" s="35" t="s">
        <v>45</v>
      </c>
      <c r="N514" s="35">
        <v>1</v>
      </c>
      <c r="O514" s="35" t="s">
        <v>257</v>
      </c>
      <c r="P514" s="35">
        <v>8</v>
      </c>
    </row>
    <row r="515" spans="1:16" ht="15.75" customHeight="1" x14ac:dyDescent="0.3">
      <c r="A515" s="35" t="s">
        <v>1291</v>
      </c>
      <c r="B515" s="35" t="s">
        <v>1292</v>
      </c>
      <c r="C515" s="35" t="s">
        <v>57</v>
      </c>
      <c r="D515" s="35" t="s">
        <v>19</v>
      </c>
      <c r="E515" s="35" t="s">
        <v>44</v>
      </c>
      <c r="F515" s="35">
        <v>18</v>
      </c>
      <c r="G515" s="35">
        <v>1756.37</v>
      </c>
      <c r="H515" s="35">
        <v>31614.66</v>
      </c>
      <c r="I515" s="35">
        <v>15817.16</v>
      </c>
      <c r="J515" s="35">
        <v>15797.5</v>
      </c>
      <c r="K515" s="37">
        <v>46110</v>
      </c>
      <c r="L515" s="37">
        <v>46117</v>
      </c>
      <c r="M515" s="35" t="s">
        <v>38</v>
      </c>
      <c r="N515" s="35">
        <v>4</v>
      </c>
      <c r="O515" s="35" t="s">
        <v>202</v>
      </c>
      <c r="P515" s="35">
        <v>7.2</v>
      </c>
    </row>
    <row r="516" spans="1:16" ht="15.75" customHeight="1" x14ac:dyDescent="0.3">
      <c r="A516" s="35" t="s">
        <v>1293</v>
      </c>
      <c r="B516" s="35" t="s">
        <v>1294</v>
      </c>
      <c r="C516" s="35" t="s">
        <v>72</v>
      </c>
      <c r="D516" s="35" t="s">
        <v>31</v>
      </c>
      <c r="E516" s="35" t="s">
        <v>32</v>
      </c>
      <c r="F516" s="35">
        <v>6</v>
      </c>
      <c r="G516" s="35">
        <v>753.17</v>
      </c>
      <c r="H516" s="35">
        <v>4519.0200000000004</v>
      </c>
      <c r="I516" s="35">
        <v>2272.75</v>
      </c>
      <c r="J516" s="35">
        <v>2246.27</v>
      </c>
      <c r="K516" s="37">
        <v>45708</v>
      </c>
      <c r="L516" s="37">
        <v>45712</v>
      </c>
      <c r="M516" s="35" t="s">
        <v>58</v>
      </c>
      <c r="N516" s="35">
        <v>4</v>
      </c>
      <c r="O516" s="35" t="s">
        <v>436</v>
      </c>
      <c r="P516" s="35">
        <v>6.2</v>
      </c>
    </row>
    <row r="517" spans="1:16" ht="15.75" customHeight="1" x14ac:dyDescent="0.3">
      <c r="A517" s="35" t="s">
        <v>1295</v>
      </c>
      <c r="B517" s="35" t="s">
        <v>1296</v>
      </c>
      <c r="C517" s="35" t="s">
        <v>95</v>
      </c>
      <c r="D517" s="35" t="s">
        <v>19</v>
      </c>
      <c r="E517" s="35" t="s">
        <v>25</v>
      </c>
      <c r="F517" s="35">
        <v>10</v>
      </c>
      <c r="G517" s="35">
        <v>1256.1199999999999</v>
      </c>
      <c r="H517" s="35">
        <v>12561.2</v>
      </c>
      <c r="I517" s="35">
        <v>10396.379999999999</v>
      </c>
      <c r="J517" s="35">
        <v>2164.8200000000002</v>
      </c>
      <c r="K517" s="37">
        <v>45478</v>
      </c>
      <c r="L517" s="37">
        <v>45484</v>
      </c>
      <c r="M517" s="35" t="s">
        <v>38</v>
      </c>
      <c r="N517" s="35">
        <v>3</v>
      </c>
      <c r="O517" s="35" t="s">
        <v>1297</v>
      </c>
      <c r="P517" s="35">
        <v>7.2</v>
      </c>
    </row>
    <row r="518" spans="1:16" ht="15.75" customHeight="1" x14ac:dyDescent="0.3">
      <c r="A518" s="35" t="s">
        <v>1298</v>
      </c>
      <c r="B518" s="35" t="s">
        <v>1299</v>
      </c>
      <c r="C518" s="35" t="s">
        <v>30</v>
      </c>
      <c r="D518" s="35" t="s">
        <v>31</v>
      </c>
      <c r="E518" s="35" t="s">
        <v>25</v>
      </c>
      <c r="F518" s="35">
        <v>3</v>
      </c>
      <c r="G518" s="35">
        <v>53.82</v>
      </c>
      <c r="H518" s="35">
        <v>161.46</v>
      </c>
      <c r="I518" s="35">
        <v>97.81</v>
      </c>
      <c r="J518" s="35">
        <v>63.65</v>
      </c>
      <c r="K518" s="37">
        <v>45535</v>
      </c>
      <c r="L518" s="37">
        <v>45536</v>
      </c>
      <c r="M518" s="35" t="s">
        <v>45</v>
      </c>
      <c r="N518" s="35">
        <v>4</v>
      </c>
      <c r="O518" s="35" t="s">
        <v>257</v>
      </c>
      <c r="P518" s="35">
        <v>8.9</v>
      </c>
    </row>
    <row r="519" spans="1:16" ht="15.75" customHeight="1" x14ac:dyDescent="0.3">
      <c r="A519" s="35" t="s">
        <v>1300</v>
      </c>
      <c r="B519" s="35" t="s">
        <v>1301</v>
      </c>
      <c r="C519" s="35" t="s">
        <v>219</v>
      </c>
      <c r="D519" s="35" t="s">
        <v>43</v>
      </c>
      <c r="E519" s="35" t="s">
        <v>44</v>
      </c>
      <c r="F519" s="35">
        <v>9</v>
      </c>
      <c r="G519" s="35">
        <v>3810.05</v>
      </c>
      <c r="H519" s="35">
        <v>34290.449999999997</v>
      </c>
      <c r="I519" s="35">
        <v>25092.84</v>
      </c>
      <c r="J519" s="35">
        <v>9197.61</v>
      </c>
      <c r="K519" s="37">
        <v>45992</v>
      </c>
      <c r="L519" s="37">
        <v>45997</v>
      </c>
      <c r="M519" s="35" t="s">
        <v>38</v>
      </c>
      <c r="N519" s="35">
        <v>3</v>
      </c>
      <c r="O519" s="35" t="s">
        <v>417</v>
      </c>
      <c r="P519" s="35">
        <v>9</v>
      </c>
    </row>
    <row r="520" spans="1:16" ht="15.75" customHeight="1" x14ac:dyDescent="0.3">
      <c r="A520" s="35" t="s">
        <v>1302</v>
      </c>
      <c r="B520" s="35" t="s">
        <v>1303</v>
      </c>
      <c r="C520" s="35" t="s">
        <v>139</v>
      </c>
      <c r="D520" s="35" t="s">
        <v>31</v>
      </c>
      <c r="E520" s="35" t="s">
        <v>32</v>
      </c>
      <c r="F520" s="35">
        <v>19</v>
      </c>
      <c r="G520" s="35">
        <v>307.45999999999998</v>
      </c>
      <c r="H520" s="35">
        <v>5841.74</v>
      </c>
      <c r="I520" s="35">
        <v>3732.05</v>
      </c>
      <c r="J520" s="35">
        <v>2109.69</v>
      </c>
      <c r="K520" s="37">
        <v>45927</v>
      </c>
      <c r="L520" s="37">
        <v>45929</v>
      </c>
      <c r="M520" s="35" t="s">
        <v>33</v>
      </c>
      <c r="N520" s="35">
        <v>3</v>
      </c>
      <c r="O520" s="35" t="s">
        <v>658</v>
      </c>
      <c r="P520" s="35">
        <v>7.7</v>
      </c>
    </row>
    <row r="521" spans="1:16" ht="15.75" customHeight="1" x14ac:dyDescent="0.3">
      <c r="A521" s="35" t="s">
        <v>1304</v>
      </c>
      <c r="B521" s="35" t="s">
        <v>1305</v>
      </c>
      <c r="C521" s="35" t="s">
        <v>139</v>
      </c>
      <c r="D521" s="35" t="s">
        <v>31</v>
      </c>
      <c r="E521" s="35" t="s">
        <v>44</v>
      </c>
      <c r="F521" s="35">
        <v>8</v>
      </c>
      <c r="G521" s="35">
        <v>440.16</v>
      </c>
      <c r="H521" s="35">
        <v>3521.28</v>
      </c>
      <c r="I521" s="35">
        <v>1777.19</v>
      </c>
      <c r="J521" s="35">
        <v>1744.09</v>
      </c>
      <c r="K521" s="37">
        <v>45581</v>
      </c>
      <c r="L521" s="37">
        <v>45585</v>
      </c>
      <c r="M521" s="35" t="s">
        <v>50</v>
      </c>
      <c r="N521" s="35">
        <v>1</v>
      </c>
      <c r="O521" s="35" t="s">
        <v>823</v>
      </c>
      <c r="P521" s="35">
        <v>6.2</v>
      </c>
    </row>
    <row r="522" spans="1:16" ht="15.75" customHeight="1" x14ac:dyDescent="0.3">
      <c r="A522" s="35" t="s">
        <v>1306</v>
      </c>
      <c r="B522" s="35" t="s">
        <v>1307</v>
      </c>
      <c r="C522" s="35" t="s">
        <v>219</v>
      </c>
      <c r="D522" s="35" t="s">
        <v>43</v>
      </c>
      <c r="E522" s="35" t="s">
        <v>44</v>
      </c>
      <c r="F522" s="35">
        <v>1</v>
      </c>
      <c r="G522" s="35">
        <v>1707.42</v>
      </c>
      <c r="H522" s="35">
        <v>1707.42</v>
      </c>
      <c r="I522" s="35">
        <v>1131.1500000000001</v>
      </c>
      <c r="J522" s="35">
        <v>576.27</v>
      </c>
      <c r="K522" s="37">
        <v>46049</v>
      </c>
      <c r="L522" s="37">
        <v>46056</v>
      </c>
      <c r="M522" s="35" t="s">
        <v>26</v>
      </c>
      <c r="N522" s="35">
        <v>2</v>
      </c>
      <c r="O522" s="35" t="s">
        <v>417</v>
      </c>
      <c r="P522" s="35">
        <v>8.9</v>
      </c>
    </row>
    <row r="523" spans="1:16" ht="15.75" customHeight="1" x14ac:dyDescent="0.3">
      <c r="A523" s="35" t="s">
        <v>1308</v>
      </c>
      <c r="B523" s="35" t="s">
        <v>1309</v>
      </c>
      <c r="C523" s="35" t="s">
        <v>195</v>
      </c>
      <c r="D523" s="35" t="s">
        <v>43</v>
      </c>
      <c r="E523" s="35" t="s">
        <v>20</v>
      </c>
      <c r="F523" s="35">
        <v>19</v>
      </c>
      <c r="G523" s="35">
        <v>2236.38</v>
      </c>
      <c r="H523" s="35">
        <v>42491.22</v>
      </c>
      <c r="I523" s="35">
        <v>28677.41</v>
      </c>
      <c r="J523" s="35">
        <v>13813.81</v>
      </c>
      <c r="K523" s="37">
        <v>45884</v>
      </c>
      <c r="L523" s="37">
        <v>45894</v>
      </c>
      <c r="M523" s="35" t="s">
        <v>21</v>
      </c>
      <c r="N523" s="35">
        <v>1</v>
      </c>
      <c r="O523" s="35" t="s">
        <v>226</v>
      </c>
      <c r="P523" s="35">
        <v>9.6999999999999993</v>
      </c>
    </row>
    <row r="524" spans="1:16" ht="15.75" customHeight="1" x14ac:dyDescent="0.3">
      <c r="A524" s="35" t="s">
        <v>1310</v>
      </c>
      <c r="B524" s="35" t="s">
        <v>1311</v>
      </c>
      <c r="C524" s="35" t="s">
        <v>195</v>
      </c>
      <c r="D524" s="35" t="s">
        <v>43</v>
      </c>
      <c r="E524" s="35" t="s">
        <v>44</v>
      </c>
      <c r="F524" s="35">
        <v>4</v>
      </c>
      <c r="G524" s="35">
        <v>448.58</v>
      </c>
      <c r="H524" s="35">
        <v>1794.32</v>
      </c>
      <c r="I524" s="35">
        <v>1232.9000000000001</v>
      </c>
      <c r="J524" s="35">
        <v>561.41999999999996</v>
      </c>
      <c r="K524" s="37">
        <v>45890</v>
      </c>
      <c r="L524" s="37">
        <v>45898</v>
      </c>
      <c r="M524" s="35" t="s">
        <v>69</v>
      </c>
      <c r="N524" s="35">
        <v>5</v>
      </c>
      <c r="O524" s="35" t="s">
        <v>420</v>
      </c>
      <c r="P524" s="35">
        <v>8</v>
      </c>
    </row>
    <row r="525" spans="1:16" ht="15.75" customHeight="1" x14ac:dyDescent="0.3">
      <c r="A525" s="35" t="s">
        <v>1312</v>
      </c>
      <c r="B525" s="35" t="s">
        <v>1313</v>
      </c>
      <c r="C525" s="35" t="s">
        <v>168</v>
      </c>
      <c r="D525" s="35" t="s">
        <v>43</v>
      </c>
      <c r="E525" s="35" t="s">
        <v>25</v>
      </c>
      <c r="F525" s="35">
        <v>13</v>
      </c>
      <c r="G525" s="35">
        <v>2139.46</v>
      </c>
      <c r="H525" s="35">
        <v>27812.98</v>
      </c>
      <c r="I525" s="35">
        <v>20929.439999999999</v>
      </c>
      <c r="J525" s="35">
        <v>6883.54</v>
      </c>
      <c r="K525" s="37">
        <v>45469</v>
      </c>
      <c r="L525" s="37">
        <v>45473</v>
      </c>
      <c r="M525" s="35" t="s">
        <v>33</v>
      </c>
      <c r="N525" s="35">
        <v>4</v>
      </c>
      <c r="O525" s="35" t="s">
        <v>73</v>
      </c>
      <c r="P525" s="35">
        <v>9.9</v>
      </c>
    </row>
    <row r="526" spans="1:16" ht="15.75" customHeight="1" x14ac:dyDescent="0.3">
      <c r="A526" s="35" t="s">
        <v>1314</v>
      </c>
      <c r="B526" s="35" t="s">
        <v>1315</v>
      </c>
      <c r="C526" s="35" t="s">
        <v>219</v>
      </c>
      <c r="D526" s="35" t="s">
        <v>43</v>
      </c>
      <c r="E526" s="35" t="s">
        <v>44</v>
      </c>
      <c r="F526" s="35">
        <v>3</v>
      </c>
      <c r="G526" s="35">
        <v>4635.3</v>
      </c>
      <c r="H526" s="35">
        <v>13905.9</v>
      </c>
      <c r="I526" s="35">
        <v>12259.2</v>
      </c>
      <c r="J526" s="35">
        <v>1646.7</v>
      </c>
      <c r="K526" s="37">
        <v>45658</v>
      </c>
      <c r="L526" s="37">
        <v>45663</v>
      </c>
      <c r="M526" s="35" t="s">
        <v>33</v>
      </c>
      <c r="N526" s="35">
        <v>1</v>
      </c>
      <c r="O526" s="35" t="s">
        <v>22</v>
      </c>
      <c r="P526" s="35">
        <v>7.6</v>
      </c>
    </row>
    <row r="527" spans="1:16" ht="15.75" customHeight="1" x14ac:dyDescent="0.3">
      <c r="A527" s="35" t="s">
        <v>1316</v>
      </c>
      <c r="B527" s="35" t="s">
        <v>1317</v>
      </c>
      <c r="C527" s="35" t="s">
        <v>219</v>
      </c>
      <c r="D527" s="35" t="s">
        <v>43</v>
      </c>
      <c r="E527" s="35" t="s">
        <v>20</v>
      </c>
      <c r="F527" s="35">
        <v>6</v>
      </c>
      <c r="G527" s="35">
        <v>1483.57</v>
      </c>
      <c r="H527" s="35">
        <v>8901.42</v>
      </c>
      <c r="I527" s="35">
        <v>7283.86</v>
      </c>
      <c r="J527" s="35">
        <v>1617.56</v>
      </c>
      <c r="K527" s="37">
        <v>45660</v>
      </c>
      <c r="L527" s="37">
        <v>45667</v>
      </c>
      <c r="M527" s="35" t="s">
        <v>50</v>
      </c>
      <c r="N527" s="35">
        <v>1</v>
      </c>
      <c r="O527" s="35" t="s">
        <v>1057</v>
      </c>
      <c r="P527" s="35">
        <v>6.6</v>
      </c>
    </row>
    <row r="528" spans="1:16" ht="15.75" customHeight="1" x14ac:dyDescent="0.3">
      <c r="A528" s="35" t="s">
        <v>1318</v>
      </c>
      <c r="B528" s="35" t="s">
        <v>1319</v>
      </c>
      <c r="C528" s="35" t="s">
        <v>144</v>
      </c>
      <c r="D528" s="35" t="s">
        <v>19</v>
      </c>
      <c r="E528" s="35" t="s">
        <v>25</v>
      </c>
      <c r="F528" s="35">
        <v>18</v>
      </c>
      <c r="G528" s="35">
        <v>4659.5600000000004</v>
      </c>
      <c r="H528" s="35">
        <v>83872.08</v>
      </c>
      <c r="I528" s="35">
        <v>62826.879999999997</v>
      </c>
      <c r="J528" s="35">
        <v>21045.200000000001</v>
      </c>
      <c r="K528" s="37">
        <v>45895</v>
      </c>
      <c r="L528" s="37">
        <v>45900</v>
      </c>
      <c r="M528" s="35" t="s">
        <v>58</v>
      </c>
      <c r="N528" s="35">
        <v>4</v>
      </c>
      <c r="O528" s="35" t="s">
        <v>512</v>
      </c>
      <c r="P528" s="35">
        <v>9.6</v>
      </c>
    </row>
    <row r="529" spans="1:16" ht="15.75" customHeight="1" x14ac:dyDescent="0.3">
      <c r="A529" s="35" t="s">
        <v>1320</v>
      </c>
      <c r="B529" s="35" t="s">
        <v>1321</v>
      </c>
      <c r="C529" s="35" t="s">
        <v>195</v>
      </c>
      <c r="D529" s="35" t="s">
        <v>43</v>
      </c>
      <c r="E529" s="35" t="s">
        <v>44</v>
      </c>
      <c r="F529" s="35">
        <v>15</v>
      </c>
      <c r="G529" s="35">
        <v>2662.97</v>
      </c>
      <c r="H529" s="35">
        <v>39944.550000000003</v>
      </c>
      <c r="I529" s="35">
        <v>34682.82</v>
      </c>
      <c r="J529" s="35">
        <v>5261.73</v>
      </c>
      <c r="K529" s="37">
        <v>46146</v>
      </c>
      <c r="L529" s="37">
        <v>46148</v>
      </c>
      <c r="M529" s="35" t="s">
        <v>26</v>
      </c>
      <c r="N529" s="35">
        <v>3</v>
      </c>
      <c r="O529" s="35" t="s">
        <v>1322</v>
      </c>
      <c r="P529" s="35">
        <v>9.9</v>
      </c>
    </row>
    <row r="530" spans="1:16" ht="15.75" customHeight="1" x14ac:dyDescent="0.3">
      <c r="A530" s="35" t="s">
        <v>1323</v>
      </c>
      <c r="B530" s="35" t="s">
        <v>1324</v>
      </c>
      <c r="C530" s="35" t="s">
        <v>88</v>
      </c>
      <c r="D530" s="35" t="s">
        <v>31</v>
      </c>
      <c r="E530" s="35" t="s">
        <v>44</v>
      </c>
      <c r="F530" s="35">
        <v>11</v>
      </c>
      <c r="G530" s="35">
        <v>1791.73</v>
      </c>
      <c r="H530" s="35">
        <v>19709.03</v>
      </c>
      <c r="I530" s="35">
        <v>11884.95</v>
      </c>
      <c r="J530" s="35">
        <v>7824.08</v>
      </c>
      <c r="K530" s="37">
        <v>46084</v>
      </c>
      <c r="L530" s="37">
        <v>46090</v>
      </c>
      <c r="M530" s="35" t="s">
        <v>21</v>
      </c>
      <c r="N530" s="35">
        <v>4</v>
      </c>
      <c r="O530" s="35" t="s">
        <v>712</v>
      </c>
      <c r="P530" s="35">
        <v>7</v>
      </c>
    </row>
    <row r="531" spans="1:16" ht="15.75" customHeight="1" x14ac:dyDescent="0.3">
      <c r="A531" s="35" t="s">
        <v>1325</v>
      </c>
      <c r="B531" s="35" t="s">
        <v>1326</v>
      </c>
      <c r="C531" s="35" t="s">
        <v>139</v>
      </c>
      <c r="D531" s="35" t="s">
        <v>31</v>
      </c>
      <c r="E531" s="35" t="s">
        <v>44</v>
      </c>
      <c r="F531" s="35">
        <v>17</v>
      </c>
      <c r="G531" s="35">
        <v>653.09</v>
      </c>
      <c r="H531" s="35">
        <v>11102.53</v>
      </c>
      <c r="I531" s="35">
        <v>8811.7000000000007</v>
      </c>
      <c r="J531" s="35">
        <v>2290.83</v>
      </c>
      <c r="K531" s="37">
        <v>45559</v>
      </c>
      <c r="L531" s="37">
        <v>45565</v>
      </c>
      <c r="M531" s="35" t="s">
        <v>50</v>
      </c>
      <c r="N531" s="35">
        <v>4</v>
      </c>
      <c r="O531" s="35" t="s">
        <v>692</v>
      </c>
      <c r="P531" s="35">
        <v>7</v>
      </c>
    </row>
    <row r="532" spans="1:16" ht="15.75" customHeight="1" x14ac:dyDescent="0.3">
      <c r="A532" s="35" t="s">
        <v>1327</v>
      </c>
      <c r="B532" s="35" t="s">
        <v>1328</v>
      </c>
      <c r="C532" s="35" t="s">
        <v>42</v>
      </c>
      <c r="D532" s="35" t="s">
        <v>43</v>
      </c>
      <c r="E532" s="35" t="s">
        <v>44</v>
      </c>
      <c r="F532" s="35">
        <v>1</v>
      </c>
      <c r="G532" s="35">
        <v>525.62</v>
      </c>
      <c r="H532" s="35">
        <v>525.62</v>
      </c>
      <c r="I532" s="35">
        <v>433.21</v>
      </c>
      <c r="J532" s="35">
        <v>92.41</v>
      </c>
      <c r="K532" s="37">
        <v>45954</v>
      </c>
      <c r="L532" s="37">
        <v>45959</v>
      </c>
      <c r="M532" s="35" t="s">
        <v>26</v>
      </c>
      <c r="N532" s="35">
        <v>4</v>
      </c>
      <c r="O532" s="35" t="s">
        <v>297</v>
      </c>
      <c r="P532" s="35">
        <v>8.1</v>
      </c>
    </row>
    <row r="533" spans="1:16" ht="15.75" customHeight="1" x14ac:dyDescent="0.3">
      <c r="A533" s="35" t="s">
        <v>1329</v>
      </c>
      <c r="B533" s="35" t="s">
        <v>1330</v>
      </c>
      <c r="C533" s="35" t="s">
        <v>37</v>
      </c>
      <c r="D533" s="35" t="s">
        <v>19</v>
      </c>
      <c r="E533" s="35" t="s">
        <v>32</v>
      </c>
      <c r="F533" s="35">
        <v>10</v>
      </c>
      <c r="G533" s="35">
        <v>4125.37</v>
      </c>
      <c r="H533" s="35">
        <v>41253.699999999997</v>
      </c>
      <c r="I533" s="35">
        <v>20947.61</v>
      </c>
      <c r="J533" s="35">
        <v>20306.09</v>
      </c>
      <c r="K533" s="37">
        <v>46160</v>
      </c>
      <c r="L533" s="37">
        <v>46164</v>
      </c>
      <c r="M533" s="35" t="s">
        <v>38</v>
      </c>
      <c r="N533" s="35">
        <v>3</v>
      </c>
      <c r="O533" s="35" t="s">
        <v>308</v>
      </c>
      <c r="P533" s="35">
        <v>6.2</v>
      </c>
    </row>
    <row r="534" spans="1:16" ht="15.75" customHeight="1" x14ac:dyDescent="0.3">
      <c r="A534" s="35" t="s">
        <v>1331</v>
      </c>
      <c r="B534" s="35" t="s">
        <v>1332</v>
      </c>
      <c r="C534" s="35" t="s">
        <v>195</v>
      </c>
      <c r="D534" s="35" t="s">
        <v>43</v>
      </c>
      <c r="E534" s="35" t="s">
        <v>32</v>
      </c>
      <c r="F534" s="35">
        <v>12</v>
      </c>
      <c r="G534" s="35">
        <v>4300.24</v>
      </c>
      <c r="H534" s="35">
        <v>51602.879999999997</v>
      </c>
      <c r="I534" s="35">
        <v>42332.32</v>
      </c>
      <c r="J534" s="35">
        <v>9270.56</v>
      </c>
      <c r="K534" s="37">
        <v>45612</v>
      </c>
      <c r="L534" s="37">
        <v>45614</v>
      </c>
      <c r="M534" s="35" t="s">
        <v>26</v>
      </c>
      <c r="N534" s="35">
        <v>2</v>
      </c>
      <c r="O534" s="35" t="s">
        <v>839</v>
      </c>
      <c r="P534" s="35">
        <v>7.4</v>
      </c>
    </row>
    <row r="535" spans="1:16" ht="15.75" customHeight="1" x14ac:dyDescent="0.3">
      <c r="A535" s="35" t="s">
        <v>1333</v>
      </c>
      <c r="B535" s="35" t="s">
        <v>1334</v>
      </c>
      <c r="C535" s="35" t="s">
        <v>219</v>
      </c>
      <c r="D535" s="35" t="s">
        <v>43</v>
      </c>
      <c r="E535" s="35" t="s">
        <v>25</v>
      </c>
      <c r="F535" s="35">
        <v>11</v>
      </c>
      <c r="G535" s="35">
        <v>3925.38</v>
      </c>
      <c r="H535" s="35">
        <v>43179.18</v>
      </c>
      <c r="I535" s="35">
        <v>36695.51</v>
      </c>
      <c r="J535" s="35">
        <v>6483.67</v>
      </c>
      <c r="K535" s="37">
        <v>45521</v>
      </c>
      <c r="L535" s="37">
        <v>45526</v>
      </c>
      <c r="M535" s="35" t="s">
        <v>123</v>
      </c>
      <c r="N535" s="35">
        <v>5</v>
      </c>
      <c r="O535" s="35" t="s">
        <v>120</v>
      </c>
      <c r="P535" s="35">
        <v>9.1</v>
      </c>
    </row>
    <row r="536" spans="1:16" ht="15.75" customHeight="1" x14ac:dyDescent="0.3">
      <c r="A536" s="35" t="s">
        <v>1335</v>
      </c>
      <c r="B536" s="35" t="s">
        <v>1336</v>
      </c>
      <c r="C536" s="35" t="s">
        <v>95</v>
      </c>
      <c r="D536" s="35" t="s">
        <v>19</v>
      </c>
      <c r="E536" s="35" t="s">
        <v>32</v>
      </c>
      <c r="F536" s="35">
        <v>18</v>
      </c>
      <c r="G536" s="35">
        <v>852.78</v>
      </c>
      <c r="H536" s="35">
        <v>15350.04</v>
      </c>
      <c r="I536" s="35">
        <v>11629.56</v>
      </c>
      <c r="J536" s="35">
        <v>3720.48</v>
      </c>
      <c r="K536" s="37">
        <v>45652</v>
      </c>
      <c r="L536" s="37">
        <v>45661</v>
      </c>
      <c r="M536" s="35" t="s">
        <v>26</v>
      </c>
      <c r="N536" s="35">
        <v>3</v>
      </c>
      <c r="O536" s="35" t="s">
        <v>46</v>
      </c>
      <c r="P536" s="35">
        <v>7.2</v>
      </c>
    </row>
    <row r="537" spans="1:16" ht="15.75" customHeight="1" x14ac:dyDescent="0.3">
      <c r="A537" s="35" t="s">
        <v>1337</v>
      </c>
      <c r="B537" s="35" t="s">
        <v>1338</v>
      </c>
      <c r="C537" s="35" t="s">
        <v>18</v>
      </c>
      <c r="D537" s="35" t="s">
        <v>19</v>
      </c>
      <c r="E537" s="35" t="s">
        <v>25</v>
      </c>
      <c r="F537" s="35">
        <v>9</v>
      </c>
      <c r="G537" s="35">
        <v>1088.5</v>
      </c>
      <c r="H537" s="35">
        <v>9796.5</v>
      </c>
      <c r="I537" s="35">
        <v>6399.68</v>
      </c>
      <c r="J537" s="35">
        <v>3396.82</v>
      </c>
      <c r="K537" s="37">
        <v>45805</v>
      </c>
      <c r="L537" s="37">
        <v>45808</v>
      </c>
      <c r="M537" s="35" t="s">
        <v>38</v>
      </c>
      <c r="N537" s="35">
        <v>1</v>
      </c>
      <c r="O537" s="35" t="s">
        <v>205</v>
      </c>
      <c r="P537" s="35">
        <v>9.5</v>
      </c>
    </row>
    <row r="538" spans="1:16" ht="15.75" customHeight="1" x14ac:dyDescent="0.3">
      <c r="A538" s="35" t="s">
        <v>1339</v>
      </c>
      <c r="B538" s="35" t="s">
        <v>1340</v>
      </c>
      <c r="C538" s="35" t="s">
        <v>49</v>
      </c>
      <c r="D538" s="35" t="s">
        <v>43</v>
      </c>
      <c r="E538" s="35" t="s">
        <v>25</v>
      </c>
      <c r="F538" s="35">
        <v>9</v>
      </c>
      <c r="G538" s="35">
        <v>4844.88</v>
      </c>
      <c r="H538" s="35">
        <v>43603.92</v>
      </c>
      <c r="I538" s="35">
        <v>33715.4</v>
      </c>
      <c r="J538" s="35">
        <v>9888.52</v>
      </c>
      <c r="K538" s="37">
        <v>45603</v>
      </c>
      <c r="L538" s="37">
        <v>45607</v>
      </c>
      <c r="M538" s="35" t="s">
        <v>123</v>
      </c>
      <c r="N538" s="35">
        <v>3</v>
      </c>
      <c r="O538" s="35" t="s">
        <v>1341</v>
      </c>
      <c r="P538" s="35">
        <v>6.6</v>
      </c>
    </row>
    <row r="539" spans="1:16" ht="15.75" customHeight="1" x14ac:dyDescent="0.3">
      <c r="A539" s="35" t="s">
        <v>1342</v>
      </c>
      <c r="B539" s="35" t="s">
        <v>1343</v>
      </c>
      <c r="C539" s="35" t="s">
        <v>219</v>
      </c>
      <c r="D539" s="35" t="s">
        <v>43</v>
      </c>
      <c r="E539" s="35" t="s">
        <v>32</v>
      </c>
      <c r="F539" s="35">
        <v>18</v>
      </c>
      <c r="G539" s="35">
        <v>1257.4000000000001</v>
      </c>
      <c r="H539" s="35">
        <v>22633.200000000001</v>
      </c>
      <c r="I539" s="35">
        <v>19562.330000000002</v>
      </c>
      <c r="J539" s="35">
        <v>3070.87</v>
      </c>
      <c r="K539" s="37">
        <v>45453</v>
      </c>
      <c r="L539" s="37">
        <v>45456</v>
      </c>
      <c r="M539" s="35" t="s">
        <v>50</v>
      </c>
      <c r="N539" s="35">
        <v>4</v>
      </c>
      <c r="O539" s="35" t="s">
        <v>452</v>
      </c>
      <c r="P539" s="35">
        <v>8.6</v>
      </c>
    </row>
    <row r="540" spans="1:16" ht="15.75" customHeight="1" x14ac:dyDescent="0.3">
      <c r="A540" s="35" t="s">
        <v>1344</v>
      </c>
      <c r="B540" s="35" t="s">
        <v>1345</v>
      </c>
      <c r="C540" s="35" t="s">
        <v>195</v>
      </c>
      <c r="D540" s="35" t="s">
        <v>43</v>
      </c>
      <c r="E540" s="35" t="s">
        <v>20</v>
      </c>
      <c r="F540" s="35">
        <v>19</v>
      </c>
      <c r="G540" s="35">
        <v>2674.65</v>
      </c>
      <c r="H540" s="35">
        <v>50818.35</v>
      </c>
      <c r="I540" s="35">
        <v>31772.400000000001</v>
      </c>
      <c r="J540" s="35">
        <v>19045.95</v>
      </c>
      <c r="K540" s="37">
        <v>45547</v>
      </c>
      <c r="L540" s="37">
        <v>45550</v>
      </c>
      <c r="M540" s="35" t="s">
        <v>45</v>
      </c>
      <c r="N540" s="35">
        <v>3</v>
      </c>
      <c r="O540" s="35" t="s">
        <v>446</v>
      </c>
      <c r="P540" s="35">
        <v>9</v>
      </c>
    </row>
    <row r="541" spans="1:16" ht="15.75" customHeight="1" x14ac:dyDescent="0.3">
      <c r="A541" s="35" t="s">
        <v>1346</v>
      </c>
      <c r="B541" s="35" t="s">
        <v>1347</v>
      </c>
      <c r="C541" s="35" t="s">
        <v>42</v>
      </c>
      <c r="D541" s="35" t="s">
        <v>43</v>
      </c>
      <c r="E541" s="35" t="s">
        <v>44</v>
      </c>
      <c r="F541" s="35">
        <v>7</v>
      </c>
      <c r="G541" s="35">
        <v>4860.18</v>
      </c>
      <c r="H541" s="35">
        <v>34021.26</v>
      </c>
      <c r="I541" s="35">
        <v>22456.63</v>
      </c>
      <c r="J541" s="35">
        <v>11564.63</v>
      </c>
      <c r="K541" s="37">
        <v>45835</v>
      </c>
      <c r="L541" s="37">
        <v>45838</v>
      </c>
      <c r="M541" s="35" t="s">
        <v>21</v>
      </c>
      <c r="N541" s="35">
        <v>2</v>
      </c>
      <c r="O541" s="35" t="s">
        <v>251</v>
      </c>
      <c r="P541" s="35">
        <v>7.6</v>
      </c>
    </row>
    <row r="542" spans="1:16" ht="15.75" customHeight="1" x14ac:dyDescent="0.3">
      <c r="A542" s="35" t="s">
        <v>1348</v>
      </c>
      <c r="B542" s="35" t="s">
        <v>1349</v>
      </c>
      <c r="C542" s="35" t="s">
        <v>49</v>
      </c>
      <c r="D542" s="35" t="s">
        <v>43</v>
      </c>
      <c r="E542" s="35" t="s">
        <v>44</v>
      </c>
      <c r="F542" s="35">
        <v>9</v>
      </c>
      <c r="G542" s="35">
        <v>1899.23</v>
      </c>
      <c r="H542" s="35">
        <v>17093.07</v>
      </c>
      <c r="I542" s="35">
        <v>10839.99</v>
      </c>
      <c r="J542" s="35">
        <v>6253.08</v>
      </c>
      <c r="K542" s="37">
        <v>45928</v>
      </c>
      <c r="L542" s="37">
        <v>45929</v>
      </c>
      <c r="M542" s="35" t="s">
        <v>181</v>
      </c>
      <c r="N542" s="35">
        <v>4</v>
      </c>
      <c r="O542" s="35" t="s">
        <v>105</v>
      </c>
      <c r="P542" s="35">
        <v>9.1</v>
      </c>
    </row>
    <row r="543" spans="1:16" ht="15.75" customHeight="1" x14ac:dyDescent="0.3">
      <c r="A543" s="35" t="s">
        <v>1350</v>
      </c>
      <c r="B543" s="35" t="s">
        <v>1351</v>
      </c>
      <c r="C543" s="35" t="s">
        <v>57</v>
      </c>
      <c r="D543" s="35" t="s">
        <v>19</v>
      </c>
      <c r="E543" s="35" t="s">
        <v>32</v>
      </c>
      <c r="F543" s="35">
        <v>3</v>
      </c>
      <c r="G543" s="35">
        <v>4862.25</v>
      </c>
      <c r="H543" s="35">
        <v>14586.75</v>
      </c>
      <c r="I543" s="35">
        <v>10055.27</v>
      </c>
      <c r="J543" s="35">
        <v>4531.4799999999996</v>
      </c>
      <c r="K543" s="37">
        <v>45948</v>
      </c>
      <c r="L543" s="37">
        <v>45950</v>
      </c>
      <c r="M543" s="35" t="s">
        <v>45</v>
      </c>
      <c r="N543" s="35">
        <v>1</v>
      </c>
      <c r="O543" s="35" t="s">
        <v>187</v>
      </c>
      <c r="P543" s="35">
        <v>7.6</v>
      </c>
    </row>
    <row r="544" spans="1:16" ht="15.75" customHeight="1" x14ac:dyDescent="0.3">
      <c r="A544" s="35" t="s">
        <v>1352</v>
      </c>
      <c r="B544" s="35" t="s">
        <v>1353</v>
      </c>
      <c r="C544" s="35" t="s">
        <v>144</v>
      </c>
      <c r="D544" s="35" t="s">
        <v>19</v>
      </c>
      <c r="E544" s="35" t="s">
        <v>32</v>
      </c>
      <c r="F544" s="35">
        <v>7</v>
      </c>
      <c r="G544" s="35">
        <v>2980.79</v>
      </c>
      <c r="H544" s="35">
        <v>20865.53</v>
      </c>
      <c r="I544" s="35">
        <v>15361.25</v>
      </c>
      <c r="J544" s="35">
        <v>5504.28</v>
      </c>
      <c r="K544" s="37">
        <v>46080</v>
      </c>
      <c r="L544" s="37">
        <v>46084</v>
      </c>
      <c r="M544" s="35" t="s">
        <v>58</v>
      </c>
      <c r="N544" s="35">
        <v>3</v>
      </c>
      <c r="O544" s="35" t="s">
        <v>391</v>
      </c>
      <c r="P544" s="35">
        <v>7.3</v>
      </c>
    </row>
    <row r="545" spans="1:16" ht="15.75" customHeight="1" x14ac:dyDescent="0.3">
      <c r="A545" s="35" t="s">
        <v>1354</v>
      </c>
      <c r="B545" s="35" t="s">
        <v>1355</v>
      </c>
      <c r="C545" s="35" t="s">
        <v>57</v>
      </c>
      <c r="D545" s="35" t="s">
        <v>19</v>
      </c>
      <c r="E545" s="35" t="s">
        <v>25</v>
      </c>
      <c r="F545" s="35">
        <v>9</v>
      </c>
      <c r="G545" s="35">
        <v>3212.53</v>
      </c>
      <c r="H545" s="35">
        <v>28912.77</v>
      </c>
      <c r="I545" s="35">
        <v>21074.17</v>
      </c>
      <c r="J545" s="35">
        <v>7838.6</v>
      </c>
      <c r="K545" s="37">
        <v>45846</v>
      </c>
      <c r="L545" s="37">
        <v>45855</v>
      </c>
      <c r="M545" s="35" t="s">
        <v>21</v>
      </c>
      <c r="N545" s="35">
        <v>3</v>
      </c>
      <c r="O545" s="35" t="s">
        <v>998</v>
      </c>
      <c r="P545" s="35">
        <v>7.6</v>
      </c>
    </row>
    <row r="546" spans="1:16" ht="15.75" customHeight="1" x14ac:dyDescent="0.3">
      <c r="A546" s="35" t="s">
        <v>1356</v>
      </c>
      <c r="B546" s="35" t="s">
        <v>1357</v>
      </c>
      <c r="C546" s="35" t="s">
        <v>42</v>
      </c>
      <c r="D546" s="35" t="s">
        <v>43</v>
      </c>
      <c r="E546" s="35" t="s">
        <v>32</v>
      </c>
      <c r="F546" s="35">
        <v>9</v>
      </c>
      <c r="G546" s="35">
        <v>2058.8000000000002</v>
      </c>
      <c r="H546" s="35">
        <v>18529.2</v>
      </c>
      <c r="I546" s="35">
        <v>13022.14</v>
      </c>
      <c r="J546" s="35">
        <v>5507.06</v>
      </c>
      <c r="K546" s="37">
        <v>45554</v>
      </c>
      <c r="L546" s="37">
        <v>45557</v>
      </c>
      <c r="M546" s="35" t="s">
        <v>58</v>
      </c>
      <c r="N546" s="35">
        <v>1</v>
      </c>
      <c r="O546" s="35" t="s">
        <v>732</v>
      </c>
      <c r="P546" s="35">
        <v>8.1999999999999993</v>
      </c>
    </row>
    <row r="547" spans="1:16" ht="15.75" customHeight="1" x14ac:dyDescent="0.3">
      <c r="A547" s="35" t="s">
        <v>1358</v>
      </c>
      <c r="B547" s="35" t="s">
        <v>1359</v>
      </c>
      <c r="C547" s="35" t="s">
        <v>168</v>
      </c>
      <c r="D547" s="35" t="s">
        <v>43</v>
      </c>
      <c r="E547" s="35" t="s">
        <v>44</v>
      </c>
      <c r="F547" s="35">
        <v>3</v>
      </c>
      <c r="G547" s="35">
        <v>4913.53</v>
      </c>
      <c r="H547" s="35">
        <v>14740.59</v>
      </c>
      <c r="I547" s="35">
        <v>10896.38</v>
      </c>
      <c r="J547" s="35">
        <v>3844.21</v>
      </c>
      <c r="K547" s="37">
        <v>45519</v>
      </c>
      <c r="L547" s="37">
        <v>45528</v>
      </c>
      <c r="M547" s="35" t="s">
        <v>21</v>
      </c>
      <c r="N547" s="35">
        <v>5</v>
      </c>
      <c r="O547" s="35" t="s">
        <v>1242</v>
      </c>
      <c r="P547" s="35">
        <v>7.4</v>
      </c>
    </row>
    <row r="548" spans="1:16" ht="15.75" customHeight="1" x14ac:dyDescent="0.3">
      <c r="A548" s="35" t="s">
        <v>1360</v>
      </c>
      <c r="B548" s="35" t="s">
        <v>1361</v>
      </c>
      <c r="C548" s="35" t="s">
        <v>139</v>
      </c>
      <c r="D548" s="35" t="s">
        <v>31</v>
      </c>
      <c r="E548" s="35" t="s">
        <v>20</v>
      </c>
      <c r="F548" s="35">
        <v>10</v>
      </c>
      <c r="G548" s="35">
        <v>2707.3</v>
      </c>
      <c r="H548" s="35">
        <v>27073</v>
      </c>
      <c r="I548" s="35">
        <v>14147.23</v>
      </c>
      <c r="J548" s="35">
        <v>12925.77</v>
      </c>
      <c r="K548" s="37">
        <v>45963</v>
      </c>
      <c r="L548" s="37">
        <v>45965</v>
      </c>
      <c r="M548" s="35" t="s">
        <v>58</v>
      </c>
      <c r="N548" s="35">
        <v>5</v>
      </c>
      <c r="O548" s="35" t="s">
        <v>82</v>
      </c>
      <c r="P548" s="35">
        <v>7</v>
      </c>
    </row>
    <row r="549" spans="1:16" ht="15.75" customHeight="1" x14ac:dyDescent="0.3">
      <c r="A549" s="35" t="s">
        <v>1362</v>
      </c>
      <c r="B549" s="35" t="s">
        <v>1363</v>
      </c>
      <c r="C549" s="35" t="s">
        <v>57</v>
      </c>
      <c r="D549" s="35" t="s">
        <v>19</v>
      </c>
      <c r="E549" s="35" t="s">
        <v>25</v>
      </c>
      <c r="F549" s="35">
        <v>13</v>
      </c>
      <c r="G549" s="35">
        <v>3316.12</v>
      </c>
      <c r="H549" s="35">
        <v>43109.56</v>
      </c>
      <c r="I549" s="35">
        <v>22660.75</v>
      </c>
      <c r="J549" s="35">
        <v>20448.810000000001</v>
      </c>
      <c r="K549" s="37">
        <v>46050</v>
      </c>
      <c r="L549" s="37">
        <v>46051</v>
      </c>
      <c r="M549" s="35" t="s">
        <v>50</v>
      </c>
      <c r="N549" s="35">
        <v>2</v>
      </c>
      <c r="O549" s="35" t="s">
        <v>486</v>
      </c>
      <c r="P549" s="35">
        <v>6.8</v>
      </c>
    </row>
    <row r="550" spans="1:16" ht="15.75" customHeight="1" x14ac:dyDescent="0.3">
      <c r="A550" s="35" t="s">
        <v>1364</v>
      </c>
      <c r="B550" s="35" t="s">
        <v>1365</v>
      </c>
      <c r="C550" s="35" t="s">
        <v>139</v>
      </c>
      <c r="D550" s="35" t="s">
        <v>31</v>
      </c>
      <c r="E550" s="35" t="s">
        <v>20</v>
      </c>
      <c r="F550" s="35">
        <v>13</v>
      </c>
      <c r="G550" s="35">
        <v>1551.8</v>
      </c>
      <c r="H550" s="35">
        <v>20173.400000000001</v>
      </c>
      <c r="I550" s="35">
        <v>13722.47</v>
      </c>
      <c r="J550" s="35">
        <v>6450.93</v>
      </c>
      <c r="K550" s="37">
        <v>45450</v>
      </c>
      <c r="L550" s="37">
        <v>45454</v>
      </c>
      <c r="M550" s="35" t="s">
        <v>45</v>
      </c>
      <c r="N550" s="35">
        <v>1</v>
      </c>
      <c r="O550" s="35" t="s">
        <v>594</v>
      </c>
      <c r="P550" s="35">
        <v>10</v>
      </c>
    </row>
    <row r="551" spans="1:16" ht="15.75" customHeight="1" x14ac:dyDescent="0.3">
      <c r="A551" s="35" t="s">
        <v>1366</v>
      </c>
      <c r="B551" s="35" t="s">
        <v>1367</v>
      </c>
      <c r="C551" s="35" t="s">
        <v>30</v>
      </c>
      <c r="D551" s="35" t="s">
        <v>31</v>
      </c>
      <c r="E551" s="35" t="s">
        <v>44</v>
      </c>
      <c r="F551" s="35">
        <v>5</v>
      </c>
      <c r="G551" s="35">
        <v>1581.97</v>
      </c>
      <c r="H551" s="35">
        <v>7909.85</v>
      </c>
      <c r="I551" s="35">
        <v>6298.08</v>
      </c>
      <c r="J551" s="35">
        <v>1611.77</v>
      </c>
      <c r="K551" s="37">
        <v>45469</v>
      </c>
      <c r="L551" s="37">
        <v>45472</v>
      </c>
      <c r="M551" s="35" t="s">
        <v>58</v>
      </c>
      <c r="N551" s="35">
        <v>5</v>
      </c>
      <c r="O551" s="35" t="s">
        <v>993</v>
      </c>
      <c r="P551" s="35">
        <v>7</v>
      </c>
    </row>
    <row r="552" spans="1:16" ht="15.75" customHeight="1" x14ac:dyDescent="0.3">
      <c r="A552" s="35" t="s">
        <v>1368</v>
      </c>
      <c r="B552" s="35" t="s">
        <v>1369</v>
      </c>
      <c r="C552" s="35" t="s">
        <v>42</v>
      </c>
      <c r="D552" s="35" t="s">
        <v>43</v>
      </c>
      <c r="E552" s="35" t="s">
        <v>32</v>
      </c>
      <c r="F552" s="35">
        <v>5</v>
      </c>
      <c r="G552" s="35">
        <v>4242.8900000000003</v>
      </c>
      <c r="H552" s="35">
        <v>21214.45</v>
      </c>
      <c r="I552" s="35">
        <v>13641.43</v>
      </c>
      <c r="J552" s="35">
        <v>7573.02</v>
      </c>
      <c r="K552" s="37">
        <v>46114</v>
      </c>
      <c r="L552" s="37">
        <v>46118</v>
      </c>
      <c r="M552" s="35" t="s">
        <v>58</v>
      </c>
      <c r="N552" s="35">
        <v>5</v>
      </c>
      <c r="O552" s="35" t="s">
        <v>1370</v>
      </c>
      <c r="P552" s="35">
        <v>8.1</v>
      </c>
    </row>
    <row r="553" spans="1:16" ht="15.75" customHeight="1" x14ac:dyDescent="0.3">
      <c r="A553" s="35" t="s">
        <v>1371</v>
      </c>
      <c r="B553" s="35" t="s">
        <v>1372</v>
      </c>
      <c r="C553" s="35" t="s">
        <v>49</v>
      </c>
      <c r="D553" s="35" t="s">
        <v>43</v>
      </c>
      <c r="E553" s="35" t="s">
        <v>25</v>
      </c>
      <c r="F553" s="35">
        <v>5</v>
      </c>
      <c r="G553" s="35">
        <v>1599.01</v>
      </c>
      <c r="H553" s="35">
        <v>7995.05</v>
      </c>
      <c r="I553" s="35">
        <v>5851.24</v>
      </c>
      <c r="J553" s="35">
        <v>2143.81</v>
      </c>
      <c r="K553" s="37">
        <v>45739</v>
      </c>
      <c r="L553" s="37">
        <v>45741</v>
      </c>
      <c r="M553" s="35" t="s">
        <v>58</v>
      </c>
      <c r="N553" s="35">
        <v>1</v>
      </c>
      <c r="O553" s="35" t="s">
        <v>1191</v>
      </c>
      <c r="P553" s="35">
        <v>7.7</v>
      </c>
    </row>
    <row r="554" spans="1:16" ht="15.75" customHeight="1" x14ac:dyDescent="0.3">
      <c r="A554" s="35" t="s">
        <v>1373</v>
      </c>
      <c r="B554" s="35" t="s">
        <v>1374</v>
      </c>
      <c r="C554" s="35" t="s">
        <v>49</v>
      </c>
      <c r="D554" s="35" t="s">
        <v>43</v>
      </c>
      <c r="E554" s="35" t="s">
        <v>25</v>
      </c>
      <c r="F554" s="35">
        <v>10</v>
      </c>
      <c r="G554" s="35">
        <v>2030.97</v>
      </c>
      <c r="H554" s="35">
        <v>20309.7</v>
      </c>
      <c r="I554" s="35">
        <v>11490.74</v>
      </c>
      <c r="J554" s="35">
        <v>8818.9599999999991</v>
      </c>
      <c r="K554" s="37">
        <v>45723</v>
      </c>
      <c r="L554" s="37">
        <v>45733</v>
      </c>
      <c r="M554" s="35" t="s">
        <v>45</v>
      </c>
      <c r="N554" s="35">
        <v>1</v>
      </c>
      <c r="O554" s="35" t="s">
        <v>512</v>
      </c>
      <c r="P554" s="35">
        <v>9.3000000000000007</v>
      </c>
    </row>
    <row r="555" spans="1:16" ht="15.75" customHeight="1" x14ac:dyDescent="0.3">
      <c r="A555" s="35" t="s">
        <v>1375</v>
      </c>
      <c r="B555" s="35" t="s">
        <v>1376</v>
      </c>
      <c r="C555" s="35" t="s">
        <v>30</v>
      </c>
      <c r="D555" s="35" t="s">
        <v>31</v>
      </c>
      <c r="E555" s="35" t="s">
        <v>25</v>
      </c>
      <c r="F555" s="35">
        <v>11</v>
      </c>
      <c r="G555" s="35">
        <v>3125.61</v>
      </c>
      <c r="H555" s="35">
        <v>34381.71</v>
      </c>
      <c r="I555" s="35">
        <v>25982.65</v>
      </c>
      <c r="J555" s="35">
        <v>8399.06</v>
      </c>
      <c r="K555" s="37">
        <v>45755</v>
      </c>
      <c r="L555" s="37">
        <v>45759</v>
      </c>
      <c r="M555" s="35" t="s">
        <v>58</v>
      </c>
      <c r="N555" s="35">
        <v>5</v>
      </c>
      <c r="O555" s="35" t="s">
        <v>1377</v>
      </c>
      <c r="P555" s="35">
        <v>7.4</v>
      </c>
    </row>
    <row r="556" spans="1:16" ht="15.75" customHeight="1" x14ac:dyDescent="0.3">
      <c r="A556" s="35" t="s">
        <v>1378</v>
      </c>
      <c r="B556" s="35" t="s">
        <v>1379</v>
      </c>
      <c r="C556" s="35" t="s">
        <v>168</v>
      </c>
      <c r="D556" s="35" t="s">
        <v>43</v>
      </c>
      <c r="E556" s="35" t="s">
        <v>20</v>
      </c>
      <c r="F556" s="35">
        <v>17</v>
      </c>
      <c r="G556" s="35">
        <v>3023.05</v>
      </c>
      <c r="H556" s="35">
        <v>51391.85</v>
      </c>
      <c r="I556" s="35">
        <v>35562.949999999997</v>
      </c>
      <c r="J556" s="35">
        <v>15828.9</v>
      </c>
      <c r="K556" s="37">
        <v>45732</v>
      </c>
      <c r="L556" s="37">
        <v>45739</v>
      </c>
      <c r="M556" s="35" t="s">
        <v>33</v>
      </c>
      <c r="N556" s="35">
        <v>1</v>
      </c>
      <c r="O556" s="35" t="s">
        <v>839</v>
      </c>
      <c r="P556" s="35">
        <v>8.3000000000000007</v>
      </c>
    </row>
    <row r="557" spans="1:16" ht="15.75" customHeight="1" x14ac:dyDescent="0.3">
      <c r="A557" s="35" t="s">
        <v>1380</v>
      </c>
      <c r="B557" s="35" t="s">
        <v>1381</v>
      </c>
      <c r="C557" s="35" t="s">
        <v>18</v>
      </c>
      <c r="D557" s="35" t="s">
        <v>19</v>
      </c>
      <c r="E557" s="35" t="s">
        <v>20</v>
      </c>
      <c r="F557" s="35">
        <v>10</v>
      </c>
      <c r="G557" s="35">
        <v>3107.55</v>
      </c>
      <c r="H557" s="35">
        <v>31075.5</v>
      </c>
      <c r="I557" s="35">
        <v>15678.28</v>
      </c>
      <c r="J557" s="35">
        <v>15397.22</v>
      </c>
      <c r="K557" s="37">
        <v>46139</v>
      </c>
      <c r="L557" s="37">
        <v>46140</v>
      </c>
      <c r="M557" s="35" t="s">
        <v>181</v>
      </c>
      <c r="N557" s="35">
        <v>5</v>
      </c>
      <c r="O557" s="35" t="s">
        <v>638</v>
      </c>
      <c r="P557" s="35">
        <v>8.4</v>
      </c>
    </row>
    <row r="558" spans="1:16" ht="15.75" customHeight="1" x14ac:dyDescent="0.3">
      <c r="A558" s="35" t="s">
        <v>1382</v>
      </c>
      <c r="B558" s="35" t="s">
        <v>1383</v>
      </c>
      <c r="C558" s="35" t="s">
        <v>168</v>
      </c>
      <c r="D558" s="35" t="s">
        <v>43</v>
      </c>
      <c r="E558" s="35" t="s">
        <v>44</v>
      </c>
      <c r="F558" s="35">
        <v>5</v>
      </c>
      <c r="G558" s="35">
        <v>2387.1</v>
      </c>
      <c r="H558" s="35">
        <v>11935.5</v>
      </c>
      <c r="I558" s="35">
        <v>9522.9</v>
      </c>
      <c r="J558" s="35">
        <v>2412.6</v>
      </c>
      <c r="K558" s="37">
        <v>46115</v>
      </c>
      <c r="L558" s="37">
        <v>46118</v>
      </c>
      <c r="M558" s="35" t="s">
        <v>38</v>
      </c>
      <c r="N558" s="35">
        <v>2</v>
      </c>
      <c r="O558" s="35" t="s">
        <v>208</v>
      </c>
      <c r="P558" s="35">
        <v>9.1999999999999993</v>
      </c>
    </row>
    <row r="559" spans="1:16" ht="15.75" customHeight="1" x14ac:dyDescent="0.3">
      <c r="A559" s="35" t="s">
        <v>1384</v>
      </c>
      <c r="B559" s="35" t="s">
        <v>1385</v>
      </c>
      <c r="C559" s="35" t="s">
        <v>168</v>
      </c>
      <c r="D559" s="35" t="s">
        <v>43</v>
      </c>
      <c r="E559" s="35" t="s">
        <v>25</v>
      </c>
      <c r="F559" s="35">
        <v>18</v>
      </c>
      <c r="G559" s="35">
        <v>894.85</v>
      </c>
      <c r="H559" s="35">
        <v>16107.3</v>
      </c>
      <c r="I559" s="35">
        <v>9061.9699999999993</v>
      </c>
      <c r="J559" s="35">
        <v>7045.33</v>
      </c>
      <c r="K559" s="37">
        <v>46109</v>
      </c>
      <c r="L559" s="37">
        <v>46118</v>
      </c>
      <c r="M559" s="35" t="s">
        <v>181</v>
      </c>
      <c r="N559" s="35">
        <v>2</v>
      </c>
      <c r="O559" s="35" t="s">
        <v>108</v>
      </c>
      <c r="P559" s="35">
        <v>7.6</v>
      </c>
    </row>
    <row r="560" spans="1:16" ht="15.75" customHeight="1" x14ac:dyDescent="0.3">
      <c r="A560" s="35" t="s">
        <v>1386</v>
      </c>
      <c r="B560" s="35" t="s">
        <v>1387</v>
      </c>
      <c r="C560" s="35" t="s">
        <v>144</v>
      </c>
      <c r="D560" s="35" t="s">
        <v>19</v>
      </c>
      <c r="E560" s="35" t="s">
        <v>32</v>
      </c>
      <c r="F560" s="35">
        <v>15</v>
      </c>
      <c r="G560" s="35">
        <v>1793.03</v>
      </c>
      <c r="H560" s="35">
        <v>26895.45</v>
      </c>
      <c r="I560" s="35">
        <v>19545.400000000001</v>
      </c>
      <c r="J560" s="35">
        <v>7350.05</v>
      </c>
      <c r="K560" s="37">
        <v>45529</v>
      </c>
      <c r="L560" s="37">
        <v>45530</v>
      </c>
      <c r="M560" s="35" t="s">
        <v>50</v>
      </c>
      <c r="N560" s="35">
        <v>5</v>
      </c>
      <c r="O560" s="35" t="s">
        <v>378</v>
      </c>
      <c r="P560" s="35">
        <v>7</v>
      </c>
    </row>
    <row r="561" spans="1:16" ht="15.75" customHeight="1" x14ac:dyDescent="0.3">
      <c r="A561" s="35" t="s">
        <v>1388</v>
      </c>
      <c r="B561" s="35" t="s">
        <v>1389</v>
      </c>
      <c r="C561" s="35" t="s">
        <v>219</v>
      </c>
      <c r="D561" s="35" t="s">
        <v>43</v>
      </c>
      <c r="E561" s="35" t="s">
        <v>20</v>
      </c>
      <c r="F561" s="35">
        <v>1</v>
      </c>
      <c r="G561" s="35">
        <v>710.72</v>
      </c>
      <c r="H561" s="35">
        <v>710.72</v>
      </c>
      <c r="I561" s="35">
        <v>549.22</v>
      </c>
      <c r="J561" s="35">
        <v>161.5</v>
      </c>
      <c r="K561" s="37">
        <v>45603</v>
      </c>
      <c r="L561" s="37">
        <v>45609</v>
      </c>
      <c r="M561" s="35" t="s">
        <v>33</v>
      </c>
      <c r="N561" s="35">
        <v>2</v>
      </c>
      <c r="O561" s="35" t="s">
        <v>1390</v>
      </c>
      <c r="P561" s="35">
        <v>7.6</v>
      </c>
    </row>
    <row r="562" spans="1:16" ht="15.75" customHeight="1" x14ac:dyDescent="0.3">
      <c r="A562" s="35" t="s">
        <v>1391</v>
      </c>
      <c r="B562" s="35" t="s">
        <v>1392</v>
      </c>
      <c r="C562" s="35" t="s">
        <v>62</v>
      </c>
      <c r="D562" s="35" t="s">
        <v>31</v>
      </c>
      <c r="E562" s="35" t="s">
        <v>20</v>
      </c>
      <c r="F562" s="35">
        <v>20</v>
      </c>
      <c r="G562" s="35">
        <v>3196.57</v>
      </c>
      <c r="H562" s="35">
        <v>63931.4</v>
      </c>
      <c r="I562" s="35">
        <v>35756.15</v>
      </c>
      <c r="J562" s="35">
        <v>28175.25</v>
      </c>
      <c r="K562" s="37">
        <v>46125</v>
      </c>
      <c r="L562" s="37">
        <v>46132</v>
      </c>
      <c r="M562" s="35" t="s">
        <v>58</v>
      </c>
      <c r="N562" s="35">
        <v>1</v>
      </c>
      <c r="O562" s="35" t="s">
        <v>441</v>
      </c>
      <c r="P562" s="35">
        <v>6.8</v>
      </c>
    </row>
    <row r="563" spans="1:16" ht="15.75" customHeight="1" x14ac:dyDescent="0.3">
      <c r="A563" s="35" t="s">
        <v>1393</v>
      </c>
      <c r="B563" s="35" t="s">
        <v>1394</v>
      </c>
      <c r="C563" s="35" t="s">
        <v>88</v>
      </c>
      <c r="D563" s="35" t="s">
        <v>31</v>
      </c>
      <c r="E563" s="35" t="s">
        <v>32</v>
      </c>
      <c r="F563" s="35">
        <v>3</v>
      </c>
      <c r="G563" s="35">
        <v>3779.91</v>
      </c>
      <c r="H563" s="35">
        <v>11339.73</v>
      </c>
      <c r="I563" s="35">
        <v>8786.2800000000007</v>
      </c>
      <c r="J563" s="35">
        <v>2553.4499999999998</v>
      </c>
      <c r="K563" s="37">
        <v>45462</v>
      </c>
      <c r="L563" s="37">
        <v>45470</v>
      </c>
      <c r="M563" s="35" t="s">
        <v>69</v>
      </c>
      <c r="N563" s="35">
        <v>4</v>
      </c>
      <c r="O563" s="35" t="s">
        <v>1395</v>
      </c>
      <c r="P563" s="35">
        <v>6.6</v>
      </c>
    </row>
    <row r="564" spans="1:16" ht="15.75" customHeight="1" x14ac:dyDescent="0.3">
      <c r="A564" s="35" t="s">
        <v>1396</v>
      </c>
      <c r="B564" s="35" t="s">
        <v>1397</v>
      </c>
      <c r="C564" s="35" t="s">
        <v>195</v>
      </c>
      <c r="D564" s="35" t="s">
        <v>43</v>
      </c>
      <c r="E564" s="35" t="s">
        <v>20</v>
      </c>
      <c r="F564" s="35">
        <v>15</v>
      </c>
      <c r="G564" s="35">
        <v>729.98</v>
      </c>
      <c r="H564" s="35">
        <v>10949.7</v>
      </c>
      <c r="I564" s="35">
        <v>8093.08</v>
      </c>
      <c r="J564" s="35">
        <v>2856.62</v>
      </c>
      <c r="K564" s="37">
        <v>46001</v>
      </c>
      <c r="L564" s="37">
        <v>46008</v>
      </c>
      <c r="M564" s="35" t="s">
        <v>58</v>
      </c>
      <c r="N564" s="35">
        <v>2</v>
      </c>
      <c r="O564" s="35" t="s">
        <v>475</v>
      </c>
      <c r="P564" s="35">
        <v>9.1999999999999993</v>
      </c>
    </row>
    <row r="565" spans="1:16" ht="15.75" customHeight="1" x14ac:dyDescent="0.3">
      <c r="A565" s="35" t="s">
        <v>1398</v>
      </c>
      <c r="B565" s="35" t="s">
        <v>1399</v>
      </c>
      <c r="C565" s="35" t="s">
        <v>57</v>
      </c>
      <c r="D565" s="35" t="s">
        <v>19</v>
      </c>
      <c r="E565" s="35" t="s">
        <v>20</v>
      </c>
      <c r="F565" s="35">
        <v>7</v>
      </c>
      <c r="G565" s="35">
        <v>3123.75</v>
      </c>
      <c r="H565" s="35">
        <v>21866.25</v>
      </c>
      <c r="I565" s="35">
        <v>19526.66</v>
      </c>
      <c r="J565" s="35">
        <v>2339.59</v>
      </c>
      <c r="K565" s="37">
        <v>45709</v>
      </c>
      <c r="L565" s="37">
        <v>45711</v>
      </c>
      <c r="M565" s="35" t="s">
        <v>69</v>
      </c>
      <c r="N565" s="35">
        <v>1</v>
      </c>
      <c r="O565" s="35" t="s">
        <v>818</v>
      </c>
      <c r="P565" s="35">
        <v>6.6</v>
      </c>
    </row>
    <row r="566" spans="1:16" ht="15.75" customHeight="1" x14ac:dyDescent="0.3">
      <c r="A566" s="35" t="s">
        <v>1400</v>
      </c>
      <c r="B566" s="35" t="s">
        <v>1401</v>
      </c>
      <c r="C566" s="35" t="s">
        <v>62</v>
      </c>
      <c r="D566" s="35" t="s">
        <v>31</v>
      </c>
      <c r="E566" s="35" t="s">
        <v>44</v>
      </c>
      <c r="F566" s="35">
        <v>10</v>
      </c>
      <c r="G566" s="35">
        <v>2382.88</v>
      </c>
      <c r="H566" s="35">
        <v>23828.799999999999</v>
      </c>
      <c r="I566" s="35">
        <v>16256.18</v>
      </c>
      <c r="J566" s="35">
        <v>7572.62</v>
      </c>
      <c r="K566" s="37">
        <v>45605</v>
      </c>
      <c r="L566" s="37">
        <v>45614</v>
      </c>
      <c r="M566" s="35" t="s">
        <v>58</v>
      </c>
      <c r="N566" s="35">
        <v>5</v>
      </c>
      <c r="O566" s="35" t="s">
        <v>506</v>
      </c>
      <c r="P566" s="35">
        <v>10</v>
      </c>
    </row>
    <row r="567" spans="1:16" ht="15.75" customHeight="1" x14ac:dyDescent="0.3">
      <c r="A567" s="35" t="s">
        <v>1402</v>
      </c>
      <c r="B567" s="35" t="s">
        <v>1403</v>
      </c>
      <c r="C567" s="35" t="s">
        <v>42</v>
      </c>
      <c r="D567" s="35" t="s">
        <v>43</v>
      </c>
      <c r="E567" s="35" t="s">
        <v>44</v>
      </c>
      <c r="F567" s="35">
        <v>18</v>
      </c>
      <c r="G567" s="35">
        <v>719.37</v>
      </c>
      <c r="H567" s="35">
        <v>12948.66</v>
      </c>
      <c r="I567" s="35">
        <v>7229.1</v>
      </c>
      <c r="J567" s="35">
        <v>5719.56</v>
      </c>
      <c r="K567" s="37">
        <v>45522</v>
      </c>
      <c r="L567" s="37">
        <v>45532</v>
      </c>
      <c r="M567" s="35" t="s">
        <v>50</v>
      </c>
      <c r="N567" s="35">
        <v>4</v>
      </c>
      <c r="O567" s="35" t="s">
        <v>297</v>
      </c>
      <c r="P567" s="35">
        <v>8.9</v>
      </c>
    </row>
    <row r="568" spans="1:16" ht="15.75" customHeight="1" x14ac:dyDescent="0.3">
      <c r="A568" s="35" t="s">
        <v>1404</v>
      </c>
      <c r="B568" s="35" t="s">
        <v>1405</v>
      </c>
      <c r="C568" s="35" t="s">
        <v>49</v>
      </c>
      <c r="D568" s="35" t="s">
        <v>43</v>
      </c>
      <c r="E568" s="35" t="s">
        <v>25</v>
      </c>
      <c r="F568" s="35">
        <v>19</v>
      </c>
      <c r="G568" s="35">
        <v>3182.44</v>
      </c>
      <c r="H568" s="35">
        <v>60466.36</v>
      </c>
      <c r="I568" s="35">
        <v>51510.2</v>
      </c>
      <c r="J568" s="35">
        <v>8956.16</v>
      </c>
      <c r="K568" s="37">
        <v>45903</v>
      </c>
      <c r="L568" s="37">
        <v>45907</v>
      </c>
      <c r="M568" s="35" t="s">
        <v>33</v>
      </c>
      <c r="N568" s="35">
        <v>4</v>
      </c>
      <c r="O568" s="35" t="s">
        <v>211</v>
      </c>
      <c r="P568" s="35">
        <v>9.6</v>
      </c>
    </row>
    <row r="569" spans="1:16" ht="15.75" customHeight="1" x14ac:dyDescent="0.3">
      <c r="A569" s="35" t="s">
        <v>1406</v>
      </c>
      <c r="B569" s="35" t="s">
        <v>1407</v>
      </c>
      <c r="C569" s="35" t="s">
        <v>62</v>
      </c>
      <c r="D569" s="35" t="s">
        <v>31</v>
      </c>
      <c r="E569" s="35" t="s">
        <v>44</v>
      </c>
      <c r="F569" s="35">
        <v>16</v>
      </c>
      <c r="G569" s="35">
        <v>374.49</v>
      </c>
      <c r="H569" s="35">
        <v>5991.84</v>
      </c>
      <c r="I569" s="35">
        <v>3725.74</v>
      </c>
      <c r="J569" s="35">
        <v>2266.1</v>
      </c>
      <c r="K569" s="37">
        <v>46131</v>
      </c>
      <c r="L569" s="37">
        <v>46139</v>
      </c>
      <c r="M569" s="35" t="s">
        <v>26</v>
      </c>
      <c r="N569" s="35">
        <v>3</v>
      </c>
      <c r="O569" s="35" t="s">
        <v>184</v>
      </c>
      <c r="P569" s="35">
        <v>9.1999999999999993</v>
      </c>
    </row>
    <row r="570" spans="1:16" ht="15.75" customHeight="1" x14ac:dyDescent="0.3">
      <c r="A570" s="35" t="s">
        <v>1408</v>
      </c>
      <c r="B570" s="35" t="s">
        <v>1409</v>
      </c>
      <c r="C570" s="35" t="s">
        <v>72</v>
      </c>
      <c r="D570" s="35" t="s">
        <v>31</v>
      </c>
      <c r="E570" s="35" t="s">
        <v>32</v>
      </c>
      <c r="F570" s="35">
        <v>10</v>
      </c>
      <c r="G570" s="35">
        <v>387.69</v>
      </c>
      <c r="H570" s="35">
        <v>3876.9</v>
      </c>
      <c r="I570" s="35">
        <v>3448.95</v>
      </c>
      <c r="J570" s="35">
        <v>427.95</v>
      </c>
      <c r="K570" s="37">
        <v>45604</v>
      </c>
      <c r="L570" s="37">
        <v>45614</v>
      </c>
      <c r="M570" s="35" t="s">
        <v>33</v>
      </c>
      <c r="N570" s="35">
        <v>2</v>
      </c>
      <c r="O570" s="35" t="s">
        <v>196</v>
      </c>
      <c r="P570" s="35">
        <v>8.5</v>
      </c>
    </row>
    <row r="571" spans="1:16" ht="15.75" customHeight="1" x14ac:dyDescent="0.3">
      <c r="A571" s="35" t="s">
        <v>1410</v>
      </c>
      <c r="B571" s="35" t="s">
        <v>1411</v>
      </c>
      <c r="C571" s="35" t="s">
        <v>18</v>
      </c>
      <c r="D571" s="35" t="s">
        <v>19</v>
      </c>
      <c r="E571" s="35" t="s">
        <v>25</v>
      </c>
      <c r="F571" s="35">
        <v>9</v>
      </c>
      <c r="G571" s="35">
        <v>61.03</v>
      </c>
      <c r="H571" s="35">
        <v>549.27</v>
      </c>
      <c r="I571" s="35">
        <v>332.71</v>
      </c>
      <c r="J571" s="35">
        <v>216.56</v>
      </c>
      <c r="K571" s="37">
        <v>45903</v>
      </c>
      <c r="L571" s="37">
        <v>45908</v>
      </c>
      <c r="M571" s="35" t="s">
        <v>58</v>
      </c>
      <c r="N571" s="35">
        <v>4</v>
      </c>
      <c r="O571" s="35" t="s">
        <v>59</v>
      </c>
      <c r="P571" s="35">
        <v>7.9</v>
      </c>
    </row>
    <row r="572" spans="1:16" ht="15.75" customHeight="1" x14ac:dyDescent="0.3">
      <c r="A572" s="35" t="s">
        <v>1412</v>
      </c>
      <c r="B572" s="35" t="s">
        <v>1413</v>
      </c>
      <c r="C572" s="35" t="s">
        <v>30</v>
      </c>
      <c r="D572" s="35" t="s">
        <v>31</v>
      </c>
      <c r="E572" s="35" t="s">
        <v>20</v>
      </c>
      <c r="F572" s="35">
        <v>13</v>
      </c>
      <c r="G572" s="35">
        <v>1509.53</v>
      </c>
      <c r="H572" s="35">
        <v>19623.89</v>
      </c>
      <c r="I572" s="35">
        <v>13299.72</v>
      </c>
      <c r="J572" s="35">
        <v>6324.17</v>
      </c>
      <c r="K572" s="37">
        <v>46094</v>
      </c>
      <c r="L572" s="37">
        <v>46104</v>
      </c>
      <c r="M572" s="35" t="s">
        <v>69</v>
      </c>
      <c r="N572" s="35">
        <v>2</v>
      </c>
      <c r="O572" s="35" t="s">
        <v>351</v>
      </c>
      <c r="P572" s="35">
        <v>8</v>
      </c>
    </row>
    <row r="573" spans="1:16" ht="15.75" customHeight="1" x14ac:dyDescent="0.3">
      <c r="A573" s="35" t="s">
        <v>1414</v>
      </c>
      <c r="B573" s="35" t="s">
        <v>1415</v>
      </c>
      <c r="C573" s="35" t="s">
        <v>18</v>
      </c>
      <c r="D573" s="35" t="s">
        <v>19</v>
      </c>
      <c r="E573" s="35" t="s">
        <v>44</v>
      </c>
      <c r="F573" s="35">
        <v>1</v>
      </c>
      <c r="G573" s="35">
        <v>452.64</v>
      </c>
      <c r="H573" s="35">
        <v>452.64</v>
      </c>
      <c r="I573" s="35">
        <v>345.76</v>
      </c>
      <c r="J573" s="35">
        <v>106.88</v>
      </c>
      <c r="K573" s="37">
        <v>45626</v>
      </c>
      <c r="L573" s="37">
        <v>45632</v>
      </c>
      <c r="M573" s="35" t="s">
        <v>45</v>
      </c>
      <c r="N573" s="35">
        <v>2</v>
      </c>
      <c r="O573" s="35" t="s">
        <v>757</v>
      </c>
      <c r="P573" s="35">
        <v>9.5</v>
      </c>
    </row>
    <row r="574" spans="1:16" ht="15.75" customHeight="1" x14ac:dyDescent="0.3">
      <c r="A574" s="35" t="s">
        <v>1416</v>
      </c>
      <c r="B574" s="35" t="s">
        <v>1417</v>
      </c>
      <c r="C574" s="35" t="s">
        <v>72</v>
      </c>
      <c r="D574" s="35" t="s">
        <v>31</v>
      </c>
      <c r="E574" s="35" t="s">
        <v>20</v>
      </c>
      <c r="F574" s="35">
        <v>11</v>
      </c>
      <c r="G574" s="35">
        <v>1199.76</v>
      </c>
      <c r="H574" s="35">
        <v>13197.36</v>
      </c>
      <c r="I574" s="35">
        <v>8997.7999999999993</v>
      </c>
      <c r="J574" s="35">
        <v>4199.5600000000004</v>
      </c>
      <c r="K574" s="37">
        <v>46124</v>
      </c>
      <c r="L574" s="37">
        <v>46129</v>
      </c>
      <c r="M574" s="35" t="s">
        <v>21</v>
      </c>
      <c r="N574" s="35">
        <v>5</v>
      </c>
      <c r="O574" s="35" t="s">
        <v>615</v>
      </c>
      <c r="P574" s="35">
        <v>6.7</v>
      </c>
    </row>
    <row r="575" spans="1:16" ht="15.75" customHeight="1" x14ac:dyDescent="0.3">
      <c r="A575" s="35" t="s">
        <v>1418</v>
      </c>
      <c r="B575" s="35" t="s">
        <v>1419</v>
      </c>
      <c r="C575" s="35" t="s">
        <v>195</v>
      </c>
      <c r="D575" s="35" t="s">
        <v>43</v>
      </c>
      <c r="E575" s="35" t="s">
        <v>20</v>
      </c>
      <c r="F575" s="35">
        <v>13</v>
      </c>
      <c r="G575" s="35">
        <v>2014.62</v>
      </c>
      <c r="H575" s="35">
        <v>26190.06</v>
      </c>
      <c r="I575" s="35">
        <v>23252.26</v>
      </c>
      <c r="J575" s="35">
        <v>2937.8</v>
      </c>
      <c r="K575" s="37">
        <v>46116</v>
      </c>
      <c r="L575" s="37">
        <v>46125</v>
      </c>
      <c r="M575" s="35" t="s">
        <v>21</v>
      </c>
      <c r="N575" s="35">
        <v>4</v>
      </c>
      <c r="O575" s="35" t="s">
        <v>169</v>
      </c>
      <c r="P575" s="35">
        <v>8.8000000000000007</v>
      </c>
    </row>
    <row r="576" spans="1:16" ht="15.75" customHeight="1" x14ac:dyDescent="0.3">
      <c r="A576" s="35" t="s">
        <v>1420</v>
      </c>
      <c r="B576" s="35" t="s">
        <v>1421</v>
      </c>
      <c r="C576" s="35" t="s">
        <v>37</v>
      </c>
      <c r="D576" s="35" t="s">
        <v>19</v>
      </c>
      <c r="E576" s="35" t="s">
        <v>32</v>
      </c>
      <c r="F576" s="35">
        <v>10</v>
      </c>
      <c r="G576" s="35">
        <v>2961.05</v>
      </c>
      <c r="H576" s="35">
        <v>29610.5</v>
      </c>
      <c r="I576" s="35">
        <v>17552.52</v>
      </c>
      <c r="J576" s="35">
        <v>12057.98</v>
      </c>
      <c r="K576" s="37">
        <v>46161</v>
      </c>
      <c r="L576" s="37">
        <v>46171</v>
      </c>
      <c r="M576" s="35" t="s">
        <v>26</v>
      </c>
      <c r="N576" s="35">
        <v>3</v>
      </c>
      <c r="O576" s="35" t="s">
        <v>145</v>
      </c>
      <c r="P576" s="35">
        <v>6.8</v>
      </c>
    </row>
    <row r="577" spans="1:16" ht="15.75" customHeight="1" x14ac:dyDescent="0.3">
      <c r="A577" s="35" t="s">
        <v>1422</v>
      </c>
      <c r="B577" s="35" t="s">
        <v>1423</v>
      </c>
      <c r="C577" s="35" t="s">
        <v>72</v>
      </c>
      <c r="D577" s="35" t="s">
        <v>31</v>
      </c>
      <c r="E577" s="35" t="s">
        <v>25</v>
      </c>
      <c r="F577" s="35">
        <v>14</v>
      </c>
      <c r="G577" s="35">
        <v>4400.5600000000004</v>
      </c>
      <c r="H577" s="35">
        <v>61607.839999999997</v>
      </c>
      <c r="I577" s="35">
        <v>43422.33</v>
      </c>
      <c r="J577" s="35">
        <v>18185.509999999998</v>
      </c>
      <c r="K577" s="37">
        <v>45590</v>
      </c>
      <c r="L577" s="37">
        <v>45600</v>
      </c>
      <c r="M577" s="35" t="s">
        <v>123</v>
      </c>
      <c r="N577" s="35">
        <v>2</v>
      </c>
      <c r="O577" s="35" t="s">
        <v>585</v>
      </c>
      <c r="P577" s="35">
        <v>9.1</v>
      </c>
    </row>
    <row r="578" spans="1:16" ht="15.75" customHeight="1" x14ac:dyDescent="0.3">
      <c r="A578" s="35" t="s">
        <v>1424</v>
      </c>
      <c r="B578" s="35" t="s">
        <v>1425</v>
      </c>
      <c r="C578" s="35" t="s">
        <v>62</v>
      </c>
      <c r="D578" s="35" t="s">
        <v>31</v>
      </c>
      <c r="E578" s="35" t="s">
        <v>32</v>
      </c>
      <c r="F578" s="35">
        <v>15</v>
      </c>
      <c r="G578" s="35">
        <v>3685.2</v>
      </c>
      <c r="H578" s="35">
        <v>55278</v>
      </c>
      <c r="I578" s="35">
        <v>38630.559999999998</v>
      </c>
      <c r="J578" s="35">
        <v>16647.439999999999</v>
      </c>
      <c r="K578" s="37">
        <v>45437</v>
      </c>
      <c r="L578" s="37">
        <v>45438</v>
      </c>
      <c r="M578" s="35" t="s">
        <v>181</v>
      </c>
      <c r="N578" s="35">
        <v>4</v>
      </c>
      <c r="O578" s="35" t="s">
        <v>340</v>
      </c>
      <c r="P578" s="35">
        <v>6.9</v>
      </c>
    </row>
    <row r="579" spans="1:16" ht="15.75" customHeight="1" x14ac:dyDescent="0.3">
      <c r="A579" s="35" t="s">
        <v>1426</v>
      </c>
      <c r="B579" s="35" t="s">
        <v>1427</v>
      </c>
      <c r="C579" s="35" t="s">
        <v>144</v>
      </c>
      <c r="D579" s="35" t="s">
        <v>19</v>
      </c>
      <c r="E579" s="35" t="s">
        <v>25</v>
      </c>
      <c r="F579" s="35">
        <v>5</v>
      </c>
      <c r="G579" s="35">
        <v>4101.6099999999997</v>
      </c>
      <c r="H579" s="35">
        <v>20508.05</v>
      </c>
      <c r="I579" s="35">
        <v>10545.92</v>
      </c>
      <c r="J579" s="35">
        <v>9962.1299999999992</v>
      </c>
      <c r="K579" s="37">
        <v>45526</v>
      </c>
      <c r="L579" s="37">
        <v>45535</v>
      </c>
      <c r="M579" s="35" t="s">
        <v>21</v>
      </c>
      <c r="N579" s="35">
        <v>1</v>
      </c>
      <c r="O579" s="35" t="s">
        <v>27</v>
      </c>
      <c r="P579" s="35">
        <v>8.6999999999999993</v>
      </c>
    </row>
    <row r="580" spans="1:16" ht="15.75" customHeight="1" x14ac:dyDescent="0.3">
      <c r="A580" s="35" t="s">
        <v>1428</v>
      </c>
      <c r="B580" s="35" t="s">
        <v>1429</v>
      </c>
      <c r="C580" s="35" t="s">
        <v>18</v>
      </c>
      <c r="D580" s="35" t="s">
        <v>19</v>
      </c>
      <c r="E580" s="35" t="s">
        <v>32</v>
      </c>
      <c r="F580" s="35">
        <v>12</v>
      </c>
      <c r="G580" s="35">
        <v>4119.3500000000004</v>
      </c>
      <c r="H580" s="35">
        <v>49432.2</v>
      </c>
      <c r="I580" s="35">
        <v>36566.730000000003</v>
      </c>
      <c r="J580" s="35">
        <v>12865.47</v>
      </c>
      <c r="K580" s="37">
        <v>45507</v>
      </c>
      <c r="L580" s="37">
        <v>45517</v>
      </c>
      <c r="M580" s="35" t="s">
        <v>26</v>
      </c>
      <c r="N580" s="35">
        <v>1</v>
      </c>
      <c r="O580" s="35" t="s">
        <v>1251</v>
      </c>
      <c r="P580" s="35">
        <v>8.6</v>
      </c>
    </row>
    <row r="581" spans="1:16" ht="15.75" customHeight="1" x14ac:dyDescent="0.3">
      <c r="A581" s="35" t="s">
        <v>1430</v>
      </c>
      <c r="B581" s="35" t="s">
        <v>1431</v>
      </c>
      <c r="C581" s="35" t="s">
        <v>57</v>
      </c>
      <c r="D581" s="35" t="s">
        <v>19</v>
      </c>
      <c r="E581" s="35" t="s">
        <v>44</v>
      </c>
      <c r="F581" s="35">
        <v>2</v>
      </c>
      <c r="G581" s="35">
        <v>1418.09</v>
      </c>
      <c r="H581" s="35">
        <v>2836.18</v>
      </c>
      <c r="I581" s="35">
        <v>1980.84</v>
      </c>
      <c r="J581" s="35">
        <v>855.34</v>
      </c>
      <c r="K581" s="37">
        <v>45703</v>
      </c>
      <c r="L581" s="37">
        <v>45704</v>
      </c>
      <c r="M581" s="35" t="s">
        <v>45</v>
      </c>
      <c r="N581" s="35">
        <v>4</v>
      </c>
      <c r="O581" s="35" t="s">
        <v>27</v>
      </c>
      <c r="P581" s="35">
        <v>8.9</v>
      </c>
    </row>
    <row r="582" spans="1:16" ht="15.75" customHeight="1" x14ac:dyDescent="0.3">
      <c r="A582" s="35" t="s">
        <v>1432</v>
      </c>
      <c r="B582" s="35" t="s">
        <v>1433</v>
      </c>
      <c r="C582" s="35" t="s">
        <v>37</v>
      </c>
      <c r="D582" s="35" t="s">
        <v>19</v>
      </c>
      <c r="E582" s="35" t="s">
        <v>44</v>
      </c>
      <c r="F582" s="35">
        <v>6</v>
      </c>
      <c r="G582" s="35">
        <v>2355.5</v>
      </c>
      <c r="H582" s="35">
        <v>14133</v>
      </c>
      <c r="I582" s="35">
        <v>7414.7</v>
      </c>
      <c r="J582" s="35">
        <v>6718.3</v>
      </c>
      <c r="K582" s="37">
        <v>45900</v>
      </c>
      <c r="L582" s="37">
        <v>45909</v>
      </c>
      <c r="M582" s="35" t="s">
        <v>21</v>
      </c>
      <c r="N582" s="35">
        <v>2</v>
      </c>
      <c r="O582" s="35" t="s">
        <v>199</v>
      </c>
      <c r="P582" s="35">
        <v>9.6999999999999993</v>
      </c>
    </row>
    <row r="583" spans="1:16" ht="15.75" customHeight="1" x14ac:dyDescent="0.3">
      <c r="A583" s="35" t="s">
        <v>1434</v>
      </c>
      <c r="B583" s="35" t="s">
        <v>1435</v>
      </c>
      <c r="C583" s="35" t="s">
        <v>72</v>
      </c>
      <c r="D583" s="35" t="s">
        <v>31</v>
      </c>
      <c r="E583" s="35" t="s">
        <v>20</v>
      </c>
      <c r="F583" s="35">
        <v>15</v>
      </c>
      <c r="G583" s="35">
        <v>2745.14</v>
      </c>
      <c r="H583" s="35">
        <v>41177.1</v>
      </c>
      <c r="I583" s="35">
        <v>32211.49</v>
      </c>
      <c r="J583" s="35">
        <v>8965.61</v>
      </c>
      <c r="K583" s="37">
        <v>45929</v>
      </c>
      <c r="L583" s="37">
        <v>45937</v>
      </c>
      <c r="M583" s="35" t="s">
        <v>21</v>
      </c>
      <c r="N583" s="35">
        <v>1</v>
      </c>
      <c r="O583" s="35" t="s">
        <v>172</v>
      </c>
      <c r="P583" s="35">
        <v>9.9</v>
      </c>
    </row>
    <row r="584" spans="1:16" ht="15.75" customHeight="1" x14ac:dyDescent="0.3">
      <c r="A584" s="35" t="s">
        <v>1436</v>
      </c>
      <c r="B584" s="35" t="s">
        <v>1437</v>
      </c>
      <c r="C584" s="35" t="s">
        <v>42</v>
      </c>
      <c r="D584" s="35" t="s">
        <v>43</v>
      </c>
      <c r="E584" s="35" t="s">
        <v>32</v>
      </c>
      <c r="F584" s="35">
        <v>20</v>
      </c>
      <c r="G584" s="35">
        <v>2245</v>
      </c>
      <c r="H584" s="35">
        <v>44900</v>
      </c>
      <c r="I584" s="35">
        <v>29920.85</v>
      </c>
      <c r="J584" s="35">
        <v>14979.15</v>
      </c>
      <c r="K584" s="37">
        <v>45457</v>
      </c>
      <c r="L584" s="37">
        <v>45462</v>
      </c>
      <c r="M584" s="35" t="s">
        <v>69</v>
      </c>
      <c r="N584" s="35">
        <v>3</v>
      </c>
      <c r="O584" s="35" t="s">
        <v>348</v>
      </c>
      <c r="P584" s="35">
        <v>9.6999999999999993</v>
      </c>
    </row>
    <row r="585" spans="1:16" ht="15.75" customHeight="1" x14ac:dyDescent="0.3">
      <c r="A585" s="35" t="s">
        <v>1438</v>
      </c>
      <c r="B585" s="35" t="s">
        <v>1439</v>
      </c>
      <c r="C585" s="35" t="s">
        <v>195</v>
      </c>
      <c r="D585" s="35" t="s">
        <v>43</v>
      </c>
      <c r="E585" s="35" t="s">
        <v>32</v>
      </c>
      <c r="F585" s="35">
        <v>17</v>
      </c>
      <c r="G585" s="35">
        <v>3431.68</v>
      </c>
      <c r="H585" s="35">
        <v>58338.559999999998</v>
      </c>
      <c r="I585" s="35">
        <v>40195.760000000002</v>
      </c>
      <c r="J585" s="35">
        <v>18142.8</v>
      </c>
      <c r="K585" s="37">
        <v>45672</v>
      </c>
      <c r="L585" s="37">
        <v>45682</v>
      </c>
      <c r="M585" s="35" t="s">
        <v>123</v>
      </c>
      <c r="N585" s="35">
        <v>4</v>
      </c>
      <c r="O585" s="35" t="s">
        <v>59</v>
      </c>
      <c r="P585" s="35">
        <v>8.9</v>
      </c>
    </row>
    <row r="586" spans="1:16" ht="15.75" customHeight="1" x14ac:dyDescent="0.3">
      <c r="A586" s="35" t="s">
        <v>1440</v>
      </c>
      <c r="B586" s="35" t="s">
        <v>1441</v>
      </c>
      <c r="C586" s="35" t="s">
        <v>72</v>
      </c>
      <c r="D586" s="35" t="s">
        <v>31</v>
      </c>
      <c r="E586" s="35" t="s">
        <v>32</v>
      </c>
      <c r="F586" s="35">
        <v>5</v>
      </c>
      <c r="G586" s="35">
        <v>1433.74</v>
      </c>
      <c r="H586" s="35">
        <v>7168.7</v>
      </c>
      <c r="I586" s="35">
        <v>4275.24</v>
      </c>
      <c r="J586" s="35">
        <v>2893.46</v>
      </c>
      <c r="K586" s="37">
        <v>45864</v>
      </c>
      <c r="L586" s="37">
        <v>45872</v>
      </c>
      <c r="M586" s="35" t="s">
        <v>38</v>
      </c>
      <c r="N586" s="35">
        <v>4</v>
      </c>
      <c r="O586" s="35" t="s">
        <v>470</v>
      </c>
      <c r="P586" s="35">
        <v>9.1</v>
      </c>
    </row>
    <row r="587" spans="1:16" ht="15.75" customHeight="1" x14ac:dyDescent="0.3">
      <c r="A587" s="35" t="s">
        <v>1442</v>
      </c>
      <c r="B587" s="35" t="s">
        <v>1443</v>
      </c>
      <c r="C587" s="35" t="s">
        <v>57</v>
      </c>
      <c r="D587" s="35" t="s">
        <v>19</v>
      </c>
      <c r="E587" s="35" t="s">
        <v>44</v>
      </c>
      <c r="F587" s="35">
        <v>12</v>
      </c>
      <c r="G587" s="35">
        <v>1831.45</v>
      </c>
      <c r="H587" s="35">
        <v>21977.4</v>
      </c>
      <c r="I587" s="35">
        <v>16061.5</v>
      </c>
      <c r="J587" s="35">
        <v>5915.9</v>
      </c>
      <c r="K587" s="37">
        <v>46037</v>
      </c>
      <c r="L587" s="37">
        <v>46044</v>
      </c>
      <c r="M587" s="35" t="s">
        <v>50</v>
      </c>
      <c r="N587" s="35">
        <v>2</v>
      </c>
      <c r="O587" s="35" t="s">
        <v>82</v>
      </c>
      <c r="P587" s="35">
        <v>6.2</v>
      </c>
    </row>
    <row r="588" spans="1:16" ht="15.75" customHeight="1" x14ac:dyDescent="0.3">
      <c r="A588" s="35" t="s">
        <v>1444</v>
      </c>
      <c r="B588" s="35" t="s">
        <v>1445</v>
      </c>
      <c r="C588" s="35" t="s">
        <v>37</v>
      </c>
      <c r="D588" s="35" t="s">
        <v>19</v>
      </c>
      <c r="E588" s="35" t="s">
        <v>32</v>
      </c>
      <c r="F588" s="35">
        <v>16</v>
      </c>
      <c r="G588" s="35">
        <v>4008.86</v>
      </c>
      <c r="H588" s="35">
        <v>64141.760000000002</v>
      </c>
      <c r="I588" s="35">
        <v>39343.160000000003</v>
      </c>
      <c r="J588" s="35">
        <v>24798.6</v>
      </c>
      <c r="K588" s="37">
        <v>45518</v>
      </c>
      <c r="L588" s="37">
        <v>45528</v>
      </c>
      <c r="M588" s="35" t="s">
        <v>58</v>
      </c>
      <c r="N588" s="35">
        <v>4</v>
      </c>
      <c r="O588" s="35" t="s">
        <v>85</v>
      </c>
      <c r="P588" s="35">
        <v>9.4</v>
      </c>
    </row>
    <row r="589" spans="1:16" ht="15.75" customHeight="1" x14ac:dyDescent="0.3">
      <c r="A589" s="35" t="s">
        <v>1446</v>
      </c>
      <c r="B589" s="35" t="s">
        <v>1447</v>
      </c>
      <c r="C589" s="35" t="s">
        <v>30</v>
      </c>
      <c r="D589" s="35" t="s">
        <v>31</v>
      </c>
      <c r="E589" s="35" t="s">
        <v>32</v>
      </c>
      <c r="F589" s="35">
        <v>5</v>
      </c>
      <c r="G589" s="35">
        <v>1471.12</v>
      </c>
      <c r="H589" s="35">
        <v>7355.6</v>
      </c>
      <c r="I589" s="35">
        <v>6415.68</v>
      </c>
      <c r="J589" s="35">
        <v>939.92</v>
      </c>
      <c r="K589" s="37">
        <v>45683</v>
      </c>
      <c r="L589" s="37">
        <v>45689</v>
      </c>
      <c r="M589" s="35" t="s">
        <v>26</v>
      </c>
      <c r="N589" s="35">
        <v>3</v>
      </c>
      <c r="O589" s="35" t="s">
        <v>475</v>
      </c>
      <c r="P589" s="35">
        <v>8.5</v>
      </c>
    </row>
    <row r="590" spans="1:16" ht="15.75" customHeight="1" x14ac:dyDescent="0.3">
      <c r="A590" s="35" t="s">
        <v>1448</v>
      </c>
      <c r="B590" s="35" t="s">
        <v>1449</v>
      </c>
      <c r="C590" s="35" t="s">
        <v>168</v>
      </c>
      <c r="D590" s="35" t="s">
        <v>43</v>
      </c>
      <c r="E590" s="35" t="s">
        <v>20</v>
      </c>
      <c r="F590" s="35">
        <v>20</v>
      </c>
      <c r="G590" s="35">
        <v>1253.5</v>
      </c>
      <c r="H590" s="35">
        <v>25070</v>
      </c>
      <c r="I590" s="35">
        <v>13979.68</v>
      </c>
      <c r="J590" s="35">
        <v>11090.32</v>
      </c>
      <c r="K590" s="37">
        <v>45755</v>
      </c>
      <c r="L590" s="37">
        <v>45765</v>
      </c>
      <c r="M590" s="35" t="s">
        <v>33</v>
      </c>
      <c r="N590" s="35">
        <v>2</v>
      </c>
      <c r="O590" s="35" t="s">
        <v>169</v>
      </c>
      <c r="P590" s="35">
        <v>6.7</v>
      </c>
    </row>
    <row r="591" spans="1:16" ht="15.75" customHeight="1" x14ac:dyDescent="0.3">
      <c r="A591" s="35" t="s">
        <v>1450</v>
      </c>
      <c r="B591" s="35" t="s">
        <v>1451</v>
      </c>
      <c r="C591" s="35" t="s">
        <v>144</v>
      </c>
      <c r="D591" s="35" t="s">
        <v>19</v>
      </c>
      <c r="E591" s="35" t="s">
        <v>25</v>
      </c>
      <c r="F591" s="35">
        <v>10</v>
      </c>
      <c r="G591" s="35">
        <v>3309.72</v>
      </c>
      <c r="H591" s="35">
        <v>33097.199999999997</v>
      </c>
      <c r="I591" s="35">
        <v>18179.419999999998</v>
      </c>
      <c r="J591" s="35">
        <v>14917.78</v>
      </c>
      <c r="K591" s="37">
        <v>46014</v>
      </c>
      <c r="L591" s="37">
        <v>46022</v>
      </c>
      <c r="M591" s="35" t="s">
        <v>45</v>
      </c>
      <c r="N591" s="35">
        <v>4</v>
      </c>
      <c r="O591" s="35" t="s">
        <v>117</v>
      </c>
      <c r="P591" s="35">
        <v>6.8</v>
      </c>
    </row>
    <row r="592" spans="1:16" ht="15.75" customHeight="1" x14ac:dyDescent="0.3">
      <c r="A592" s="35" t="s">
        <v>1452</v>
      </c>
      <c r="B592" s="35" t="s">
        <v>1453</v>
      </c>
      <c r="C592" s="35" t="s">
        <v>139</v>
      </c>
      <c r="D592" s="35" t="s">
        <v>31</v>
      </c>
      <c r="E592" s="35" t="s">
        <v>25</v>
      </c>
      <c r="F592" s="35">
        <v>5</v>
      </c>
      <c r="G592" s="35">
        <v>2602.8000000000002</v>
      </c>
      <c r="H592" s="35">
        <v>13014</v>
      </c>
      <c r="I592" s="35">
        <v>7209.23</v>
      </c>
      <c r="J592" s="35">
        <v>5804.77</v>
      </c>
      <c r="K592" s="37">
        <v>46109</v>
      </c>
      <c r="L592" s="37">
        <v>46110</v>
      </c>
      <c r="M592" s="35" t="s">
        <v>123</v>
      </c>
      <c r="N592" s="35">
        <v>3</v>
      </c>
      <c r="O592" s="35" t="s">
        <v>591</v>
      </c>
      <c r="P592" s="35">
        <v>6.7</v>
      </c>
    </row>
    <row r="593" spans="1:16" ht="15.75" customHeight="1" x14ac:dyDescent="0.3">
      <c r="A593" s="35" t="s">
        <v>1454</v>
      </c>
      <c r="B593" s="35" t="s">
        <v>1455</v>
      </c>
      <c r="C593" s="35" t="s">
        <v>42</v>
      </c>
      <c r="D593" s="35" t="s">
        <v>43</v>
      </c>
      <c r="E593" s="35" t="s">
        <v>32</v>
      </c>
      <c r="F593" s="35">
        <v>2</v>
      </c>
      <c r="G593" s="35">
        <v>4508.13</v>
      </c>
      <c r="H593" s="35">
        <v>9016.26</v>
      </c>
      <c r="I593" s="35">
        <v>7848.06</v>
      </c>
      <c r="J593" s="35">
        <v>1168.2</v>
      </c>
      <c r="K593" s="37">
        <v>45470</v>
      </c>
      <c r="L593" s="37">
        <v>45478</v>
      </c>
      <c r="M593" s="35" t="s">
        <v>58</v>
      </c>
      <c r="N593" s="35">
        <v>5</v>
      </c>
      <c r="O593" s="35" t="s">
        <v>172</v>
      </c>
      <c r="P593" s="35">
        <v>8.9</v>
      </c>
    </row>
    <row r="594" spans="1:16" ht="15.75" customHeight="1" x14ac:dyDescent="0.3">
      <c r="A594" s="35" t="s">
        <v>1456</v>
      </c>
      <c r="B594" s="35" t="s">
        <v>1457</v>
      </c>
      <c r="C594" s="35" t="s">
        <v>219</v>
      </c>
      <c r="D594" s="35" t="s">
        <v>43</v>
      </c>
      <c r="E594" s="35" t="s">
        <v>25</v>
      </c>
      <c r="F594" s="35">
        <v>15</v>
      </c>
      <c r="G594" s="35">
        <v>2576.59</v>
      </c>
      <c r="H594" s="35">
        <v>38648.85</v>
      </c>
      <c r="I594" s="35">
        <v>34325.879999999997</v>
      </c>
      <c r="J594" s="35">
        <v>4322.97</v>
      </c>
      <c r="K594" s="37">
        <v>45715</v>
      </c>
      <c r="L594" s="37">
        <v>45716</v>
      </c>
      <c r="M594" s="35" t="s">
        <v>21</v>
      </c>
      <c r="N594" s="35">
        <v>2</v>
      </c>
      <c r="O594" s="35" t="s">
        <v>591</v>
      </c>
      <c r="P594" s="35">
        <v>7.5</v>
      </c>
    </row>
    <row r="595" spans="1:16" ht="15.75" customHeight="1" x14ac:dyDescent="0.3">
      <c r="A595" s="35" t="s">
        <v>1458</v>
      </c>
      <c r="B595" s="35" t="s">
        <v>1459</v>
      </c>
      <c r="C595" s="35" t="s">
        <v>42</v>
      </c>
      <c r="D595" s="35" t="s">
        <v>43</v>
      </c>
      <c r="E595" s="35" t="s">
        <v>32</v>
      </c>
      <c r="F595" s="35">
        <v>6</v>
      </c>
      <c r="G595" s="35">
        <v>4528.32</v>
      </c>
      <c r="H595" s="35">
        <v>27169.919999999998</v>
      </c>
      <c r="I595" s="35">
        <v>22643.23</v>
      </c>
      <c r="J595" s="35">
        <v>4526.6899999999996</v>
      </c>
      <c r="K595" s="37">
        <v>45789</v>
      </c>
      <c r="L595" s="37">
        <v>45792</v>
      </c>
      <c r="M595" s="35" t="s">
        <v>50</v>
      </c>
      <c r="N595" s="35">
        <v>1</v>
      </c>
      <c r="O595" s="35" t="s">
        <v>1218</v>
      </c>
      <c r="P595" s="35">
        <v>6.9</v>
      </c>
    </row>
    <row r="596" spans="1:16" ht="15.75" customHeight="1" x14ac:dyDescent="0.3">
      <c r="A596" s="35" t="s">
        <v>1460</v>
      </c>
      <c r="B596" s="35" t="s">
        <v>1461</v>
      </c>
      <c r="C596" s="35" t="s">
        <v>49</v>
      </c>
      <c r="D596" s="35" t="s">
        <v>43</v>
      </c>
      <c r="E596" s="35" t="s">
        <v>25</v>
      </c>
      <c r="F596" s="35">
        <v>6</v>
      </c>
      <c r="G596" s="35">
        <v>597.67999999999995</v>
      </c>
      <c r="H596" s="35">
        <v>3586.08</v>
      </c>
      <c r="I596" s="35">
        <v>2667.14</v>
      </c>
      <c r="J596" s="35">
        <v>918.94</v>
      </c>
      <c r="K596" s="37">
        <v>45805</v>
      </c>
      <c r="L596" s="37">
        <v>45808</v>
      </c>
      <c r="M596" s="35" t="s">
        <v>123</v>
      </c>
      <c r="N596" s="35">
        <v>1</v>
      </c>
      <c r="O596" s="35" t="s">
        <v>754</v>
      </c>
      <c r="P596" s="35">
        <v>6.7</v>
      </c>
    </row>
    <row r="597" spans="1:16" ht="15.75" customHeight="1" x14ac:dyDescent="0.3">
      <c r="A597" s="35" t="s">
        <v>1462</v>
      </c>
      <c r="B597" s="35" t="s">
        <v>1463</v>
      </c>
      <c r="C597" s="35" t="s">
        <v>18</v>
      </c>
      <c r="D597" s="35" t="s">
        <v>19</v>
      </c>
      <c r="E597" s="35" t="s">
        <v>32</v>
      </c>
      <c r="F597" s="35">
        <v>10</v>
      </c>
      <c r="G597" s="35">
        <v>3789.97</v>
      </c>
      <c r="H597" s="35">
        <v>37899.699999999997</v>
      </c>
      <c r="I597" s="35">
        <v>30796.51</v>
      </c>
      <c r="J597" s="35">
        <v>7103.19</v>
      </c>
      <c r="K597" s="37">
        <v>45982</v>
      </c>
      <c r="L597" s="37">
        <v>45983</v>
      </c>
      <c r="M597" s="35" t="s">
        <v>181</v>
      </c>
      <c r="N597" s="35">
        <v>4</v>
      </c>
      <c r="O597" s="35" t="s">
        <v>1086</v>
      </c>
      <c r="P597" s="35">
        <v>9.1</v>
      </c>
    </row>
    <row r="598" spans="1:16" ht="15.75" customHeight="1" x14ac:dyDescent="0.3">
      <c r="A598" s="35" t="s">
        <v>1464</v>
      </c>
      <c r="B598" s="35" t="s">
        <v>1465</v>
      </c>
      <c r="C598" s="35" t="s">
        <v>195</v>
      </c>
      <c r="D598" s="35" t="s">
        <v>43</v>
      </c>
      <c r="E598" s="35" t="s">
        <v>32</v>
      </c>
      <c r="F598" s="35">
        <v>10</v>
      </c>
      <c r="G598" s="35">
        <v>4445.45</v>
      </c>
      <c r="H598" s="35">
        <v>44454.5</v>
      </c>
      <c r="I598" s="35">
        <v>23942.9</v>
      </c>
      <c r="J598" s="35">
        <v>20511.599999999999</v>
      </c>
      <c r="K598" s="37">
        <v>45800</v>
      </c>
      <c r="L598" s="37">
        <v>45803</v>
      </c>
      <c r="M598" s="35" t="s">
        <v>26</v>
      </c>
      <c r="N598" s="35">
        <v>3</v>
      </c>
      <c r="O598" s="35" t="s">
        <v>1251</v>
      </c>
      <c r="P598" s="35">
        <v>6.8</v>
      </c>
    </row>
    <row r="599" spans="1:16" ht="15.75" customHeight="1" x14ac:dyDescent="0.3">
      <c r="A599" s="35" t="s">
        <v>1466</v>
      </c>
      <c r="B599" s="35" t="s">
        <v>1467</v>
      </c>
      <c r="C599" s="35" t="s">
        <v>195</v>
      </c>
      <c r="D599" s="35" t="s">
        <v>43</v>
      </c>
      <c r="E599" s="35" t="s">
        <v>20</v>
      </c>
      <c r="F599" s="35">
        <v>9</v>
      </c>
      <c r="G599" s="35">
        <v>1151.3900000000001</v>
      </c>
      <c r="H599" s="35">
        <v>10362.51</v>
      </c>
      <c r="I599" s="35">
        <v>9116.76</v>
      </c>
      <c r="J599" s="35">
        <v>1245.75</v>
      </c>
      <c r="K599" s="37">
        <v>46102</v>
      </c>
      <c r="L599" s="37">
        <v>46105</v>
      </c>
      <c r="M599" s="35" t="s">
        <v>58</v>
      </c>
      <c r="N599" s="35">
        <v>2</v>
      </c>
      <c r="O599" s="35" t="s">
        <v>46</v>
      </c>
      <c r="P599" s="35">
        <v>9.5</v>
      </c>
    </row>
    <row r="600" spans="1:16" ht="15.75" customHeight="1" x14ac:dyDescent="0.3">
      <c r="A600" s="35" t="s">
        <v>1468</v>
      </c>
      <c r="B600" s="35" t="s">
        <v>1469</v>
      </c>
      <c r="C600" s="35" t="s">
        <v>62</v>
      </c>
      <c r="D600" s="35" t="s">
        <v>31</v>
      </c>
      <c r="E600" s="35" t="s">
        <v>32</v>
      </c>
      <c r="F600" s="35">
        <v>20</v>
      </c>
      <c r="G600" s="35">
        <v>2680.09</v>
      </c>
      <c r="H600" s="35">
        <v>53601.8</v>
      </c>
      <c r="I600" s="35">
        <v>44770.89</v>
      </c>
      <c r="J600" s="35">
        <v>8830.91</v>
      </c>
      <c r="K600" s="37">
        <v>46029</v>
      </c>
      <c r="L600" s="37">
        <v>46037</v>
      </c>
      <c r="M600" s="35" t="s">
        <v>38</v>
      </c>
      <c r="N600" s="35">
        <v>3</v>
      </c>
      <c r="O600" s="35" t="s">
        <v>370</v>
      </c>
      <c r="P600" s="35">
        <v>7.4</v>
      </c>
    </row>
    <row r="601" spans="1:16" ht="15.75" customHeight="1" x14ac:dyDescent="0.3">
      <c r="A601" s="35" t="s">
        <v>1470</v>
      </c>
      <c r="B601" s="35" t="s">
        <v>1471</v>
      </c>
      <c r="C601" s="35" t="s">
        <v>62</v>
      </c>
      <c r="D601" s="35" t="s">
        <v>31</v>
      </c>
      <c r="E601" s="35" t="s">
        <v>20</v>
      </c>
      <c r="F601" s="35">
        <v>5</v>
      </c>
      <c r="G601" s="35">
        <v>4801.08</v>
      </c>
      <c r="H601" s="35">
        <v>24005.4</v>
      </c>
      <c r="I601" s="35">
        <v>12240.9</v>
      </c>
      <c r="J601" s="35">
        <v>11764.5</v>
      </c>
      <c r="K601" s="37">
        <v>45737</v>
      </c>
      <c r="L601" s="37">
        <v>45743</v>
      </c>
      <c r="M601" s="35" t="s">
        <v>50</v>
      </c>
      <c r="N601" s="35">
        <v>4</v>
      </c>
      <c r="O601" s="35" t="s">
        <v>1370</v>
      </c>
      <c r="P601" s="35">
        <v>8.9</v>
      </c>
    </row>
    <row r="602" spans="1:16" ht="15.75" customHeight="1" x14ac:dyDescent="0.3">
      <c r="A602" s="35" t="s">
        <v>1472</v>
      </c>
      <c r="B602" s="35" t="s">
        <v>1473</v>
      </c>
      <c r="C602" s="35" t="s">
        <v>37</v>
      </c>
      <c r="D602" s="35" t="s">
        <v>19</v>
      </c>
      <c r="E602" s="35" t="s">
        <v>44</v>
      </c>
      <c r="F602" s="35">
        <v>20</v>
      </c>
      <c r="G602" s="35">
        <v>4012.44</v>
      </c>
      <c r="H602" s="35">
        <v>80248.800000000003</v>
      </c>
      <c r="I602" s="35">
        <v>58135</v>
      </c>
      <c r="J602" s="35">
        <v>22113.8</v>
      </c>
      <c r="K602" s="37">
        <v>45870</v>
      </c>
      <c r="L602" s="37">
        <v>45871</v>
      </c>
      <c r="M602" s="35" t="s">
        <v>181</v>
      </c>
      <c r="N602" s="35">
        <v>5</v>
      </c>
      <c r="O602" s="35" t="s">
        <v>235</v>
      </c>
      <c r="P602" s="35">
        <v>8.4</v>
      </c>
    </row>
    <row r="603" spans="1:16" ht="15.75" customHeight="1" x14ac:dyDescent="0.3">
      <c r="A603" s="35" t="s">
        <v>1474</v>
      </c>
      <c r="B603" s="35" t="s">
        <v>1475</v>
      </c>
      <c r="C603" s="35" t="s">
        <v>42</v>
      </c>
      <c r="D603" s="35" t="s">
        <v>43</v>
      </c>
      <c r="E603" s="35" t="s">
        <v>32</v>
      </c>
      <c r="F603" s="35">
        <v>3</v>
      </c>
      <c r="G603" s="35">
        <v>807.31</v>
      </c>
      <c r="H603" s="35">
        <v>2421.9299999999998</v>
      </c>
      <c r="I603" s="35">
        <v>1779.43</v>
      </c>
      <c r="J603" s="35">
        <v>642.5</v>
      </c>
      <c r="K603" s="37">
        <v>45458</v>
      </c>
      <c r="L603" s="37">
        <v>45466</v>
      </c>
      <c r="M603" s="35" t="s">
        <v>69</v>
      </c>
      <c r="N603" s="35">
        <v>2</v>
      </c>
      <c r="O603" s="35" t="s">
        <v>111</v>
      </c>
      <c r="P603" s="35">
        <v>6</v>
      </c>
    </row>
    <row r="604" spans="1:16" ht="15.75" customHeight="1" x14ac:dyDescent="0.3">
      <c r="A604" s="35" t="s">
        <v>1476</v>
      </c>
      <c r="B604" s="35" t="s">
        <v>1477</v>
      </c>
      <c r="C604" s="35" t="s">
        <v>139</v>
      </c>
      <c r="D604" s="35" t="s">
        <v>31</v>
      </c>
      <c r="E604" s="35" t="s">
        <v>20</v>
      </c>
      <c r="F604" s="35">
        <v>13</v>
      </c>
      <c r="G604" s="35">
        <v>2919.09</v>
      </c>
      <c r="H604" s="35">
        <v>37948.17</v>
      </c>
      <c r="I604" s="35">
        <v>19245.88</v>
      </c>
      <c r="J604" s="35">
        <v>18702.29</v>
      </c>
      <c r="K604" s="37">
        <v>45805</v>
      </c>
      <c r="L604" s="37">
        <v>45807</v>
      </c>
      <c r="M604" s="35" t="s">
        <v>69</v>
      </c>
      <c r="N604" s="35">
        <v>4</v>
      </c>
      <c r="O604" s="35" t="s">
        <v>509</v>
      </c>
      <c r="P604" s="35">
        <v>9.6999999999999993</v>
      </c>
    </row>
    <row r="605" spans="1:16" ht="15.75" customHeight="1" x14ac:dyDescent="0.3">
      <c r="A605" s="35" t="s">
        <v>1478</v>
      </c>
      <c r="B605" s="35" t="s">
        <v>1479</v>
      </c>
      <c r="C605" s="35" t="s">
        <v>30</v>
      </c>
      <c r="D605" s="35" t="s">
        <v>31</v>
      </c>
      <c r="E605" s="35" t="s">
        <v>44</v>
      </c>
      <c r="F605" s="35">
        <v>14</v>
      </c>
      <c r="G605" s="35">
        <v>1489.61</v>
      </c>
      <c r="H605" s="35">
        <v>20854.54</v>
      </c>
      <c r="I605" s="35">
        <v>12799.75</v>
      </c>
      <c r="J605" s="35">
        <v>8054.79</v>
      </c>
      <c r="K605" s="37">
        <v>45845</v>
      </c>
      <c r="L605" s="37">
        <v>45855</v>
      </c>
      <c r="M605" s="35" t="s">
        <v>58</v>
      </c>
      <c r="N605" s="35">
        <v>4</v>
      </c>
      <c r="O605" s="35" t="s">
        <v>496</v>
      </c>
      <c r="P605" s="35">
        <v>8.9</v>
      </c>
    </row>
    <row r="606" spans="1:16" ht="15.75" customHeight="1" x14ac:dyDescent="0.3">
      <c r="A606" s="35" t="s">
        <v>1480</v>
      </c>
      <c r="B606" s="35" t="s">
        <v>1481</v>
      </c>
      <c r="C606" s="35" t="s">
        <v>49</v>
      </c>
      <c r="D606" s="35" t="s">
        <v>43</v>
      </c>
      <c r="E606" s="35" t="s">
        <v>32</v>
      </c>
      <c r="F606" s="35">
        <v>6</v>
      </c>
      <c r="G606" s="35">
        <v>334.78</v>
      </c>
      <c r="H606" s="35">
        <v>2008.68</v>
      </c>
      <c r="I606" s="35">
        <v>1527.21</v>
      </c>
      <c r="J606" s="35">
        <v>481.47</v>
      </c>
      <c r="K606" s="37">
        <v>45699</v>
      </c>
      <c r="L606" s="37">
        <v>45704</v>
      </c>
      <c r="M606" s="35" t="s">
        <v>50</v>
      </c>
      <c r="N606" s="35">
        <v>4</v>
      </c>
      <c r="O606" s="35" t="s">
        <v>486</v>
      </c>
      <c r="P606" s="35">
        <v>8.1999999999999993</v>
      </c>
    </row>
    <row r="607" spans="1:16" ht="15.75" customHeight="1" x14ac:dyDescent="0.3">
      <c r="A607" s="35" t="s">
        <v>1482</v>
      </c>
      <c r="B607" s="35" t="s">
        <v>1483</v>
      </c>
      <c r="C607" s="35" t="s">
        <v>62</v>
      </c>
      <c r="D607" s="35" t="s">
        <v>31</v>
      </c>
      <c r="E607" s="35" t="s">
        <v>44</v>
      </c>
      <c r="F607" s="35">
        <v>15</v>
      </c>
      <c r="G607" s="35">
        <v>2500.42</v>
      </c>
      <c r="H607" s="35">
        <v>37506.300000000003</v>
      </c>
      <c r="I607" s="35">
        <v>26231.14</v>
      </c>
      <c r="J607" s="35">
        <v>11275.16</v>
      </c>
      <c r="K607" s="37">
        <v>46121</v>
      </c>
      <c r="L607" s="37">
        <v>46128</v>
      </c>
      <c r="M607" s="35" t="s">
        <v>181</v>
      </c>
      <c r="N607" s="35">
        <v>3</v>
      </c>
      <c r="O607" s="35" t="s">
        <v>1218</v>
      </c>
      <c r="P607" s="35">
        <v>9</v>
      </c>
    </row>
    <row r="608" spans="1:16" ht="15.75" customHeight="1" x14ac:dyDescent="0.3">
      <c r="A608" s="35" t="s">
        <v>1484</v>
      </c>
      <c r="B608" s="35" t="s">
        <v>1485</v>
      </c>
      <c r="C608" s="35" t="s">
        <v>42</v>
      </c>
      <c r="D608" s="35" t="s">
        <v>43</v>
      </c>
      <c r="E608" s="35" t="s">
        <v>25</v>
      </c>
      <c r="F608" s="35">
        <v>4</v>
      </c>
      <c r="G608" s="35">
        <v>382.44</v>
      </c>
      <c r="H608" s="35">
        <v>1529.76</v>
      </c>
      <c r="I608" s="35">
        <v>1344.54</v>
      </c>
      <c r="J608" s="35">
        <v>185.22</v>
      </c>
      <c r="K608" s="37">
        <v>45539</v>
      </c>
      <c r="L608" s="37">
        <v>45549</v>
      </c>
      <c r="M608" s="35" t="s">
        <v>123</v>
      </c>
      <c r="N608" s="35">
        <v>5</v>
      </c>
      <c r="O608" s="35" t="s">
        <v>480</v>
      </c>
      <c r="P608" s="35">
        <v>7.2</v>
      </c>
    </row>
    <row r="609" spans="1:16" ht="15.75" customHeight="1" x14ac:dyDescent="0.3">
      <c r="A609" s="35" t="s">
        <v>1486</v>
      </c>
      <c r="B609" s="35" t="s">
        <v>1487</v>
      </c>
      <c r="C609" s="35" t="s">
        <v>95</v>
      </c>
      <c r="D609" s="35" t="s">
        <v>19</v>
      </c>
      <c r="E609" s="35" t="s">
        <v>44</v>
      </c>
      <c r="F609" s="35">
        <v>3</v>
      </c>
      <c r="G609" s="35">
        <v>849.2</v>
      </c>
      <c r="H609" s="35">
        <v>2547.6</v>
      </c>
      <c r="I609" s="35">
        <v>1800.36</v>
      </c>
      <c r="J609" s="35">
        <v>747.24</v>
      </c>
      <c r="K609" s="37">
        <v>45474</v>
      </c>
      <c r="L609" s="37">
        <v>45480</v>
      </c>
      <c r="M609" s="35" t="s">
        <v>26</v>
      </c>
      <c r="N609" s="35">
        <v>2</v>
      </c>
      <c r="O609" s="35" t="s">
        <v>276</v>
      </c>
      <c r="P609" s="35">
        <v>7</v>
      </c>
    </row>
    <row r="610" spans="1:16" ht="15.75" customHeight="1" x14ac:dyDescent="0.3">
      <c r="A610" s="35" t="s">
        <v>1488</v>
      </c>
      <c r="B610" s="35" t="s">
        <v>1489</v>
      </c>
      <c r="C610" s="35" t="s">
        <v>88</v>
      </c>
      <c r="D610" s="35" t="s">
        <v>31</v>
      </c>
      <c r="E610" s="35" t="s">
        <v>32</v>
      </c>
      <c r="F610" s="35">
        <v>20</v>
      </c>
      <c r="G610" s="35">
        <v>3329.85</v>
      </c>
      <c r="H610" s="35">
        <v>66597</v>
      </c>
      <c r="I610" s="35">
        <v>43795.49</v>
      </c>
      <c r="J610" s="35">
        <v>22801.51</v>
      </c>
      <c r="K610" s="37">
        <v>45661</v>
      </c>
      <c r="L610" s="37">
        <v>45665</v>
      </c>
      <c r="M610" s="35" t="s">
        <v>123</v>
      </c>
      <c r="N610" s="35">
        <v>1</v>
      </c>
      <c r="O610" s="35" t="s">
        <v>554</v>
      </c>
      <c r="P610" s="35">
        <v>9.3000000000000007</v>
      </c>
    </row>
    <row r="611" spans="1:16" ht="15.75" customHeight="1" x14ac:dyDescent="0.3">
      <c r="A611" s="35" t="s">
        <v>1490</v>
      </c>
      <c r="B611" s="35" t="s">
        <v>1491</v>
      </c>
      <c r="C611" s="35" t="s">
        <v>144</v>
      </c>
      <c r="D611" s="35" t="s">
        <v>19</v>
      </c>
      <c r="E611" s="35" t="s">
        <v>44</v>
      </c>
      <c r="F611" s="35">
        <v>1</v>
      </c>
      <c r="G611" s="35">
        <v>4969.12</v>
      </c>
      <c r="H611" s="35">
        <v>4969.12</v>
      </c>
      <c r="I611" s="35">
        <v>4406.17</v>
      </c>
      <c r="J611" s="35">
        <v>562.95000000000005</v>
      </c>
      <c r="K611" s="37">
        <v>45674</v>
      </c>
      <c r="L611" s="37">
        <v>45679</v>
      </c>
      <c r="M611" s="35" t="s">
        <v>33</v>
      </c>
      <c r="N611" s="35">
        <v>3</v>
      </c>
      <c r="O611" s="35" t="s">
        <v>1057</v>
      </c>
      <c r="P611" s="35">
        <v>6.4</v>
      </c>
    </row>
    <row r="612" spans="1:16" ht="15.75" customHeight="1" x14ac:dyDescent="0.3">
      <c r="A612" s="35" t="s">
        <v>1492</v>
      </c>
      <c r="B612" s="35" t="s">
        <v>1493</v>
      </c>
      <c r="C612" s="35" t="s">
        <v>18</v>
      </c>
      <c r="D612" s="35" t="s">
        <v>19</v>
      </c>
      <c r="E612" s="35" t="s">
        <v>25</v>
      </c>
      <c r="F612" s="35">
        <v>14</v>
      </c>
      <c r="G612" s="35">
        <v>420.18</v>
      </c>
      <c r="H612" s="35">
        <v>5882.52</v>
      </c>
      <c r="I612" s="35">
        <v>3533.7</v>
      </c>
      <c r="J612" s="35">
        <v>2348.8200000000002</v>
      </c>
      <c r="K612" s="37">
        <v>45804</v>
      </c>
      <c r="L612" s="37">
        <v>45813</v>
      </c>
      <c r="M612" s="35" t="s">
        <v>33</v>
      </c>
      <c r="N612" s="35">
        <v>5</v>
      </c>
      <c r="O612" s="35" t="s">
        <v>607</v>
      </c>
      <c r="P612" s="35">
        <v>7.7</v>
      </c>
    </row>
    <row r="613" spans="1:16" ht="15.75" customHeight="1" x14ac:dyDescent="0.3">
      <c r="A613" s="35" t="s">
        <v>1494</v>
      </c>
      <c r="B613" s="35" t="s">
        <v>1495</v>
      </c>
      <c r="C613" s="35" t="s">
        <v>219</v>
      </c>
      <c r="D613" s="35" t="s">
        <v>43</v>
      </c>
      <c r="E613" s="35" t="s">
        <v>32</v>
      </c>
      <c r="F613" s="35">
        <v>3</v>
      </c>
      <c r="G613" s="35">
        <v>3782.86</v>
      </c>
      <c r="H613" s="35">
        <v>11348.58</v>
      </c>
      <c r="I613" s="35">
        <v>6469.81</v>
      </c>
      <c r="J613" s="35">
        <v>4878.7700000000004</v>
      </c>
      <c r="K613" s="37">
        <v>45513</v>
      </c>
      <c r="L613" s="37">
        <v>45518</v>
      </c>
      <c r="M613" s="35" t="s">
        <v>58</v>
      </c>
      <c r="N613" s="35">
        <v>4</v>
      </c>
      <c r="O613" s="35" t="s">
        <v>375</v>
      </c>
      <c r="P613" s="35">
        <v>6.8</v>
      </c>
    </row>
    <row r="614" spans="1:16" ht="15.75" customHeight="1" x14ac:dyDescent="0.3">
      <c r="A614" s="35" t="s">
        <v>1496</v>
      </c>
      <c r="B614" s="35" t="s">
        <v>1497</v>
      </c>
      <c r="C614" s="35" t="s">
        <v>62</v>
      </c>
      <c r="D614" s="35" t="s">
        <v>31</v>
      </c>
      <c r="E614" s="35" t="s">
        <v>32</v>
      </c>
      <c r="F614" s="35">
        <v>7</v>
      </c>
      <c r="G614" s="35">
        <v>1937.29</v>
      </c>
      <c r="H614" s="35">
        <v>13561.03</v>
      </c>
      <c r="I614" s="35">
        <v>7686.5</v>
      </c>
      <c r="J614" s="35">
        <v>5874.53</v>
      </c>
      <c r="K614" s="37">
        <v>46046</v>
      </c>
      <c r="L614" s="37">
        <v>46055</v>
      </c>
      <c r="M614" s="35" t="s">
        <v>33</v>
      </c>
      <c r="N614" s="35">
        <v>5</v>
      </c>
      <c r="O614" s="35" t="s">
        <v>79</v>
      </c>
      <c r="P614" s="35">
        <v>7</v>
      </c>
    </row>
    <row r="615" spans="1:16" ht="15.75" customHeight="1" x14ac:dyDescent="0.3">
      <c r="A615" s="35" t="s">
        <v>1498</v>
      </c>
      <c r="B615" s="35" t="s">
        <v>1499</v>
      </c>
      <c r="C615" s="35" t="s">
        <v>37</v>
      </c>
      <c r="D615" s="35" t="s">
        <v>19</v>
      </c>
      <c r="E615" s="35" t="s">
        <v>20</v>
      </c>
      <c r="F615" s="35">
        <v>5</v>
      </c>
      <c r="G615" s="35">
        <v>1810.79</v>
      </c>
      <c r="H615" s="35">
        <v>9053.9500000000007</v>
      </c>
      <c r="I615" s="35">
        <v>7516.81</v>
      </c>
      <c r="J615" s="35">
        <v>1537.14</v>
      </c>
      <c r="K615" s="37">
        <v>45666</v>
      </c>
      <c r="L615" s="37">
        <v>45669</v>
      </c>
      <c r="M615" s="35" t="s">
        <v>123</v>
      </c>
      <c r="N615" s="35">
        <v>2</v>
      </c>
      <c r="O615" s="35" t="s">
        <v>362</v>
      </c>
      <c r="P615" s="35">
        <v>7.4</v>
      </c>
    </row>
    <row r="616" spans="1:16" ht="15.75" customHeight="1" x14ac:dyDescent="0.3">
      <c r="A616" s="35" t="s">
        <v>1500</v>
      </c>
      <c r="B616" s="35" t="s">
        <v>1501</v>
      </c>
      <c r="C616" s="35" t="s">
        <v>62</v>
      </c>
      <c r="D616" s="35" t="s">
        <v>31</v>
      </c>
      <c r="E616" s="35" t="s">
        <v>44</v>
      </c>
      <c r="F616" s="35">
        <v>14</v>
      </c>
      <c r="G616" s="35">
        <v>4850.0200000000004</v>
      </c>
      <c r="H616" s="35">
        <v>67900.28</v>
      </c>
      <c r="I616" s="35">
        <v>48500.02</v>
      </c>
      <c r="J616" s="35">
        <v>19400.259999999998</v>
      </c>
      <c r="K616" s="37">
        <v>45732</v>
      </c>
      <c r="L616" s="37">
        <v>45742</v>
      </c>
      <c r="M616" s="35" t="s">
        <v>69</v>
      </c>
      <c r="N616" s="35">
        <v>3</v>
      </c>
      <c r="O616" s="35" t="s">
        <v>645</v>
      </c>
      <c r="P616" s="35">
        <v>7.6</v>
      </c>
    </row>
    <row r="617" spans="1:16" ht="15.75" customHeight="1" x14ac:dyDescent="0.3">
      <c r="A617" s="35" t="s">
        <v>1502</v>
      </c>
      <c r="B617" s="35" t="s">
        <v>1503</v>
      </c>
      <c r="C617" s="35" t="s">
        <v>144</v>
      </c>
      <c r="D617" s="35" t="s">
        <v>19</v>
      </c>
      <c r="E617" s="35" t="s">
        <v>20</v>
      </c>
      <c r="F617" s="35">
        <v>14</v>
      </c>
      <c r="G617" s="35">
        <v>3944.45</v>
      </c>
      <c r="H617" s="35">
        <v>55222.3</v>
      </c>
      <c r="I617" s="35">
        <v>41837.78</v>
      </c>
      <c r="J617" s="35">
        <v>13384.52</v>
      </c>
      <c r="K617" s="37">
        <v>45926</v>
      </c>
      <c r="L617" s="37">
        <v>45927</v>
      </c>
      <c r="M617" s="35" t="s">
        <v>123</v>
      </c>
      <c r="N617" s="35">
        <v>2</v>
      </c>
      <c r="O617" s="35" t="s">
        <v>904</v>
      </c>
      <c r="P617" s="35">
        <v>6.4</v>
      </c>
    </row>
    <row r="618" spans="1:16" ht="15.75" customHeight="1" x14ac:dyDescent="0.3">
      <c r="A618" s="35" t="s">
        <v>1504</v>
      </c>
      <c r="B618" s="35" t="s">
        <v>1505</v>
      </c>
      <c r="C618" s="35" t="s">
        <v>195</v>
      </c>
      <c r="D618" s="35" t="s">
        <v>43</v>
      </c>
      <c r="E618" s="35" t="s">
        <v>32</v>
      </c>
      <c r="F618" s="35">
        <v>3</v>
      </c>
      <c r="G618" s="35">
        <v>2135.66</v>
      </c>
      <c r="H618" s="35">
        <v>6406.98</v>
      </c>
      <c r="I618" s="35">
        <v>4585.55</v>
      </c>
      <c r="J618" s="35">
        <v>1821.43</v>
      </c>
      <c r="K618" s="37">
        <v>45687</v>
      </c>
      <c r="L618" s="37">
        <v>45694</v>
      </c>
      <c r="M618" s="35" t="s">
        <v>58</v>
      </c>
      <c r="N618" s="35">
        <v>3</v>
      </c>
      <c r="O618" s="35" t="s">
        <v>888</v>
      </c>
      <c r="P618" s="35">
        <v>8.1999999999999993</v>
      </c>
    </row>
    <row r="619" spans="1:16" ht="15.75" customHeight="1" x14ac:dyDescent="0.3">
      <c r="A619" s="35" t="s">
        <v>1506</v>
      </c>
      <c r="B619" s="35" t="s">
        <v>1507</v>
      </c>
      <c r="C619" s="35" t="s">
        <v>30</v>
      </c>
      <c r="D619" s="35" t="s">
        <v>31</v>
      </c>
      <c r="E619" s="35" t="s">
        <v>44</v>
      </c>
      <c r="F619" s="35">
        <v>17</v>
      </c>
      <c r="G619" s="35">
        <v>4815.82</v>
      </c>
      <c r="H619" s="35">
        <v>81868.94</v>
      </c>
      <c r="I619" s="35">
        <v>50410.55</v>
      </c>
      <c r="J619" s="35">
        <v>31458.39</v>
      </c>
      <c r="K619" s="37">
        <v>46120</v>
      </c>
      <c r="L619" s="37">
        <v>46127</v>
      </c>
      <c r="M619" s="35" t="s">
        <v>50</v>
      </c>
      <c r="N619" s="35">
        <v>5</v>
      </c>
      <c r="O619" s="35" t="s">
        <v>1508</v>
      </c>
      <c r="P619" s="35">
        <v>7.8</v>
      </c>
    </row>
    <row r="620" spans="1:16" ht="15.75" customHeight="1" x14ac:dyDescent="0.3">
      <c r="A620" s="35" t="s">
        <v>1509</v>
      </c>
      <c r="B620" s="35" t="s">
        <v>1510</v>
      </c>
      <c r="C620" s="35" t="s">
        <v>168</v>
      </c>
      <c r="D620" s="35" t="s">
        <v>43</v>
      </c>
      <c r="E620" s="35" t="s">
        <v>32</v>
      </c>
      <c r="F620" s="35">
        <v>8</v>
      </c>
      <c r="G620" s="35">
        <v>4796.2299999999996</v>
      </c>
      <c r="H620" s="35">
        <v>38369.839999999997</v>
      </c>
      <c r="I620" s="35">
        <v>19306.43</v>
      </c>
      <c r="J620" s="35">
        <v>19063.41</v>
      </c>
      <c r="K620" s="37">
        <v>45586</v>
      </c>
      <c r="L620" s="37">
        <v>45587</v>
      </c>
      <c r="M620" s="35" t="s">
        <v>45</v>
      </c>
      <c r="N620" s="35">
        <v>3</v>
      </c>
      <c r="O620" s="35" t="s">
        <v>1060</v>
      </c>
      <c r="P620" s="35">
        <v>7.2</v>
      </c>
    </row>
    <row r="621" spans="1:16" ht="15.75" customHeight="1" x14ac:dyDescent="0.3">
      <c r="A621" s="35" t="s">
        <v>1511</v>
      </c>
      <c r="B621" s="35" t="s">
        <v>1512</v>
      </c>
      <c r="C621" s="35" t="s">
        <v>62</v>
      </c>
      <c r="D621" s="35" t="s">
        <v>31</v>
      </c>
      <c r="E621" s="35" t="s">
        <v>44</v>
      </c>
      <c r="F621" s="35">
        <v>10</v>
      </c>
      <c r="G621" s="35">
        <v>2259.09</v>
      </c>
      <c r="H621" s="35">
        <v>22590.9</v>
      </c>
      <c r="I621" s="35">
        <v>15201.62</v>
      </c>
      <c r="J621" s="35">
        <v>7389.28</v>
      </c>
      <c r="K621" s="37">
        <v>45788</v>
      </c>
      <c r="L621" s="37">
        <v>45794</v>
      </c>
      <c r="M621" s="35" t="s">
        <v>181</v>
      </c>
      <c r="N621" s="35">
        <v>3</v>
      </c>
      <c r="O621" s="35" t="s">
        <v>1251</v>
      </c>
      <c r="P621" s="35">
        <v>7.7</v>
      </c>
    </row>
    <row r="622" spans="1:16" ht="15.75" customHeight="1" x14ac:dyDescent="0.3">
      <c r="A622" s="35" t="s">
        <v>1513</v>
      </c>
      <c r="B622" s="35" t="s">
        <v>1514</v>
      </c>
      <c r="C622" s="35" t="s">
        <v>30</v>
      </c>
      <c r="D622" s="35" t="s">
        <v>31</v>
      </c>
      <c r="E622" s="35" t="s">
        <v>20</v>
      </c>
      <c r="F622" s="35">
        <v>6</v>
      </c>
      <c r="G622" s="35">
        <v>2849.3</v>
      </c>
      <c r="H622" s="35">
        <v>17095.8</v>
      </c>
      <c r="I622" s="35">
        <v>10906.64</v>
      </c>
      <c r="J622" s="35">
        <v>6189.16</v>
      </c>
      <c r="K622" s="37">
        <v>45491</v>
      </c>
      <c r="L622" s="37">
        <v>45500</v>
      </c>
      <c r="M622" s="35" t="s">
        <v>38</v>
      </c>
      <c r="N622" s="35">
        <v>2</v>
      </c>
      <c r="O622" s="35" t="s">
        <v>335</v>
      </c>
      <c r="P622" s="35">
        <v>7</v>
      </c>
    </row>
    <row r="623" spans="1:16" ht="15.75" customHeight="1" x14ac:dyDescent="0.3">
      <c r="A623" s="35" t="s">
        <v>1515</v>
      </c>
      <c r="B623" s="35" t="s">
        <v>1516</v>
      </c>
      <c r="C623" s="35" t="s">
        <v>30</v>
      </c>
      <c r="D623" s="35" t="s">
        <v>31</v>
      </c>
      <c r="E623" s="35" t="s">
        <v>25</v>
      </c>
      <c r="F623" s="35">
        <v>8</v>
      </c>
      <c r="G623" s="35">
        <v>3593.08</v>
      </c>
      <c r="H623" s="35">
        <v>28744.639999999999</v>
      </c>
      <c r="I623" s="35">
        <v>15596.65</v>
      </c>
      <c r="J623" s="35">
        <v>13147.99</v>
      </c>
      <c r="K623" s="37">
        <v>46060</v>
      </c>
      <c r="L623" s="37">
        <v>46065</v>
      </c>
      <c r="M623" s="35" t="s">
        <v>26</v>
      </c>
      <c r="N623" s="35">
        <v>4</v>
      </c>
      <c r="O623" s="35" t="s">
        <v>105</v>
      </c>
      <c r="P623" s="35">
        <v>8</v>
      </c>
    </row>
    <row r="624" spans="1:16" ht="15.75" customHeight="1" x14ac:dyDescent="0.3">
      <c r="A624" s="35" t="s">
        <v>1517</v>
      </c>
      <c r="B624" s="35" t="s">
        <v>1518</v>
      </c>
      <c r="C624" s="35" t="s">
        <v>18</v>
      </c>
      <c r="D624" s="35" t="s">
        <v>19</v>
      </c>
      <c r="E624" s="35" t="s">
        <v>44</v>
      </c>
      <c r="F624" s="35">
        <v>10</v>
      </c>
      <c r="G624" s="35">
        <v>4757.3599999999997</v>
      </c>
      <c r="H624" s="35">
        <v>47573.599999999999</v>
      </c>
      <c r="I624" s="35">
        <v>35907.19</v>
      </c>
      <c r="J624" s="35">
        <v>11666.41</v>
      </c>
      <c r="K624" s="37">
        <v>45720</v>
      </c>
      <c r="L624" s="37">
        <v>45728</v>
      </c>
      <c r="M624" s="35" t="s">
        <v>181</v>
      </c>
      <c r="N624" s="35">
        <v>3</v>
      </c>
      <c r="O624" s="35" t="s">
        <v>785</v>
      </c>
      <c r="P624" s="35">
        <v>9</v>
      </c>
    </row>
    <row r="625" spans="1:16" ht="15.75" customHeight="1" x14ac:dyDescent="0.3">
      <c r="A625" s="35" t="s">
        <v>1519</v>
      </c>
      <c r="B625" s="35" t="s">
        <v>1520</v>
      </c>
      <c r="C625" s="35" t="s">
        <v>95</v>
      </c>
      <c r="D625" s="35" t="s">
        <v>19</v>
      </c>
      <c r="E625" s="35" t="s">
        <v>20</v>
      </c>
      <c r="F625" s="35">
        <v>17</v>
      </c>
      <c r="G625" s="35">
        <v>2822.97</v>
      </c>
      <c r="H625" s="35">
        <v>47990.49</v>
      </c>
      <c r="I625" s="35">
        <v>41898.050000000003</v>
      </c>
      <c r="J625" s="35">
        <v>6092.44</v>
      </c>
      <c r="K625" s="37">
        <v>45569</v>
      </c>
      <c r="L625" s="37">
        <v>45571</v>
      </c>
      <c r="M625" s="35" t="s">
        <v>58</v>
      </c>
      <c r="N625" s="35">
        <v>4</v>
      </c>
      <c r="O625" s="35" t="s">
        <v>891</v>
      </c>
      <c r="P625" s="35">
        <v>6.5</v>
      </c>
    </row>
    <row r="626" spans="1:16" ht="15.75" customHeight="1" x14ac:dyDescent="0.3">
      <c r="A626" s="35" t="s">
        <v>1521</v>
      </c>
      <c r="B626" s="35" t="s">
        <v>1522</v>
      </c>
      <c r="C626" s="35" t="s">
        <v>72</v>
      </c>
      <c r="D626" s="35" t="s">
        <v>31</v>
      </c>
      <c r="E626" s="35" t="s">
        <v>32</v>
      </c>
      <c r="F626" s="35">
        <v>17</v>
      </c>
      <c r="G626" s="35">
        <v>1085.6400000000001</v>
      </c>
      <c r="H626" s="35">
        <v>18455.88</v>
      </c>
      <c r="I626" s="35">
        <v>11544.84</v>
      </c>
      <c r="J626" s="35">
        <v>6911.04</v>
      </c>
      <c r="K626" s="37">
        <v>45506</v>
      </c>
      <c r="L626" s="37">
        <v>45508</v>
      </c>
      <c r="M626" s="35" t="s">
        <v>45</v>
      </c>
      <c r="N626" s="35">
        <v>1</v>
      </c>
      <c r="O626" s="35" t="s">
        <v>120</v>
      </c>
      <c r="P626" s="35">
        <v>6.1</v>
      </c>
    </row>
    <row r="627" spans="1:16" ht="15.75" customHeight="1" x14ac:dyDescent="0.3">
      <c r="A627" s="35" t="s">
        <v>1523</v>
      </c>
      <c r="B627" s="35" t="s">
        <v>1524</v>
      </c>
      <c r="C627" s="35" t="s">
        <v>57</v>
      </c>
      <c r="D627" s="35" t="s">
        <v>19</v>
      </c>
      <c r="E627" s="35" t="s">
        <v>32</v>
      </c>
      <c r="F627" s="35">
        <v>1</v>
      </c>
      <c r="G627" s="35">
        <v>1690.5</v>
      </c>
      <c r="H627" s="35">
        <v>1690.5</v>
      </c>
      <c r="I627" s="35">
        <v>1268.75</v>
      </c>
      <c r="J627" s="35">
        <v>421.75</v>
      </c>
      <c r="K627" s="37">
        <v>45560</v>
      </c>
      <c r="L627" s="37">
        <v>45569</v>
      </c>
      <c r="M627" s="35" t="s">
        <v>45</v>
      </c>
      <c r="N627" s="35">
        <v>4</v>
      </c>
      <c r="O627" s="35" t="s">
        <v>1191</v>
      </c>
      <c r="P627" s="35">
        <v>6.7</v>
      </c>
    </row>
    <row r="628" spans="1:16" ht="15.75" customHeight="1" x14ac:dyDescent="0.3">
      <c r="A628" s="35" t="s">
        <v>1525</v>
      </c>
      <c r="B628" s="35" t="s">
        <v>390</v>
      </c>
      <c r="C628" s="35" t="s">
        <v>42</v>
      </c>
      <c r="D628" s="35" t="s">
        <v>43</v>
      </c>
      <c r="E628" s="35" t="s">
        <v>25</v>
      </c>
      <c r="F628" s="35">
        <v>17</v>
      </c>
      <c r="G628" s="35">
        <v>1426.42</v>
      </c>
      <c r="H628" s="35">
        <v>24249.14</v>
      </c>
      <c r="I628" s="35">
        <v>21056.98</v>
      </c>
      <c r="J628" s="35">
        <v>3192.16</v>
      </c>
      <c r="K628" s="37">
        <v>45922</v>
      </c>
      <c r="L628" s="37">
        <v>45924</v>
      </c>
      <c r="M628" s="35" t="s">
        <v>26</v>
      </c>
      <c r="N628" s="35">
        <v>4</v>
      </c>
      <c r="O628" s="35" t="s">
        <v>154</v>
      </c>
      <c r="P628" s="35">
        <v>6.5</v>
      </c>
    </row>
    <row r="629" spans="1:16" ht="15.75" customHeight="1" x14ac:dyDescent="0.3">
      <c r="A629" s="35" t="s">
        <v>1526</v>
      </c>
      <c r="B629" s="35" t="s">
        <v>1527</v>
      </c>
      <c r="C629" s="35" t="s">
        <v>139</v>
      </c>
      <c r="D629" s="35" t="s">
        <v>31</v>
      </c>
      <c r="E629" s="35" t="s">
        <v>20</v>
      </c>
      <c r="F629" s="35">
        <v>15</v>
      </c>
      <c r="G629" s="35">
        <v>4848.55</v>
      </c>
      <c r="H629" s="35">
        <v>72728.25</v>
      </c>
      <c r="I629" s="35">
        <v>59080.69</v>
      </c>
      <c r="J629" s="35">
        <v>13647.56</v>
      </c>
      <c r="K629" s="37">
        <v>45456</v>
      </c>
      <c r="L629" s="37">
        <v>45460</v>
      </c>
      <c r="M629" s="35" t="s">
        <v>181</v>
      </c>
      <c r="N629" s="35">
        <v>3</v>
      </c>
      <c r="O629" s="35" t="s">
        <v>429</v>
      </c>
      <c r="P629" s="35">
        <v>7.5</v>
      </c>
    </row>
    <row r="630" spans="1:16" ht="15.75" customHeight="1" x14ac:dyDescent="0.3">
      <c r="A630" s="35" t="s">
        <v>1528</v>
      </c>
      <c r="B630" s="35" t="s">
        <v>1529</v>
      </c>
      <c r="C630" s="35" t="s">
        <v>49</v>
      </c>
      <c r="D630" s="35" t="s">
        <v>43</v>
      </c>
      <c r="E630" s="35" t="s">
        <v>25</v>
      </c>
      <c r="F630" s="35">
        <v>5</v>
      </c>
      <c r="G630" s="35">
        <v>4197.21</v>
      </c>
      <c r="H630" s="35">
        <v>20986.05</v>
      </c>
      <c r="I630" s="35">
        <v>12468.72</v>
      </c>
      <c r="J630" s="35">
        <v>8517.33</v>
      </c>
      <c r="K630" s="37">
        <v>45790</v>
      </c>
      <c r="L630" s="37">
        <v>45797</v>
      </c>
      <c r="M630" s="35" t="s">
        <v>21</v>
      </c>
      <c r="N630" s="35">
        <v>2</v>
      </c>
      <c r="O630" s="35" t="s">
        <v>63</v>
      </c>
      <c r="P630" s="35">
        <v>7.9</v>
      </c>
    </row>
    <row r="631" spans="1:16" ht="15.75" customHeight="1" x14ac:dyDescent="0.3">
      <c r="A631" s="35" t="s">
        <v>1530</v>
      </c>
      <c r="B631" s="35" t="s">
        <v>1531</v>
      </c>
      <c r="C631" s="35" t="s">
        <v>18</v>
      </c>
      <c r="D631" s="35" t="s">
        <v>19</v>
      </c>
      <c r="E631" s="35" t="s">
        <v>32</v>
      </c>
      <c r="F631" s="35">
        <v>5</v>
      </c>
      <c r="G631" s="35">
        <v>2500.9</v>
      </c>
      <c r="H631" s="35">
        <v>12504.5</v>
      </c>
      <c r="I631" s="35">
        <v>10825.93</v>
      </c>
      <c r="J631" s="35">
        <v>1678.57</v>
      </c>
      <c r="K631" s="37">
        <v>45567</v>
      </c>
      <c r="L631" s="37">
        <v>45570</v>
      </c>
      <c r="M631" s="35" t="s">
        <v>38</v>
      </c>
      <c r="N631" s="35">
        <v>1</v>
      </c>
      <c r="O631" s="35" t="s">
        <v>300</v>
      </c>
      <c r="P631" s="35">
        <v>9</v>
      </c>
    </row>
    <row r="632" spans="1:16" ht="15.75" customHeight="1" x14ac:dyDescent="0.3">
      <c r="A632" s="35" t="s">
        <v>1532</v>
      </c>
      <c r="B632" s="35" t="s">
        <v>1533</v>
      </c>
      <c r="C632" s="35" t="s">
        <v>49</v>
      </c>
      <c r="D632" s="35" t="s">
        <v>43</v>
      </c>
      <c r="E632" s="35" t="s">
        <v>44</v>
      </c>
      <c r="F632" s="35">
        <v>16</v>
      </c>
      <c r="G632" s="35">
        <v>2205.91</v>
      </c>
      <c r="H632" s="35">
        <v>35294.559999999998</v>
      </c>
      <c r="I632" s="35">
        <v>29920.959999999999</v>
      </c>
      <c r="J632" s="35">
        <v>5373.6</v>
      </c>
      <c r="K632" s="37">
        <v>45538</v>
      </c>
      <c r="L632" s="37">
        <v>45543</v>
      </c>
      <c r="M632" s="35" t="s">
        <v>21</v>
      </c>
      <c r="N632" s="35">
        <v>3</v>
      </c>
      <c r="O632" s="35" t="s">
        <v>108</v>
      </c>
      <c r="P632" s="35">
        <v>8.5</v>
      </c>
    </row>
    <row r="633" spans="1:16" ht="15.75" customHeight="1" x14ac:dyDescent="0.3">
      <c r="A633" s="35" t="s">
        <v>1534</v>
      </c>
      <c r="B633" s="35" t="s">
        <v>1535</v>
      </c>
      <c r="C633" s="35" t="s">
        <v>219</v>
      </c>
      <c r="D633" s="35" t="s">
        <v>43</v>
      </c>
      <c r="E633" s="35" t="s">
        <v>32</v>
      </c>
      <c r="F633" s="35">
        <v>13</v>
      </c>
      <c r="G633" s="35">
        <v>4735.05</v>
      </c>
      <c r="H633" s="35">
        <v>61555.65</v>
      </c>
      <c r="I633" s="35">
        <v>31518.560000000001</v>
      </c>
      <c r="J633" s="35">
        <v>30037.09</v>
      </c>
      <c r="K633" s="37">
        <v>45761</v>
      </c>
      <c r="L633" s="37">
        <v>45769</v>
      </c>
      <c r="M633" s="35" t="s">
        <v>21</v>
      </c>
      <c r="N633" s="35">
        <v>3</v>
      </c>
      <c r="O633" s="35" t="s">
        <v>414</v>
      </c>
      <c r="P633" s="35">
        <v>8.6</v>
      </c>
    </row>
    <row r="634" spans="1:16" ht="15.75" customHeight="1" x14ac:dyDescent="0.3">
      <c r="A634" s="35" t="s">
        <v>1536</v>
      </c>
      <c r="B634" s="35" t="s">
        <v>1537</v>
      </c>
      <c r="C634" s="35" t="s">
        <v>62</v>
      </c>
      <c r="D634" s="35" t="s">
        <v>31</v>
      </c>
      <c r="E634" s="35" t="s">
        <v>20</v>
      </c>
      <c r="F634" s="35">
        <v>7</v>
      </c>
      <c r="G634" s="35">
        <v>3784.07</v>
      </c>
      <c r="H634" s="35">
        <v>26488.49</v>
      </c>
      <c r="I634" s="35">
        <v>20033.27</v>
      </c>
      <c r="J634" s="35">
        <v>6455.22</v>
      </c>
      <c r="K634" s="37">
        <v>45728</v>
      </c>
      <c r="L634" s="37">
        <v>45731</v>
      </c>
      <c r="M634" s="35" t="s">
        <v>69</v>
      </c>
      <c r="N634" s="35">
        <v>1</v>
      </c>
      <c r="O634" s="35" t="s">
        <v>463</v>
      </c>
      <c r="P634" s="35">
        <v>6.8</v>
      </c>
    </row>
    <row r="635" spans="1:16" ht="15.75" customHeight="1" x14ac:dyDescent="0.3">
      <c r="A635" s="35" t="s">
        <v>1538</v>
      </c>
      <c r="B635" s="35" t="s">
        <v>1539</v>
      </c>
      <c r="C635" s="35" t="s">
        <v>72</v>
      </c>
      <c r="D635" s="35" t="s">
        <v>31</v>
      </c>
      <c r="E635" s="35" t="s">
        <v>44</v>
      </c>
      <c r="F635" s="35">
        <v>1</v>
      </c>
      <c r="G635" s="35">
        <v>378.84</v>
      </c>
      <c r="H635" s="35">
        <v>378.84</v>
      </c>
      <c r="I635" s="35">
        <v>201.18</v>
      </c>
      <c r="J635" s="35">
        <v>177.66</v>
      </c>
      <c r="K635" s="37">
        <v>46045</v>
      </c>
      <c r="L635" s="37">
        <v>46052</v>
      </c>
      <c r="M635" s="35" t="s">
        <v>58</v>
      </c>
      <c r="N635" s="35">
        <v>1</v>
      </c>
      <c r="O635" s="35" t="s">
        <v>1390</v>
      </c>
      <c r="P635" s="35">
        <v>10</v>
      </c>
    </row>
    <row r="636" spans="1:16" ht="15.75" customHeight="1" x14ac:dyDescent="0.3">
      <c r="A636" s="35" t="s">
        <v>1540</v>
      </c>
      <c r="B636" s="35" t="s">
        <v>1541</v>
      </c>
      <c r="C636" s="35" t="s">
        <v>139</v>
      </c>
      <c r="D636" s="35" t="s">
        <v>31</v>
      </c>
      <c r="E636" s="35" t="s">
        <v>25</v>
      </c>
      <c r="F636" s="35">
        <v>17</v>
      </c>
      <c r="G636" s="35">
        <v>4370.3900000000003</v>
      </c>
      <c r="H636" s="35">
        <v>74296.63</v>
      </c>
      <c r="I636" s="35">
        <v>48408.36</v>
      </c>
      <c r="J636" s="35">
        <v>25888.27</v>
      </c>
      <c r="K636" s="37">
        <v>45956</v>
      </c>
      <c r="L636" s="37">
        <v>45965</v>
      </c>
      <c r="M636" s="35" t="s">
        <v>26</v>
      </c>
      <c r="N636" s="35">
        <v>2</v>
      </c>
      <c r="O636" s="35" t="s">
        <v>1542</v>
      </c>
      <c r="P636" s="35">
        <v>9.4</v>
      </c>
    </row>
    <row r="637" spans="1:16" ht="15.75" customHeight="1" x14ac:dyDescent="0.3">
      <c r="A637" s="35" t="s">
        <v>1543</v>
      </c>
      <c r="B637" s="35" t="s">
        <v>1544</v>
      </c>
      <c r="C637" s="35" t="s">
        <v>88</v>
      </c>
      <c r="D637" s="35" t="s">
        <v>31</v>
      </c>
      <c r="E637" s="35" t="s">
        <v>25</v>
      </c>
      <c r="F637" s="35">
        <v>17</v>
      </c>
      <c r="G637" s="35">
        <v>1915.27</v>
      </c>
      <c r="H637" s="35">
        <v>32559.59</v>
      </c>
      <c r="I637" s="35">
        <v>22197.77</v>
      </c>
      <c r="J637" s="35">
        <v>10361.82</v>
      </c>
      <c r="K637" s="37">
        <v>46026</v>
      </c>
      <c r="L637" s="37">
        <v>46033</v>
      </c>
      <c r="M637" s="35" t="s">
        <v>50</v>
      </c>
      <c r="N637" s="35">
        <v>4</v>
      </c>
      <c r="O637" s="35" t="s">
        <v>105</v>
      </c>
      <c r="P637" s="35">
        <v>7</v>
      </c>
    </row>
    <row r="638" spans="1:16" ht="15.75" customHeight="1" x14ac:dyDescent="0.3">
      <c r="A638" s="35" t="s">
        <v>1545</v>
      </c>
      <c r="B638" s="35" t="s">
        <v>1546</v>
      </c>
      <c r="C638" s="35" t="s">
        <v>195</v>
      </c>
      <c r="D638" s="35" t="s">
        <v>43</v>
      </c>
      <c r="E638" s="35" t="s">
        <v>44</v>
      </c>
      <c r="F638" s="35">
        <v>15</v>
      </c>
      <c r="G638" s="35">
        <v>1410.83</v>
      </c>
      <c r="H638" s="35">
        <v>21162.45</v>
      </c>
      <c r="I638" s="35">
        <v>13794.43</v>
      </c>
      <c r="J638" s="35">
        <v>7368.02</v>
      </c>
      <c r="K638" s="37">
        <v>45670</v>
      </c>
      <c r="L638" s="37">
        <v>45678</v>
      </c>
      <c r="M638" s="35" t="s">
        <v>45</v>
      </c>
      <c r="N638" s="35">
        <v>3</v>
      </c>
      <c r="O638" s="35" t="s">
        <v>423</v>
      </c>
      <c r="P638" s="35">
        <v>7.2</v>
      </c>
    </row>
    <row r="639" spans="1:16" ht="15.75" customHeight="1" x14ac:dyDescent="0.3">
      <c r="A639" s="35" t="s">
        <v>1547</v>
      </c>
      <c r="B639" s="35" t="s">
        <v>1548</v>
      </c>
      <c r="C639" s="35" t="s">
        <v>49</v>
      </c>
      <c r="D639" s="35" t="s">
        <v>43</v>
      </c>
      <c r="E639" s="35" t="s">
        <v>20</v>
      </c>
      <c r="F639" s="35">
        <v>20</v>
      </c>
      <c r="G639" s="35">
        <v>2613.02</v>
      </c>
      <c r="H639" s="35">
        <v>52260.4</v>
      </c>
      <c r="I639" s="35">
        <v>31674.17</v>
      </c>
      <c r="J639" s="35">
        <v>20586.23</v>
      </c>
      <c r="K639" s="37">
        <v>45635</v>
      </c>
      <c r="L639" s="37">
        <v>45644</v>
      </c>
      <c r="M639" s="35" t="s">
        <v>38</v>
      </c>
      <c r="N639" s="35">
        <v>2</v>
      </c>
      <c r="O639" s="35" t="s">
        <v>102</v>
      </c>
      <c r="P639" s="35">
        <v>6.6</v>
      </c>
    </row>
    <row r="640" spans="1:16" ht="15.75" customHeight="1" x14ac:dyDescent="0.3">
      <c r="A640" s="35" t="s">
        <v>1549</v>
      </c>
      <c r="B640" s="35" t="s">
        <v>1550</v>
      </c>
      <c r="C640" s="35" t="s">
        <v>30</v>
      </c>
      <c r="D640" s="35" t="s">
        <v>31</v>
      </c>
      <c r="E640" s="35" t="s">
        <v>44</v>
      </c>
      <c r="F640" s="35">
        <v>7</v>
      </c>
      <c r="G640" s="35">
        <v>54.54</v>
      </c>
      <c r="H640" s="35">
        <v>381.78</v>
      </c>
      <c r="I640" s="35">
        <v>241.99</v>
      </c>
      <c r="J640" s="35">
        <v>139.79</v>
      </c>
      <c r="K640" s="37">
        <v>45443</v>
      </c>
      <c r="L640" s="37">
        <v>45448</v>
      </c>
      <c r="M640" s="35" t="s">
        <v>21</v>
      </c>
      <c r="N640" s="35">
        <v>5</v>
      </c>
      <c r="O640" s="35" t="s">
        <v>289</v>
      </c>
      <c r="P640" s="35">
        <v>9.9</v>
      </c>
    </row>
    <row r="641" spans="1:16" ht="15.75" customHeight="1" x14ac:dyDescent="0.3">
      <c r="A641" s="35" t="s">
        <v>1551</v>
      </c>
      <c r="B641" s="35" t="s">
        <v>1552</v>
      </c>
      <c r="C641" s="35" t="s">
        <v>139</v>
      </c>
      <c r="D641" s="35" t="s">
        <v>31</v>
      </c>
      <c r="E641" s="35" t="s">
        <v>32</v>
      </c>
      <c r="F641" s="35">
        <v>1</v>
      </c>
      <c r="G641" s="35">
        <v>3298.82</v>
      </c>
      <c r="H641" s="35">
        <v>3298.82</v>
      </c>
      <c r="I641" s="35">
        <v>2159.67</v>
      </c>
      <c r="J641" s="35">
        <v>1139.1500000000001</v>
      </c>
      <c r="K641" s="37">
        <v>45808</v>
      </c>
      <c r="L641" s="37">
        <v>45816</v>
      </c>
      <c r="M641" s="35" t="s">
        <v>50</v>
      </c>
      <c r="N641" s="35">
        <v>5</v>
      </c>
      <c r="O641" s="35" t="s">
        <v>692</v>
      </c>
      <c r="P641" s="35">
        <v>7</v>
      </c>
    </row>
    <row r="642" spans="1:16" ht="15.75" customHeight="1" x14ac:dyDescent="0.3">
      <c r="A642" s="35" t="s">
        <v>1553</v>
      </c>
      <c r="B642" s="35" t="s">
        <v>1554</v>
      </c>
      <c r="C642" s="35" t="s">
        <v>144</v>
      </c>
      <c r="D642" s="35" t="s">
        <v>19</v>
      </c>
      <c r="E642" s="35" t="s">
        <v>25</v>
      </c>
      <c r="F642" s="35">
        <v>13</v>
      </c>
      <c r="G642" s="35">
        <v>2690.81</v>
      </c>
      <c r="H642" s="35">
        <v>34980.53</v>
      </c>
      <c r="I642" s="35">
        <v>23950.74</v>
      </c>
      <c r="J642" s="35">
        <v>11029.79</v>
      </c>
      <c r="K642" s="37">
        <v>45494</v>
      </c>
      <c r="L642" s="37">
        <v>45498</v>
      </c>
      <c r="M642" s="35" t="s">
        <v>69</v>
      </c>
      <c r="N642" s="35">
        <v>3</v>
      </c>
      <c r="O642" s="35" t="s">
        <v>683</v>
      </c>
      <c r="P642" s="35">
        <v>8.1999999999999993</v>
      </c>
    </row>
    <row r="643" spans="1:16" ht="15.75" customHeight="1" x14ac:dyDescent="0.3">
      <c r="A643" s="35" t="s">
        <v>1555</v>
      </c>
      <c r="B643" s="35" t="s">
        <v>1556</v>
      </c>
      <c r="C643" s="35" t="s">
        <v>139</v>
      </c>
      <c r="D643" s="35" t="s">
        <v>31</v>
      </c>
      <c r="E643" s="35" t="s">
        <v>44</v>
      </c>
      <c r="F643" s="35">
        <v>9</v>
      </c>
      <c r="G643" s="35">
        <v>3918.22</v>
      </c>
      <c r="H643" s="35">
        <v>35263.980000000003</v>
      </c>
      <c r="I643" s="35">
        <v>26189.65</v>
      </c>
      <c r="J643" s="35">
        <v>9074.33</v>
      </c>
      <c r="K643" s="37">
        <v>46016</v>
      </c>
      <c r="L643" s="37">
        <v>46023</v>
      </c>
      <c r="M643" s="35" t="s">
        <v>123</v>
      </c>
      <c r="N643" s="35">
        <v>2</v>
      </c>
      <c r="O643" s="35" t="s">
        <v>426</v>
      </c>
      <c r="P643" s="35">
        <v>7.1</v>
      </c>
    </row>
    <row r="644" spans="1:16" ht="15.75" customHeight="1" x14ac:dyDescent="0.3">
      <c r="A644" s="35" t="s">
        <v>1557</v>
      </c>
      <c r="B644" s="35" t="s">
        <v>1558</v>
      </c>
      <c r="C644" s="35" t="s">
        <v>195</v>
      </c>
      <c r="D644" s="35" t="s">
        <v>43</v>
      </c>
      <c r="E644" s="35" t="s">
        <v>25</v>
      </c>
      <c r="F644" s="35">
        <v>9</v>
      </c>
      <c r="G644" s="35">
        <v>2686.99</v>
      </c>
      <c r="H644" s="35">
        <v>24182.91</v>
      </c>
      <c r="I644" s="35">
        <v>18150.62</v>
      </c>
      <c r="J644" s="35">
        <v>6032.29</v>
      </c>
      <c r="K644" s="37">
        <v>45940</v>
      </c>
      <c r="L644" s="37">
        <v>45948</v>
      </c>
      <c r="M644" s="35" t="s">
        <v>123</v>
      </c>
      <c r="N644" s="35">
        <v>5</v>
      </c>
      <c r="O644" s="35" t="s">
        <v>34</v>
      </c>
      <c r="P644" s="35">
        <v>8.3000000000000007</v>
      </c>
    </row>
    <row r="645" spans="1:16" ht="15.75" customHeight="1" x14ac:dyDescent="0.3">
      <c r="A645" s="35" t="s">
        <v>1559</v>
      </c>
      <c r="B645" s="35" t="s">
        <v>1560</v>
      </c>
      <c r="C645" s="35" t="s">
        <v>37</v>
      </c>
      <c r="D645" s="35" t="s">
        <v>19</v>
      </c>
      <c r="E645" s="35" t="s">
        <v>20</v>
      </c>
      <c r="F645" s="35">
        <v>4</v>
      </c>
      <c r="G645" s="35">
        <v>1509.68</v>
      </c>
      <c r="H645" s="35">
        <v>6038.72</v>
      </c>
      <c r="I645" s="35">
        <v>4074.24</v>
      </c>
      <c r="J645" s="35">
        <v>1964.48</v>
      </c>
      <c r="K645" s="37">
        <v>45921</v>
      </c>
      <c r="L645" s="37">
        <v>45922</v>
      </c>
      <c r="M645" s="35" t="s">
        <v>33</v>
      </c>
      <c r="N645" s="35">
        <v>1</v>
      </c>
      <c r="O645" s="35" t="s">
        <v>499</v>
      </c>
      <c r="P645" s="35">
        <v>7.5</v>
      </c>
    </row>
    <row r="646" spans="1:16" ht="15.75" customHeight="1" x14ac:dyDescent="0.3">
      <c r="A646" s="35" t="s">
        <v>1561</v>
      </c>
      <c r="B646" s="35" t="s">
        <v>1562</v>
      </c>
      <c r="C646" s="35" t="s">
        <v>168</v>
      </c>
      <c r="D646" s="35" t="s">
        <v>43</v>
      </c>
      <c r="E646" s="35" t="s">
        <v>20</v>
      </c>
      <c r="F646" s="35">
        <v>10</v>
      </c>
      <c r="G646" s="35">
        <v>1688.53</v>
      </c>
      <c r="H646" s="35">
        <v>16885.3</v>
      </c>
      <c r="I646" s="35">
        <v>9275.34</v>
      </c>
      <c r="J646" s="35">
        <v>7609.96</v>
      </c>
      <c r="K646" s="37">
        <v>45988</v>
      </c>
      <c r="L646" s="37">
        <v>45992</v>
      </c>
      <c r="M646" s="35" t="s">
        <v>123</v>
      </c>
      <c r="N646" s="35">
        <v>3</v>
      </c>
      <c r="O646" s="35" t="s">
        <v>151</v>
      </c>
      <c r="P646" s="35">
        <v>10</v>
      </c>
    </row>
    <row r="647" spans="1:16" ht="15.75" customHeight="1" x14ac:dyDescent="0.3">
      <c r="A647" s="35" t="s">
        <v>1563</v>
      </c>
      <c r="B647" s="35" t="s">
        <v>1564</v>
      </c>
      <c r="C647" s="35" t="s">
        <v>37</v>
      </c>
      <c r="D647" s="35" t="s">
        <v>19</v>
      </c>
      <c r="E647" s="35" t="s">
        <v>25</v>
      </c>
      <c r="F647" s="35">
        <v>1</v>
      </c>
      <c r="G647" s="35">
        <v>3913.86</v>
      </c>
      <c r="H647" s="35">
        <v>3913.86</v>
      </c>
      <c r="I647" s="35">
        <v>3440.06</v>
      </c>
      <c r="J647" s="35">
        <v>473.8</v>
      </c>
      <c r="K647" s="37">
        <v>45875</v>
      </c>
      <c r="L647" s="37">
        <v>45878</v>
      </c>
      <c r="M647" s="35" t="s">
        <v>38</v>
      </c>
      <c r="N647" s="35">
        <v>4</v>
      </c>
      <c r="O647" s="35" t="s">
        <v>557</v>
      </c>
      <c r="P647" s="35">
        <v>9.1999999999999993</v>
      </c>
    </row>
    <row r="648" spans="1:16" ht="15.75" customHeight="1" x14ac:dyDescent="0.3">
      <c r="A648" s="35" t="s">
        <v>1565</v>
      </c>
      <c r="B648" s="35" t="s">
        <v>1566</v>
      </c>
      <c r="C648" s="35" t="s">
        <v>49</v>
      </c>
      <c r="D648" s="35" t="s">
        <v>43</v>
      </c>
      <c r="E648" s="35" t="s">
        <v>32</v>
      </c>
      <c r="F648" s="35">
        <v>10</v>
      </c>
      <c r="G648" s="35">
        <v>3608.04</v>
      </c>
      <c r="H648" s="35">
        <v>36080.400000000001</v>
      </c>
      <c r="I648" s="35">
        <v>21910.83</v>
      </c>
      <c r="J648" s="35">
        <v>14169.57</v>
      </c>
      <c r="K648" s="37">
        <v>45517</v>
      </c>
      <c r="L648" s="37">
        <v>45521</v>
      </c>
      <c r="M648" s="35" t="s">
        <v>123</v>
      </c>
      <c r="N648" s="35">
        <v>5</v>
      </c>
      <c r="O648" s="35" t="s">
        <v>273</v>
      </c>
      <c r="P648" s="35">
        <v>9.5</v>
      </c>
    </row>
    <row r="649" spans="1:16" ht="15.75" customHeight="1" x14ac:dyDescent="0.3">
      <c r="A649" s="35" t="s">
        <v>1567</v>
      </c>
      <c r="B649" s="35" t="s">
        <v>1568</v>
      </c>
      <c r="C649" s="35" t="s">
        <v>168</v>
      </c>
      <c r="D649" s="35" t="s">
        <v>43</v>
      </c>
      <c r="E649" s="35" t="s">
        <v>25</v>
      </c>
      <c r="F649" s="35">
        <v>19</v>
      </c>
      <c r="G649" s="35">
        <v>2878.27</v>
      </c>
      <c r="H649" s="35">
        <v>54687.13</v>
      </c>
      <c r="I649" s="35">
        <v>30678.28</v>
      </c>
      <c r="J649" s="35">
        <v>24008.85</v>
      </c>
      <c r="K649" s="37">
        <v>45697</v>
      </c>
      <c r="L649" s="37">
        <v>45702</v>
      </c>
      <c r="M649" s="35" t="s">
        <v>38</v>
      </c>
      <c r="N649" s="35">
        <v>3</v>
      </c>
      <c r="O649" s="35" t="s">
        <v>133</v>
      </c>
      <c r="P649" s="35">
        <v>8</v>
      </c>
    </row>
    <row r="650" spans="1:16" ht="15.75" customHeight="1" x14ac:dyDescent="0.3">
      <c r="A650" s="35" t="s">
        <v>1569</v>
      </c>
      <c r="B650" s="35" t="s">
        <v>898</v>
      </c>
      <c r="C650" s="35" t="s">
        <v>95</v>
      </c>
      <c r="D650" s="35" t="s">
        <v>19</v>
      </c>
      <c r="E650" s="35" t="s">
        <v>44</v>
      </c>
      <c r="F650" s="35">
        <v>5</v>
      </c>
      <c r="G650" s="35">
        <v>553.29999999999995</v>
      </c>
      <c r="H650" s="35">
        <v>2766.5</v>
      </c>
      <c r="I650" s="35">
        <v>2186.94</v>
      </c>
      <c r="J650" s="35">
        <v>579.55999999999995</v>
      </c>
      <c r="K650" s="37">
        <v>45689</v>
      </c>
      <c r="L650" s="37">
        <v>45690</v>
      </c>
      <c r="M650" s="35" t="s">
        <v>50</v>
      </c>
      <c r="N650" s="35">
        <v>4</v>
      </c>
      <c r="O650" s="35" t="s">
        <v>34</v>
      </c>
      <c r="P650" s="35">
        <v>8.5</v>
      </c>
    </row>
    <row r="651" spans="1:16" ht="15.75" customHeight="1" x14ac:dyDescent="0.3">
      <c r="A651" s="35" t="s">
        <v>1570</v>
      </c>
      <c r="B651" s="35" t="s">
        <v>1571</v>
      </c>
      <c r="C651" s="35" t="s">
        <v>195</v>
      </c>
      <c r="D651" s="35" t="s">
        <v>43</v>
      </c>
      <c r="E651" s="35" t="s">
        <v>44</v>
      </c>
      <c r="F651" s="35">
        <v>2</v>
      </c>
      <c r="G651" s="35">
        <v>3577.31</v>
      </c>
      <c r="H651" s="35">
        <v>7154.62</v>
      </c>
      <c r="I651" s="35">
        <v>5968.54</v>
      </c>
      <c r="J651" s="35">
        <v>1186.08</v>
      </c>
      <c r="K651" s="37">
        <v>45718</v>
      </c>
      <c r="L651" s="37">
        <v>45721</v>
      </c>
      <c r="M651" s="35" t="s">
        <v>38</v>
      </c>
      <c r="N651" s="35">
        <v>3</v>
      </c>
      <c r="O651" s="35" t="s">
        <v>232</v>
      </c>
      <c r="P651" s="35">
        <v>7.5</v>
      </c>
    </row>
    <row r="652" spans="1:16" ht="15.75" customHeight="1" x14ac:dyDescent="0.3">
      <c r="A652" s="35" t="s">
        <v>1572</v>
      </c>
      <c r="B652" s="35" t="s">
        <v>1573</v>
      </c>
      <c r="C652" s="35" t="s">
        <v>195</v>
      </c>
      <c r="D652" s="35" t="s">
        <v>43</v>
      </c>
      <c r="E652" s="35" t="s">
        <v>20</v>
      </c>
      <c r="F652" s="35">
        <v>3</v>
      </c>
      <c r="G652" s="35">
        <v>958.09</v>
      </c>
      <c r="H652" s="35">
        <v>2874.27</v>
      </c>
      <c r="I652" s="35">
        <v>1543.81</v>
      </c>
      <c r="J652" s="35">
        <v>1330.46</v>
      </c>
      <c r="K652" s="37">
        <v>45901</v>
      </c>
      <c r="L652" s="37">
        <v>45906</v>
      </c>
      <c r="M652" s="35" t="s">
        <v>123</v>
      </c>
      <c r="N652" s="35">
        <v>5</v>
      </c>
      <c r="O652" s="35" t="s">
        <v>1574</v>
      </c>
      <c r="P652" s="35">
        <v>6.7</v>
      </c>
    </row>
    <row r="653" spans="1:16" ht="15.75" customHeight="1" x14ac:dyDescent="0.3">
      <c r="A653" s="35" t="s">
        <v>1575</v>
      </c>
      <c r="B653" s="35" t="s">
        <v>1576</v>
      </c>
      <c r="C653" s="35" t="s">
        <v>57</v>
      </c>
      <c r="D653" s="35" t="s">
        <v>19</v>
      </c>
      <c r="E653" s="35" t="s">
        <v>25</v>
      </c>
      <c r="F653" s="35">
        <v>13</v>
      </c>
      <c r="G653" s="35">
        <v>194.88</v>
      </c>
      <c r="H653" s="35">
        <v>2533.44</v>
      </c>
      <c r="I653" s="35">
        <v>1349.89</v>
      </c>
      <c r="J653" s="35">
        <v>1183.55</v>
      </c>
      <c r="K653" s="37">
        <v>45523</v>
      </c>
      <c r="L653" s="37">
        <v>45525</v>
      </c>
      <c r="M653" s="35" t="s">
        <v>21</v>
      </c>
      <c r="N653" s="35">
        <v>1</v>
      </c>
      <c r="O653" s="35" t="s">
        <v>354</v>
      </c>
      <c r="P653" s="35">
        <v>8.1</v>
      </c>
    </row>
    <row r="654" spans="1:16" ht="15.75" customHeight="1" x14ac:dyDescent="0.3">
      <c r="A654" s="35" t="s">
        <v>1577</v>
      </c>
      <c r="B654" s="35" t="s">
        <v>1578</v>
      </c>
      <c r="C654" s="35" t="s">
        <v>49</v>
      </c>
      <c r="D654" s="35" t="s">
        <v>43</v>
      </c>
      <c r="E654" s="35" t="s">
        <v>25</v>
      </c>
      <c r="F654" s="35">
        <v>7</v>
      </c>
      <c r="G654" s="35">
        <v>2018.42</v>
      </c>
      <c r="H654" s="35">
        <v>14128.94</v>
      </c>
      <c r="I654" s="35">
        <v>8017.7</v>
      </c>
      <c r="J654" s="35">
        <v>6111.24</v>
      </c>
      <c r="K654" s="37">
        <v>45919</v>
      </c>
      <c r="L654" s="37">
        <v>45925</v>
      </c>
      <c r="M654" s="35" t="s">
        <v>58</v>
      </c>
      <c r="N654" s="35">
        <v>2</v>
      </c>
      <c r="O654" s="35" t="s">
        <v>1579</v>
      </c>
      <c r="P654" s="35">
        <v>6</v>
      </c>
    </row>
    <row r="655" spans="1:16" ht="15.75" customHeight="1" x14ac:dyDescent="0.3">
      <c r="A655" s="35" t="s">
        <v>1580</v>
      </c>
      <c r="B655" s="35" t="s">
        <v>1581</v>
      </c>
      <c r="C655" s="35" t="s">
        <v>18</v>
      </c>
      <c r="D655" s="35" t="s">
        <v>19</v>
      </c>
      <c r="E655" s="35" t="s">
        <v>25</v>
      </c>
      <c r="F655" s="35">
        <v>17</v>
      </c>
      <c r="G655" s="35">
        <v>154.77000000000001</v>
      </c>
      <c r="H655" s="35">
        <v>2631.09</v>
      </c>
      <c r="I655" s="35">
        <v>1397.7</v>
      </c>
      <c r="J655" s="35">
        <v>1233.3900000000001</v>
      </c>
      <c r="K655" s="37">
        <v>45445</v>
      </c>
      <c r="L655" s="37">
        <v>45452</v>
      </c>
      <c r="M655" s="35" t="s">
        <v>38</v>
      </c>
      <c r="N655" s="35">
        <v>2</v>
      </c>
      <c r="O655" s="35" t="s">
        <v>548</v>
      </c>
      <c r="P655" s="35">
        <v>7.3</v>
      </c>
    </row>
    <row r="656" spans="1:16" ht="15.75" customHeight="1" x14ac:dyDescent="0.3">
      <c r="A656" s="35" t="s">
        <v>1582</v>
      </c>
      <c r="B656" s="35" t="s">
        <v>1583</v>
      </c>
      <c r="C656" s="35" t="s">
        <v>88</v>
      </c>
      <c r="D656" s="35" t="s">
        <v>31</v>
      </c>
      <c r="E656" s="35" t="s">
        <v>44</v>
      </c>
      <c r="F656" s="35">
        <v>15</v>
      </c>
      <c r="G656" s="35">
        <v>1196.8699999999999</v>
      </c>
      <c r="H656" s="35">
        <v>17953.05</v>
      </c>
      <c r="I656" s="35">
        <v>11303.99</v>
      </c>
      <c r="J656" s="35">
        <v>6649.06</v>
      </c>
      <c r="K656" s="37">
        <v>45873</v>
      </c>
      <c r="L656" s="37">
        <v>45878</v>
      </c>
      <c r="M656" s="35" t="s">
        <v>45</v>
      </c>
      <c r="N656" s="35">
        <v>2</v>
      </c>
      <c r="O656" s="35" t="s">
        <v>235</v>
      </c>
      <c r="P656" s="35">
        <v>9.8000000000000007</v>
      </c>
    </row>
    <row r="657" spans="1:16" ht="15.75" customHeight="1" x14ac:dyDescent="0.3">
      <c r="A657" s="35" t="s">
        <v>1584</v>
      </c>
      <c r="B657" s="35" t="s">
        <v>1585</v>
      </c>
      <c r="C657" s="35" t="s">
        <v>144</v>
      </c>
      <c r="D657" s="35" t="s">
        <v>19</v>
      </c>
      <c r="E657" s="35" t="s">
        <v>32</v>
      </c>
      <c r="F657" s="35">
        <v>17</v>
      </c>
      <c r="G657" s="35">
        <v>104.29</v>
      </c>
      <c r="H657" s="35">
        <v>1772.93</v>
      </c>
      <c r="I657" s="35">
        <v>1321.41</v>
      </c>
      <c r="J657" s="35">
        <v>451.52</v>
      </c>
      <c r="K657" s="37">
        <v>45717</v>
      </c>
      <c r="L657" s="37">
        <v>45722</v>
      </c>
      <c r="M657" s="35" t="s">
        <v>38</v>
      </c>
      <c r="N657" s="35">
        <v>1</v>
      </c>
      <c r="O657" s="35" t="s">
        <v>184</v>
      </c>
      <c r="P657" s="35">
        <v>9.4</v>
      </c>
    </row>
    <row r="658" spans="1:16" ht="15.75" customHeight="1" x14ac:dyDescent="0.3">
      <c r="A658" s="35" t="s">
        <v>1586</v>
      </c>
      <c r="B658" s="35" t="s">
        <v>1587</v>
      </c>
      <c r="C658" s="35" t="s">
        <v>62</v>
      </c>
      <c r="D658" s="35" t="s">
        <v>31</v>
      </c>
      <c r="E658" s="35" t="s">
        <v>25</v>
      </c>
      <c r="F658" s="35">
        <v>20</v>
      </c>
      <c r="G658" s="35">
        <v>150.38999999999999</v>
      </c>
      <c r="H658" s="35">
        <v>3007.8</v>
      </c>
      <c r="I658" s="35">
        <v>1968.12</v>
      </c>
      <c r="J658" s="35">
        <v>1039.68</v>
      </c>
      <c r="K658" s="37">
        <v>45972</v>
      </c>
      <c r="L658" s="37">
        <v>45979</v>
      </c>
      <c r="M658" s="35" t="s">
        <v>58</v>
      </c>
      <c r="N658" s="35">
        <v>5</v>
      </c>
      <c r="O658" s="35" t="s">
        <v>1239</v>
      </c>
      <c r="P658" s="35">
        <v>9.6999999999999993</v>
      </c>
    </row>
    <row r="659" spans="1:16" ht="15.75" customHeight="1" x14ac:dyDescent="0.3">
      <c r="A659" s="35" t="s">
        <v>1588</v>
      </c>
      <c r="B659" s="35" t="s">
        <v>1589</v>
      </c>
      <c r="C659" s="35" t="s">
        <v>144</v>
      </c>
      <c r="D659" s="35" t="s">
        <v>19</v>
      </c>
      <c r="E659" s="35" t="s">
        <v>20</v>
      </c>
      <c r="F659" s="35">
        <v>16</v>
      </c>
      <c r="G659" s="35">
        <v>1236.3900000000001</v>
      </c>
      <c r="H659" s="35">
        <v>19782.240000000002</v>
      </c>
      <c r="I659" s="35">
        <v>14793.36</v>
      </c>
      <c r="J659" s="35">
        <v>4988.88</v>
      </c>
      <c r="K659" s="37">
        <v>45541</v>
      </c>
      <c r="L659" s="37">
        <v>45543</v>
      </c>
      <c r="M659" s="35" t="s">
        <v>38</v>
      </c>
      <c r="N659" s="35">
        <v>5</v>
      </c>
      <c r="O659" s="35" t="s">
        <v>780</v>
      </c>
      <c r="P659" s="35">
        <v>6.7</v>
      </c>
    </row>
    <row r="660" spans="1:16" ht="15.75" customHeight="1" x14ac:dyDescent="0.3">
      <c r="A660" s="35" t="s">
        <v>1590</v>
      </c>
      <c r="B660" s="35" t="s">
        <v>1591</v>
      </c>
      <c r="C660" s="35" t="s">
        <v>88</v>
      </c>
      <c r="D660" s="35" t="s">
        <v>31</v>
      </c>
      <c r="E660" s="35" t="s">
        <v>44</v>
      </c>
      <c r="F660" s="35">
        <v>2</v>
      </c>
      <c r="G660" s="35">
        <v>4921.25</v>
      </c>
      <c r="H660" s="35">
        <v>9842.5</v>
      </c>
      <c r="I660" s="35">
        <v>5734.56</v>
      </c>
      <c r="J660" s="35">
        <v>4107.9399999999996</v>
      </c>
      <c r="K660" s="37">
        <v>45962</v>
      </c>
      <c r="L660" s="37">
        <v>45967</v>
      </c>
      <c r="M660" s="35" t="s">
        <v>50</v>
      </c>
      <c r="N660" s="35">
        <v>1</v>
      </c>
      <c r="O660" s="35" t="s">
        <v>551</v>
      </c>
      <c r="P660" s="35">
        <v>6.4</v>
      </c>
    </row>
    <row r="661" spans="1:16" ht="15.75" customHeight="1" x14ac:dyDescent="0.3">
      <c r="A661" s="35" t="s">
        <v>1592</v>
      </c>
      <c r="B661" s="35" t="s">
        <v>1593</v>
      </c>
      <c r="C661" s="35" t="s">
        <v>30</v>
      </c>
      <c r="D661" s="35" t="s">
        <v>31</v>
      </c>
      <c r="E661" s="35" t="s">
        <v>25</v>
      </c>
      <c r="F661" s="35">
        <v>9</v>
      </c>
      <c r="G661" s="35">
        <v>901.03</v>
      </c>
      <c r="H661" s="35">
        <v>8109.27</v>
      </c>
      <c r="I661" s="35">
        <v>7058.11</v>
      </c>
      <c r="J661" s="35">
        <v>1051.1600000000001</v>
      </c>
      <c r="K661" s="37">
        <v>46136</v>
      </c>
      <c r="L661" s="37">
        <v>46143</v>
      </c>
      <c r="M661" s="35" t="s">
        <v>33</v>
      </c>
      <c r="N661" s="35">
        <v>1</v>
      </c>
      <c r="O661" s="35" t="s">
        <v>615</v>
      </c>
      <c r="P661" s="35">
        <v>7.1</v>
      </c>
    </row>
    <row r="662" spans="1:16" ht="15.75" customHeight="1" x14ac:dyDescent="0.3">
      <c r="A662" s="35" t="s">
        <v>1594</v>
      </c>
      <c r="B662" s="35" t="s">
        <v>1595</v>
      </c>
      <c r="C662" s="35" t="s">
        <v>30</v>
      </c>
      <c r="D662" s="35" t="s">
        <v>31</v>
      </c>
      <c r="E662" s="35" t="s">
        <v>44</v>
      </c>
      <c r="F662" s="35">
        <v>16</v>
      </c>
      <c r="G662" s="35">
        <v>3092.53</v>
      </c>
      <c r="H662" s="35">
        <v>49480.480000000003</v>
      </c>
      <c r="I662" s="35">
        <v>32408.12</v>
      </c>
      <c r="J662" s="35">
        <v>17072.36</v>
      </c>
      <c r="K662" s="37">
        <v>45496</v>
      </c>
      <c r="L662" s="37">
        <v>45500</v>
      </c>
      <c r="M662" s="35" t="s">
        <v>181</v>
      </c>
      <c r="N662" s="35">
        <v>3</v>
      </c>
      <c r="O662" s="35" t="s">
        <v>597</v>
      </c>
      <c r="P662" s="35">
        <v>9.5</v>
      </c>
    </row>
    <row r="663" spans="1:16" ht="15.75" customHeight="1" x14ac:dyDescent="0.3">
      <c r="A663" s="35" t="s">
        <v>1596</v>
      </c>
      <c r="B663" s="35" t="s">
        <v>1597</v>
      </c>
      <c r="C663" s="35" t="s">
        <v>139</v>
      </c>
      <c r="D663" s="35" t="s">
        <v>31</v>
      </c>
      <c r="E663" s="35" t="s">
        <v>32</v>
      </c>
      <c r="F663" s="35">
        <v>1</v>
      </c>
      <c r="G663" s="35">
        <v>2657.64</v>
      </c>
      <c r="H663" s="35">
        <v>2657.64</v>
      </c>
      <c r="I663" s="35">
        <v>1381.35</v>
      </c>
      <c r="J663" s="35">
        <v>1276.29</v>
      </c>
      <c r="K663" s="37">
        <v>45764</v>
      </c>
      <c r="L663" s="37">
        <v>45771</v>
      </c>
      <c r="M663" s="35" t="s">
        <v>50</v>
      </c>
      <c r="N663" s="35">
        <v>4</v>
      </c>
      <c r="O663" s="35" t="s">
        <v>823</v>
      </c>
      <c r="P663" s="35">
        <v>7.6</v>
      </c>
    </row>
    <row r="664" spans="1:16" ht="15.75" customHeight="1" x14ac:dyDescent="0.3">
      <c r="A664" s="35" t="s">
        <v>1598</v>
      </c>
      <c r="B664" s="35" t="s">
        <v>1599</v>
      </c>
      <c r="C664" s="35" t="s">
        <v>88</v>
      </c>
      <c r="D664" s="35" t="s">
        <v>31</v>
      </c>
      <c r="E664" s="35" t="s">
        <v>44</v>
      </c>
      <c r="F664" s="35">
        <v>14</v>
      </c>
      <c r="G664" s="35">
        <v>4592.45</v>
      </c>
      <c r="H664" s="35">
        <v>64294.3</v>
      </c>
      <c r="I664" s="35">
        <v>45703.21</v>
      </c>
      <c r="J664" s="35">
        <v>18591.09</v>
      </c>
      <c r="K664" s="37">
        <v>45928</v>
      </c>
      <c r="L664" s="37">
        <v>45938</v>
      </c>
      <c r="M664" s="35" t="s">
        <v>69</v>
      </c>
      <c r="N664" s="35">
        <v>5</v>
      </c>
      <c r="O664" s="35" t="s">
        <v>22</v>
      </c>
      <c r="P664" s="35">
        <v>7.3</v>
      </c>
    </row>
    <row r="665" spans="1:16" ht="15.75" customHeight="1" x14ac:dyDescent="0.3">
      <c r="A665" s="35" t="s">
        <v>1600</v>
      </c>
      <c r="B665" s="35" t="s">
        <v>1601</v>
      </c>
      <c r="C665" s="35" t="s">
        <v>18</v>
      </c>
      <c r="D665" s="35" t="s">
        <v>19</v>
      </c>
      <c r="E665" s="35" t="s">
        <v>32</v>
      </c>
      <c r="F665" s="35">
        <v>8</v>
      </c>
      <c r="G665" s="35">
        <v>1008.31</v>
      </c>
      <c r="H665" s="35">
        <v>8066.48</v>
      </c>
      <c r="I665" s="35">
        <v>5463.95</v>
      </c>
      <c r="J665" s="35">
        <v>2602.5300000000002</v>
      </c>
      <c r="K665" s="37">
        <v>45575</v>
      </c>
      <c r="L665" s="37">
        <v>45578</v>
      </c>
      <c r="M665" s="35" t="s">
        <v>50</v>
      </c>
      <c r="N665" s="35">
        <v>2</v>
      </c>
      <c r="O665" s="35" t="s">
        <v>515</v>
      </c>
      <c r="P665" s="35">
        <v>6.6</v>
      </c>
    </row>
    <row r="666" spans="1:16" ht="15.75" customHeight="1" x14ac:dyDescent="0.3">
      <c r="A666" s="35" t="s">
        <v>1602</v>
      </c>
      <c r="B666" s="35" t="s">
        <v>1603</v>
      </c>
      <c r="C666" s="35" t="s">
        <v>72</v>
      </c>
      <c r="D666" s="35" t="s">
        <v>31</v>
      </c>
      <c r="E666" s="35" t="s">
        <v>20</v>
      </c>
      <c r="F666" s="35">
        <v>12</v>
      </c>
      <c r="G666" s="35">
        <v>2174.79</v>
      </c>
      <c r="H666" s="35">
        <v>26097.48</v>
      </c>
      <c r="I666" s="35">
        <v>20911.32</v>
      </c>
      <c r="J666" s="35">
        <v>5186.16</v>
      </c>
      <c r="K666" s="37">
        <v>45788</v>
      </c>
      <c r="L666" s="37">
        <v>45794</v>
      </c>
      <c r="M666" s="35" t="s">
        <v>181</v>
      </c>
      <c r="N666" s="35">
        <v>4</v>
      </c>
      <c r="O666" s="35" t="s">
        <v>414</v>
      </c>
      <c r="P666" s="35">
        <v>8.1999999999999993</v>
      </c>
    </row>
    <row r="667" spans="1:16" ht="15.75" customHeight="1" x14ac:dyDescent="0.3">
      <c r="A667" s="35" t="s">
        <v>1604</v>
      </c>
      <c r="B667" s="35" t="s">
        <v>1605</v>
      </c>
      <c r="C667" s="35" t="s">
        <v>18</v>
      </c>
      <c r="D667" s="35" t="s">
        <v>19</v>
      </c>
      <c r="E667" s="35" t="s">
        <v>44</v>
      </c>
      <c r="F667" s="35">
        <v>17</v>
      </c>
      <c r="G667" s="35">
        <v>567.80999999999995</v>
      </c>
      <c r="H667" s="35">
        <v>9652.77</v>
      </c>
      <c r="I667" s="35">
        <v>8177.22</v>
      </c>
      <c r="J667" s="35">
        <v>1475.55</v>
      </c>
      <c r="K667" s="37">
        <v>45545</v>
      </c>
      <c r="L667" s="37">
        <v>45550</v>
      </c>
      <c r="M667" s="35" t="s">
        <v>181</v>
      </c>
      <c r="N667" s="35">
        <v>3</v>
      </c>
      <c r="O667" s="35" t="s">
        <v>96</v>
      </c>
      <c r="P667" s="35">
        <v>8.6</v>
      </c>
    </row>
    <row r="668" spans="1:16" ht="15.75" customHeight="1" x14ac:dyDescent="0.3">
      <c r="A668" s="35" t="s">
        <v>1606</v>
      </c>
      <c r="B668" s="35" t="s">
        <v>1607</v>
      </c>
      <c r="C668" s="35" t="s">
        <v>30</v>
      </c>
      <c r="D668" s="35" t="s">
        <v>31</v>
      </c>
      <c r="E668" s="35" t="s">
        <v>20</v>
      </c>
      <c r="F668" s="35">
        <v>9</v>
      </c>
      <c r="G668" s="35">
        <v>98.71</v>
      </c>
      <c r="H668" s="35">
        <v>888.39</v>
      </c>
      <c r="I668" s="35">
        <v>486.95</v>
      </c>
      <c r="J668" s="35">
        <v>401.44</v>
      </c>
      <c r="K668" s="37">
        <v>45465</v>
      </c>
      <c r="L668" s="37">
        <v>45473</v>
      </c>
      <c r="M668" s="35" t="s">
        <v>33</v>
      </c>
      <c r="N668" s="35">
        <v>1</v>
      </c>
      <c r="O668" s="35" t="s">
        <v>591</v>
      </c>
      <c r="P668" s="35">
        <v>9.4</v>
      </c>
    </row>
    <row r="669" spans="1:16" ht="15.75" customHeight="1" x14ac:dyDescent="0.3">
      <c r="A669" s="35" t="s">
        <v>1608</v>
      </c>
      <c r="B669" s="35" t="s">
        <v>1609</v>
      </c>
      <c r="C669" s="35" t="s">
        <v>30</v>
      </c>
      <c r="D669" s="35" t="s">
        <v>31</v>
      </c>
      <c r="E669" s="35" t="s">
        <v>25</v>
      </c>
      <c r="F669" s="35">
        <v>18</v>
      </c>
      <c r="G669" s="35">
        <v>4900.91</v>
      </c>
      <c r="H669" s="35">
        <v>88216.38</v>
      </c>
      <c r="I669" s="35">
        <v>70901.45</v>
      </c>
      <c r="J669" s="35">
        <v>17314.93</v>
      </c>
      <c r="K669" s="37">
        <v>45588</v>
      </c>
      <c r="L669" s="37">
        <v>45592</v>
      </c>
      <c r="M669" s="35" t="s">
        <v>181</v>
      </c>
      <c r="N669" s="35">
        <v>3</v>
      </c>
      <c r="O669" s="35" t="s">
        <v>205</v>
      </c>
      <c r="P669" s="35">
        <v>8.6999999999999993</v>
      </c>
    </row>
    <row r="670" spans="1:16" ht="15.75" customHeight="1" x14ac:dyDescent="0.3">
      <c r="A670" s="35" t="s">
        <v>1610</v>
      </c>
      <c r="B670" s="35" t="s">
        <v>590</v>
      </c>
      <c r="C670" s="35" t="s">
        <v>168</v>
      </c>
      <c r="D670" s="35" t="s">
        <v>43</v>
      </c>
      <c r="E670" s="35" t="s">
        <v>32</v>
      </c>
      <c r="F670" s="35">
        <v>10</v>
      </c>
      <c r="G670" s="35">
        <v>2512.63</v>
      </c>
      <c r="H670" s="35">
        <v>25126.3</v>
      </c>
      <c r="I670" s="35">
        <v>21735.91</v>
      </c>
      <c r="J670" s="35">
        <v>3390.39</v>
      </c>
      <c r="K670" s="37">
        <v>46015</v>
      </c>
      <c r="L670" s="37">
        <v>46018</v>
      </c>
      <c r="M670" s="35" t="s">
        <v>58</v>
      </c>
      <c r="N670" s="35">
        <v>4</v>
      </c>
      <c r="O670" s="35" t="s">
        <v>1048</v>
      </c>
      <c r="P670" s="35">
        <v>9.6</v>
      </c>
    </row>
    <row r="671" spans="1:16" ht="15.75" customHeight="1" x14ac:dyDescent="0.3">
      <c r="A671" s="35" t="s">
        <v>1611</v>
      </c>
      <c r="B671" s="35" t="s">
        <v>1612</v>
      </c>
      <c r="C671" s="35" t="s">
        <v>18</v>
      </c>
      <c r="D671" s="35" t="s">
        <v>19</v>
      </c>
      <c r="E671" s="35" t="s">
        <v>25</v>
      </c>
      <c r="F671" s="35">
        <v>16</v>
      </c>
      <c r="G671" s="35">
        <v>933.7</v>
      </c>
      <c r="H671" s="35">
        <v>14939.2</v>
      </c>
      <c r="I671" s="35">
        <v>8376.74</v>
      </c>
      <c r="J671" s="35">
        <v>6562.46</v>
      </c>
      <c r="K671" s="37">
        <v>45773</v>
      </c>
      <c r="L671" s="37">
        <v>45777</v>
      </c>
      <c r="M671" s="35" t="s">
        <v>45</v>
      </c>
      <c r="N671" s="35">
        <v>5</v>
      </c>
      <c r="O671" s="35" t="s">
        <v>172</v>
      </c>
      <c r="P671" s="35">
        <v>6.6</v>
      </c>
    </row>
    <row r="672" spans="1:16" ht="15.75" customHeight="1" x14ac:dyDescent="0.3">
      <c r="A672" s="35" t="s">
        <v>1613</v>
      </c>
      <c r="B672" s="35" t="s">
        <v>1614</v>
      </c>
      <c r="C672" s="35" t="s">
        <v>37</v>
      </c>
      <c r="D672" s="35" t="s">
        <v>19</v>
      </c>
      <c r="E672" s="35" t="s">
        <v>20</v>
      </c>
      <c r="F672" s="35">
        <v>20</v>
      </c>
      <c r="G672" s="35">
        <v>3571.08</v>
      </c>
      <c r="H672" s="35">
        <v>71421.600000000006</v>
      </c>
      <c r="I672" s="35">
        <v>37639.660000000003</v>
      </c>
      <c r="J672" s="35">
        <v>33781.94</v>
      </c>
      <c r="K672" s="37">
        <v>45736</v>
      </c>
      <c r="L672" s="37">
        <v>45744</v>
      </c>
      <c r="M672" s="35" t="s">
        <v>123</v>
      </c>
      <c r="N672" s="35">
        <v>5</v>
      </c>
      <c r="O672" s="35" t="s">
        <v>318</v>
      </c>
      <c r="P672" s="35">
        <v>6.5</v>
      </c>
    </row>
    <row r="673" spans="1:16" ht="15.75" customHeight="1" x14ac:dyDescent="0.3">
      <c r="A673" s="35" t="s">
        <v>1615</v>
      </c>
      <c r="B673" s="35" t="s">
        <v>1616</v>
      </c>
      <c r="C673" s="35" t="s">
        <v>95</v>
      </c>
      <c r="D673" s="35" t="s">
        <v>19</v>
      </c>
      <c r="E673" s="35" t="s">
        <v>20</v>
      </c>
      <c r="F673" s="35">
        <v>12</v>
      </c>
      <c r="G673" s="35">
        <v>3622.56</v>
      </c>
      <c r="H673" s="35">
        <v>43470.720000000001</v>
      </c>
      <c r="I673" s="35">
        <v>27764.240000000002</v>
      </c>
      <c r="J673" s="35">
        <v>15706.48</v>
      </c>
      <c r="K673" s="37">
        <v>46082</v>
      </c>
      <c r="L673" s="37">
        <v>46085</v>
      </c>
      <c r="M673" s="35" t="s">
        <v>123</v>
      </c>
      <c r="N673" s="35">
        <v>5</v>
      </c>
      <c r="O673" s="35" t="s">
        <v>785</v>
      </c>
      <c r="P673" s="35">
        <v>7.1</v>
      </c>
    </row>
    <row r="674" spans="1:16" ht="15.75" customHeight="1" x14ac:dyDescent="0.3">
      <c r="A674" s="35" t="s">
        <v>1617</v>
      </c>
      <c r="B674" s="35" t="s">
        <v>1618</v>
      </c>
      <c r="C674" s="35" t="s">
        <v>168</v>
      </c>
      <c r="D674" s="35" t="s">
        <v>43</v>
      </c>
      <c r="E674" s="35" t="s">
        <v>32</v>
      </c>
      <c r="F674" s="35">
        <v>13</v>
      </c>
      <c r="G674" s="35">
        <v>1133.6500000000001</v>
      </c>
      <c r="H674" s="35">
        <v>14737.45</v>
      </c>
      <c r="I674" s="35">
        <v>13124.55</v>
      </c>
      <c r="J674" s="35">
        <v>1612.9</v>
      </c>
      <c r="K674" s="37">
        <v>45634</v>
      </c>
      <c r="L674" s="37">
        <v>45641</v>
      </c>
      <c r="M674" s="35" t="s">
        <v>58</v>
      </c>
      <c r="N674" s="35">
        <v>3</v>
      </c>
      <c r="O674" s="35" t="s">
        <v>246</v>
      </c>
      <c r="P674" s="35">
        <v>6.2</v>
      </c>
    </row>
    <row r="675" spans="1:16" ht="15.75" customHeight="1" x14ac:dyDescent="0.3">
      <c r="A675" s="35" t="s">
        <v>1619</v>
      </c>
      <c r="B675" s="35" t="s">
        <v>1620</v>
      </c>
      <c r="C675" s="35" t="s">
        <v>219</v>
      </c>
      <c r="D675" s="35" t="s">
        <v>43</v>
      </c>
      <c r="E675" s="35" t="s">
        <v>44</v>
      </c>
      <c r="F675" s="35">
        <v>14</v>
      </c>
      <c r="G675" s="35">
        <v>4927.67</v>
      </c>
      <c r="H675" s="35">
        <v>68987.38</v>
      </c>
      <c r="I675" s="35">
        <v>34620.76</v>
      </c>
      <c r="J675" s="35">
        <v>34366.620000000003</v>
      </c>
      <c r="K675" s="37">
        <v>45547</v>
      </c>
      <c r="L675" s="37">
        <v>45550</v>
      </c>
      <c r="M675" s="35" t="s">
        <v>38</v>
      </c>
      <c r="N675" s="35">
        <v>4</v>
      </c>
      <c r="O675" s="35" t="s">
        <v>220</v>
      </c>
      <c r="P675" s="35">
        <v>9.4</v>
      </c>
    </row>
    <row r="676" spans="1:16" ht="15.75" customHeight="1" x14ac:dyDescent="0.3">
      <c r="A676" s="35" t="s">
        <v>1621</v>
      </c>
      <c r="B676" s="35" t="s">
        <v>1622</v>
      </c>
      <c r="C676" s="35" t="s">
        <v>30</v>
      </c>
      <c r="D676" s="35" t="s">
        <v>31</v>
      </c>
      <c r="E676" s="35" t="s">
        <v>20</v>
      </c>
      <c r="F676" s="35">
        <v>15</v>
      </c>
      <c r="G676" s="35">
        <v>213.05</v>
      </c>
      <c r="H676" s="35">
        <v>3195.75</v>
      </c>
      <c r="I676" s="35">
        <v>1921.61</v>
      </c>
      <c r="J676" s="35">
        <v>1274.1400000000001</v>
      </c>
      <c r="K676" s="37">
        <v>45788</v>
      </c>
      <c r="L676" s="37">
        <v>45798</v>
      </c>
      <c r="M676" s="35" t="s">
        <v>69</v>
      </c>
      <c r="N676" s="35">
        <v>3</v>
      </c>
      <c r="O676" s="35" t="s">
        <v>620</v>
      </c>
      <c r="P676" s="35">
        <v>7.9</v>
      </c>
    </row>
    <row r="677" spans="1:16" ht="15.75" customHeight="1" x14ac:dyDescent="0.3">
      <c r="A677" s="35" t="s">
        <v>1623</v>
      </c>
      <c r="B677" s="35" t="s">
        <v>1624</v>
      </c>
      <c r="C677" s="35" t="s">
        <v>49</v>
      </c>
      <c r="D677" s="35" t="s">
        <v>43</v>
      </c>
      <c r="E677" s="35" t="s">
        <v>25</v>
      </c>
      <c r="F677" s="35">
        <v>9</v>
      </c>
      <c r="G677" s="35">
        <v>3537.52</v>
      </c>
      <c r="H677" s="35">
        <v>31837.68</v>
      </c>
      <c r="I677" s="35">
        <v>20208.38</v>
      </c>
      <c r="J677" s="35">
        <v>11629.3</v>
      </c>
      <c r="K677" s="37">
        <v>45948</v>
      </c>
      <c r="L677" s="37">
        <v>45953</v>
      </c>
      <c r="M677" s="35" t="s">
        <v>21</v>
      </c>
      <c r="N677" s="35">
        <v>4</v>
      </c>
      <c r="O677" s="35" t="s">
        <v>205</v>
      </c>
      <c r="P677" s="35">
        <v>8.5</v>
      </c>
    </row>
    <row r="678" spans="1:16" ht="15.75" customHeight="1" x14ac:dyDescent="0.3">
      <c r="A678" s="35" t="s">
        <v>1625</v>
      </c>
      <c r="B678" s="35" t="s">
        <v>1626</v>
      </c>
      <c r="C678" s="35" t="s">
        <v>168</v>
      </c>
      <c r="D678" s="35" t="s">
        <v>43</v>
      </c>
      <c r="E678" s="35" t="s">
        <v>20</v>
      </c>
      <c r="F678" s="35">
        <v>8</v>
      </c>
      <c r="G678" s="35">
        <v>505.96</v>
      </c>
      <c r="H678" s="35">
        <v>4047.68</v>
      </c>
      <c r="I678" s="35">
        <v>2341.89</v>
      </c>
      <c r="J678" s="35">
        <v>1705.79</v>
      </c>
      <c r="K678" s="37">
        <v>45790</v>
      </c>
      <c r="L678" s="37">
        <v>45794</v>
      </c>
      <c r="M678" s="35" t="s">
        <v>45</v>
      </c>
      <c r="N678" s="35">
        <v>3</v>
      </c>
      <c r="O678" s="35" t="s">
        <v>818</v>
      </c>
      <c r="P678" s="35">
        <v>7.4</v>
      </c>
    </row>
    <row r="679" spans="1:16" ht="15.75" customHeight="1" x14ac:dyDescent="0.3">
      <c r="A679" s="35" t="s">
        <v>1627</v>
      </c>
      <c r="B679" s="35" t="s">
        <v>1628</v>
      </c>
      <c r="C679" s="35" t="s">
        <v>144</v>
      </c>
      <c r="D679" s="35" t="s">
        <v>19</v>
      </c>
      <c r="E679" s="35" t="s">
        <v>44</v>
      </c>
      <c r="F679" s="35">
        <v>10</v>
      </c>
      <c r="G679" s="35">
        <v>2258.54</v>
      </c>
      <c r="H679" s="35">
        <v>22585.4</v>
      </c>
      <c r="I679" s="35">
        <v>14570.55</v>
      </c>
      <c r="J679" s="35">
        <v>8014.85</v>
      </c>
      <c r="K679" s="37">
        <v>45718</v>
      </c>
      <c r="L679" s="37">
        <v>45721</v>
      </c>
      <c r="M679" s="35" t="s">
        <v>38</v>
      </c>
      <c r="N679" s="35">
        <v>3</v>
      </c>
      <c r="O679" s="35" t="s">
        <v>998</v>
      </c>
      <c r="P679" s="35">
        <v>9.8000000000000007</v>
      </c>
    </row>
    <row r="680" spans="1:16" ht="15.75" customHeight="1" x14ac:dyDescent="0.3">
      <c r="A680" s="35" t="s">
        <v>1629</v>
      </c>
      <c r="B680" s="35" t="s">
        <v>1630</v>
      </c>
      <c r="C680" s="35" t="s">
        <v>95</v>
      </c>
      <c r="D680" s="35" t="s">
        <v>19</v>
      </c>
      <c r="E680" s="35" t="s">
        <v>25</v>
      </c>
      <c r="F680" s="35">
        <v>20</v>
      </c>
      <c r="G680" s="35">
        <v>1211.0999999999999</v>
      </c>
      <c r="H680" s="35">
        <v>24222</v>
      </c>
      <c r="I680" s="35">
        <v>20145.59</v>
      </c>
      <c r="J680" s="35">
        <v>4076.41</v>
      </c>
      <c r="K680" s="37">
        <v>46077</v>
      </c>
      <c r="L680" s="37">
        <v>46081</v>
      </c>
      <c r="M680" s="35" t="s">
        <v>33</v>
      </c>
      <c r="N680" s="35">
        <v>4</v>
      </c>
      <c r="O680" s="35" t="s">
        <v>1035</v>
      </c>
      <c r="P680" s="35">
        <v>8.6999999999999993</v>
      </c>
    </row>
    <row r="681" spans="1:16" ht="15.75" customHeight="1" x14ac:dyDescent="0.3">
      <c r="A681" s="35" t="s">
        <v>1631</v>
      </c>
      <c r="B681" s="35" t="s">
        <v>1632</v>
      </c>
      <c r="C681" s="35" t="s">
        <v>72</v>
      </c>
      <c r="D681" s="35" t="s">
        <v>31</v>
      </c>
      <c r="E681" s="35" t="s">
        <v>20</v>
      </c>
      <c r="F681" s="35">
        <v>14</v>
      </c>
      <c r="G681" s="35">
        <v>1690.98</v>
      </c>
      <c r="H681" s="35">
        <v>23673.72</v>
      </c>
      <c r="I681" s="35">
        <v>14197.97</v>
      </c>
      <c r="J681" s="35">
        <v>9475.75</v>
      </c>
      <c r="K681" s="37">
        <v>45729</v>
      </c>
      <c r="L681" s="37">
        <v>45734</v>
      </c>
      <c r="M681" s="35" t="s">
        <v>50</v>
      </c>
      <c r="N681" s="35">
        <v>5</v>
      </c>
      <c r="O681" s="35" t="s">
        <v>918</v>
      </c>
      <c r="P681" s="35">
        <v>8.4</v>
      </c>
    </row>
    <row r="682" spans="1:16" ht="15.75" customHeight="1" x14ac:dyDescent="0.3">
      <c r="A682" s="35" t="s">
        <v>1633</v>
      </c>
      <c r="B682" s="35" t="s">
        <v>1634</v>
      </c>
      <c r="C682" s="35" t="s">
        <v>219</v>
      </c>
      <c r="D682" s="35" t="s">
        <v>43</v>
      </c>
      <c r="E682" s="35" t="s">
        <v>32</v>
      </c>
      <c r="F682" s="35">
        <v>20</v>
      </c>
      <c r="G682" s="35">
        <v>3230.61</v>
      </c>
      <c r="H682" s="35">
        <v>64612.2</v>
      </c>
      <c r="I682" s="35">
        <v>39750.86</v>
      </c>
      <c r="J682" s="35">
        <v>24861.34</v>
      </c>
      <c r="K682" s="37">
        <v>46065</v>
      </c>
      <c r="L682" s="37">
        <v>46068</v>
      </c>
      <c r="M682" s="35" t="s">
        <v>33</v>
      </c>
      <c r="N682" s="35">
        <v>5</v>
      </c>
      <c r="O682" s="35" t="s">
        <v>1268</v>
      </c>
      <c r="P682" s="35">
        <v>6</v>
      </c>
    </row>
    <row r="683" spans="1:16" ht="15.75" customHeight="1" x14ac:dyDescent="0.3">
      <c r="A683" s="35" t="s">
        <v>1635</v>
      </c>
      <c r="B683" s="35" t="s">
        <v>1636</v>
      </c>
      <c r="C683" s="35" t="s">
        <v>57</v>
      </c>
      <c r="D683" s="35" t="s">
        <v>19</v>
      </c>
      <c r="E683" s="35" t="s">
        <v>25</v>
      </c>
      <c r="F683" s="35">
        <v>2</v>
      </c>
      <c r="G683" s="35">
        <v>2107.15</v>
      </c>
      <c r="H683" s="35">
        <v>4214.3</v>
      </c>
      <c r="I683" s="35">
        <v>2305.87</v>
      </c>
      <c r="J683" s="35">
        <v>1908.43</v>
      </c>
      <c r="K683" s="37">
        <v>45897</v>
      </c>
      <c r="L683" s="37">
        <v>45903</v>
      </c>
      <c r="M683" s="35" t="s">
        <v>38</v>
      </c>
      <c r="N683" s="35">
        <v>4</v>
      </c>
      <c r="O683" s="35" t="s">
        <v>196</v>
      </c>
      <c r="P683" s="35">
        <v>7.2</v>
      </c>
    </row>
    <row r="684" spans="1:16" ht="15.75" customHeight="1" x14ac:dyDescent="0.3">
      <c r="A684" s="35" t="s">
        <v>1637</v>
      </c>
      <c r="B684" s="35" t="s">
        <v>1638</v>
      </c>
      <c r="C684" s="35" t="s">
        <v>168</v>
      </c>
      <c r="D684" s="35" t="s">
        <v>43</v>
      </c>
      <c r="E684" s="35" t="s">
        <v>25</v>
      </c>
      <c r="F684" s="35">
        <v>13</v>
      </c>
      <c r="G684" s="35">
        <v>4446.83</v>
      </c>
      <c r="H684" s="35">
        <v>57808.79</v>
      </c>
      <c r="I684" s="35">
        <v>51616.38</v>
      </c>
      <c r="J684" s="35">
        <v>6192.41</v>
      </c>
      <c r="K684" s="37">
        <v>45616</v>
      </c>
      <c r="L684" s="37">
        <v>45620</v>
      </c>
      <c r="M684" s="35" t="s">
        <v>181</v>
      </c>
      <c r="N684" s="35">
        <v>4</v>
      </c>
      <c r="O684" s="35" t="s">
        <v>496</v>
      </c>
      <c r="P684" s="35">
        <v>9.5</v>
      </c>
    </row>
    <row r="685" spans="1:16" ht="15.75" customHeight="1" x14ac:dyDescent="0.3">
      <c r="A685" s="35" t="s">
        <v>1639</v>
      </c>
      <c r="B685" s="35" t="s">
        <v>1640</v>
      </c>
      <c r="C685" s="35" t="s">
        <v>37</v>
      </c>
      <c r="D685" s="35" t="s">
        <v>19</v>
      </c>
      <c r="E685" s="35" t="s">
        <v>25</v>
      </c>
      <c r="F685" s="35">
        <v>11</v>
      </c>
      <c r="G685" s="35">
        <v>4497.1499999999996</v>
      </c>
      <c r="H685" s="35">
        <v>49468.65</v>
      </c>
      <c r="I685" s="35">
        <v>43472.98</v>
      </c>
      <c r="J685" s="35">
        <v>5995.67</v>
      </c>
      <c r="K685" s="37">
        <v>45821</v>
      </c>
      <c r="L685" s="37">
        <v>45823</v>
      </c>
      <c r="M685" s="35" t="s">
        <v>21</v>
      </c>
      <c r="N685" s="35">
        <v>5</v>
      </c>
      <c r="O685" s="35" t="s">
        <v>452</v>
      </c>
      <c r="P685" s="35">
        <v>9.9</v>
      </c>
    </row>
    <row r="686" spans="1:16" ht="15.75" customHeight="1" x14ac:dyDescent="0.3">
      <c r="A686" s="35" t="s">
        <v>1641</v>
      </c>
      <c r="B686" s="35" t="s">
        <v>1642</v>
      </c>
      <c r="C686" s="35" t="s">
        <v>168</v>
      </c>
      <c r="D686" s="35" t="s">
        <v>43</v>
      </c>
      <c r="E686" s="35" t="s">
        <v>32</v>
      </c>
      <c r="F686" s="35">
        <v>3</v>
      </c>
      <c r="G686" s="35">
        <v>4876.67</v>
      </c>
      <c r="H686" s="35">
        <v>14630.01</v>
      </c>
      <c r="I686" s="35">
        <v>8166.18</v>
      </c>
      <c r="J686" s="35">
        <v>6463.83</v>
      </c>
      <c r="K686" s="37">
        <v>46106</v>
      </c>
      <c r="L686" s="37">
        <v>46109</v>
      </c>
      <c r="M686" s="35" t="s">
        <v>50</v>
      </c>
      <c r="N686" s="35">
        <v>5</v>
      </c>
      <c r="O686" s="35" t="s">
        <v>99</v>
      </c>
      <c r="P686" s="35">
        <v>7.7</v>
      </c>
    </row>
    <row r="687" spans="1:16" ht="15.75" customHeight="1" x14ac:dyDescent="0.3">
      <c r="A687" s="35" t="s">
        <v>1643</v>
      </c>
      <c r="B687" s="35" t="s">
        <v>1644</v>
      </c>
      <c r="C687" s="35" t="s">
        <v>139</v>
      </c>
      <c r="D687" s="35" t="s">
        <v>31</v>
      </c>
      <c r="E687" s="35" t="s">
        <v>20</v>
      </c>
      <c r="F687" s="35">
        <v>9</v>
      </c>
      <c r="G687" s="35">
        <v>94.94</v>
      </c>
      <c r="H687" s="35">
        <v>854.46</v>
      </c>
      <c r="I687" s="35">
        <v>512.67999999999995</v>
      </c>
      <c r="J687" s="35">
        <v>341.78</v>
      </c>
      <c r="K687" s="37">
        <v>45531</v>
      </c>
      <c r="L687" s="37">
        <v>45540</v>
      </c>
      <c r="M687" s="35" t="s">
        <v>21</v>
      </c>
      <c r="N687" s="35">
        <v>5</v>
      </c>
      <c r="O687" s="35" t="s">
        <v>1645</v>
      </c>
      <c r="P687" s="35">
        <v>7.2</v>
      </c>
    </row>
    <row r="688" spans="1:16" ht="15.75" customHeight="1" x14ac:dyDescent="0.3">
      <c r="A688" s="35" t="s">
        <v>1646</v>
      </c>
      <c r="B688" s="35" t="s">
        <v>1647</v>
      </c>
      <c r="C688" s="35" t="s">
        <v>95</v>
      </c>
      <c r="D688" s="35" t="s">
        <v>19</v>
      </c>
      <c r="E688" s="35" t="s">
        <v>44</v>
      </c>
      <c r="F688" s="35">
        <v>6</v>
      </c>
      <c r="G688" s="35">
        <v>4476.4799999999996</v>
      </c>
      <c r="H688" s="35">
        <v>26858.880000000001</v>
      </c>
      <c r="I688" s="35">
        <v>22384.720000000001</v>
      </c>
      <c r="J688" s="35">
        <v>4474.16</v>
      </c>
      <c r="K688" s="37">
        <v>45499</v>
      </c>
      <c r="L688" s="37">
        <v>45501</v>
      </c>
      <c r="M688" s="35" t="s">
        <v>50</v>
      </c>
      <c r="N688" s="35">
        <v>5</v>
      </c>
      <c r="O688" s="35" t="s">
        <v>313</v>
      </c>
      <c r="P688" s="35">
        <v>7.4</v>
      </c>
    </row>
    <row r="689" spans="1:16" ht="15.75" customHeight="1" x14ac:dyDescent="0.3">
      <c r="A689" s="35" t="s">
        <v>1648</v>
      </c>
      <c r="B689" s="35" t="s">
        <v>1649</v>
      </c>
      <c r="C689" s="35" t="s">
        <v>168</v>
      </c>
      <c r="D689" s="35" t="s">
        <v>43</v>
      </c>
      <c r="E689" s="35" t="s">
        <v>44</v>
      </c>
      <c r="F689" s="35">
        <v>16</v>
      </c>
      <c r="G689" s="35">
        <v>3224.87</v>
      </c>
      <c r="H689" s="35">
        <v>51597.919999999998</v>
      </c>
      <c r="I689" s="35">
        <v>42150.86</v>
      </c>
      <c r="J689" s="35">
        <v>9447.06</v>
      </c>
      <c r="K689" s="37">
        <v>45955</v>
      </c>
      <c r="L689" s="37">
        <v>45963</v>
      </c>
      <c r="M689" s="35" t="s">
        <v>69</v>
      </c>
      <c r="N689" s="35">
        <v>4</v>
      </c>
      <c r="O689" s="35" t="s">
        <v>512</v>
      </c>
      <c r="P689" s="35">
        <v>8.1999999999999993</v>
      </c>
    </row>
    <row r="690" spans="1:16" ht="15.75" customHeight="1" x14ac:dyDescent="0.3">
      <c r="A690" s="35" t="s">
        <v>1650</v>
      </c>
      <c r="B690" s="35" t="s">
        <v>1651</v>
      </c>
      <c r="C690" s="35" t="s">
        <v>57</v>
      </c>
      <c r="D690" s="35" t="s">
        <v>19</v>
      </c>
      <c r="E690" s="35" t="s">
        <v>44</v>
      </c>
      <c r="F690" s="35">
        <v>9</v>
      </c>
      <c r="G690" s="35">
        <v>1590.57</v>
      </c>
      <c r="H690" s="35">
        <v>14315.13</v>
      </c>
      <c r="I690" s="35">
        <v>12010.83</v>
      </c>
      <c r="J690" s="35">
        <v>2304.3000000000002</v>
      </c>
      <c r="K690" s="37">
        <v>46110</v>
      </c>
      <c r="L690" s="37">
        <v>46118</v>
      </c>
      <c r="M690" s="35" t="s">
        <v>181</v>
      </c>
      <c r="N690" s="35">
        <v>4</v>
      </c>
      <c r="O690" s="35" t="s">
        <v>1297</v>
      </c>
      <c r="P690" s="35">
        <v>9.4</v>
      </c>
    </row>
    <row r="691" spans="1:16" ht="15.75" customHeight="1" x14ac:dyDescent="0.3">
      <c r="A691" s="35" t="s">
        <v>1652</v>
      </c>
      <c r="B691" s="35" t="s">
        <v>1653</v>
      </c>
      <c r="C691" s="35" t="s">
        <v>95</v>
      </c>
      <c r="D691" s="35" t="s">
        <v>19</v>
      </c>
      <c r="E691" s="35" t="s">
        <v>32</v>
      </c>
      <c r="F691" s="35">
        <v>20</v>
      </c>
      <c r="G691" s="35">
        <v>617.29999999999995</v>
      </c>
      <c r="H691" s="35">
        <v>12346</v>
      </c>
      <c r="I691" s="35">
        <v>6979.19</v>
      </c>
      <c r="J691" s="35">
        <v>5366.81</v>
      </c>
      <c r="K691" s="37">
        <v>46106</v>
      </c>
      <c r="L691" s="37">
        <v>46111</v>
      </c>
      <c r="M691" s="35" t="s">
        <v>45</v>
      </c>
      <c r="N691" s="35">
        <v>2</v>
      </c>
      <c r="O691" s="35" t="s">
        <v>102</v>
      </c>
      <c r="P691" s="35">
        <v>7.8</v>
      </c>
    </row>
    <row r="692" spans="1:16" ht="15.75" customHeight="1" x14ac:dyDescent="0.3">
      <c r="A692" s="35" t="s">
        <v>1654</v>
      </c>
      <c r="B692" s="35" t="s">
        <v>1655</v>
      </c>
      <c r="C692" s="35" t="s">
        <v>88</v>
      </c>
      <c r="D692" s="35" t="s">
        <v>31</v>
      </c>
      <c r="E692" s="35" t="s">
        <v>44</v>
      </c>
      <c r="F692" s="35">
        <v>6</v>
      </c>
      <c r="G692" s="35">
        <v>2111.0100000000002</v>
      </c>
      <c r="H692" s="35">
        <v>12666.06</v>
      </c>
      <c r="I692" s="35">
        <v>7568.02</v>
      </c>
      <c r="J692" s="35">
        <v>5098.04</v>
      </c>
      <c r="K692" s="37">
        <v>46023</v>
      </c>
      <c r="L692" s="37">
        <v>46033</v>
      </c>
      <c r="M692" s="35" t="s">
        <v>21</v>
      </c>
      <c r="N692" s="35">
        <v>3</v>
      </c>
      <c r="O692" s="35" t="s">
        <v>145</v>
      </c>
      <c r="P692" s="35">
        <v>8.1999999999999993</v>
      </c>
    </row>
    <row r="693" spans="1:16" ht="15.75" customHeight="1" x14ac:dyDescent="0.3">
      <c r="A693" s="35" t="s">
        <v>1656</v>
      </c>
      <c r="B693" s="35" t="s">
        <v>1657</v>
      </c>
      <c r="C693" s="35" t="s">
        <v>219</v>
      </c>
      <c r="D693" s="35" t="s">
        <v>43</v>
      </c>
      <c r="E693" s="35" t="s">
        <v>25</v>
      </c>
      <c r="F693" s="35">
        <v>15</v>
      </c>
      <c r="G693" s="35">
        <v>1071.02</v>
      </c>
      <c r="H693" s="35">
        <v>16065.3</v>
      </c>
      <c r="I693" s="35">
        <v>13867.83</v>
      </c>
      <c r="J693" s="35">
        <v>2197.4699999999998</v>
      </c>
      <c r="K693" s="37">
        <v>45764</v>
      </c>
      <c r="L693" s="37">
        <v>45768</v>
      </c>
      <c r="M693" s="35" t="s">
        <v>58</v>
      </c>
      <c r="N693" s="35">
        <v>1</v>
      </c>
      <c r="O693" s="35" t="s">
        <v>899</v>
      </c>
      <c r="P693" s="35">
        <v>6.2</v>
      </c>
    </row>
    <row r="694" spans="1:16" ht="15.75" customHeight="1" x14ac:dyDescent="0.3">
      <c r="A694" s="35" t="s">
        <v>1658</v>
      </c>
      <c r="B694" s="35" t="s">
        <v>1659</v>
      </c>
      <c r="C694" s="35" t="s">
        <v>139</v>
      </c>
      <c r="D694" s="35" t="s">
        <v>31</v>
      </c>
      <c r="E694" s="35" t="s">
        <v>32</v>
      </c>
      <c r="F694" s="35">
        <v>12</v>
      </c>
      <c r="G694" s="35">
        <v>3092.12</v>
      </c>
      <c r="H694" s="35">
        <v>37105.440000000002</v>
      </c>
      <c r="I694" s="35">
        <v>28552.68</v>
      </c>
      <c r="J694" s="35">
        <v>8552.76</v>
      </c>
      <c r="K694" s="37">
        <v>46139</v>
      </c>
      <c r="L694" s="37">
        <v>46141</v>
      </c>
      <c r="M694" s="35" t="s">
        <v>69</v>
      </c>
      <c r="N694" s="35">
        <v>2</v>
      </c>
      <c r="O694" s="35" t="s">
        <v>452</v>
      </c>
      <c r="P694" s="35">
        <v>7.1</v>
      </c>
    </row>
    <row r="695" spans="1:16" ht="15.75" customHeight="1" x14ac:dyDescent="0.3">
      <c r="A695" s="35" t="s">
        <v>1660</v>
      </c>
      <c r="B695" s="35" t="s">
        <v>1661</v>
      </c>
      <c r="C695" s="35" t="s">
        <v>144</v>
      </c>
      <c r="D695" s="35" t="s">
        <v>19</v>
      </c>
      <c r="E695" s="35" t="s">
        <v>20</v>
      </c>
      <c r="F695" s="35">
        <v>20</v>
      </c>
      <c r="G695" s="35">
        <v>4823.58</v>
      </c>
      <c r="H695" s="35">
        <v>96471.6</v>
      </c>
      <c r="I695" s="35">
        <v>58982.83</v>
      </c>
      <c r="J695" s="35">
        <v>37488.769999999997</v>
      </c>
      <c r="K695" s="37">
        <v>45714</v>
      </c>
      <c r="L695" s="37">
        <v>45724</v>
      </c>
      <c r="M695" s="35" t="s">
        <v>21</v>
      </c>
      <c r="N695" s="35">
        <v>5</v>
      </c>
      <c r="O695" s="35" t="s">
        <v>604</v>
      </c>
      <c r="P695" s="35">
        <v>6.1</v>
      </c>
    </row>
    <row r="696" spans="1:16" ht="15.75" customHeight="1" x14ac:dyDescent="0.3">
      <c r="A696" s="35" t="s">
        <v>1662</v>
      </c>
      <c r="B696" s="35" t="s">
        <v>1663</v>
      </c>
      <c r="C696" s="35" t="s">
        <v>168</v>
      </c>
      <c r="D696" s="35" t="s">
        <v>43</v>
      </c>
      <c r="E696" s="35" t="s">
        <v>25</v>
      </c>
      <c r="F696" s="35">
        <v>7</v>
      </c>
      <c r="G696" s="35">
        <v>177.16</v>
      </c>
      <c r="H696" s="35">
        <v>1240.1199999999999</v>
      </c>
      <c r="I696" s="35">
        <v>651.82000000000005</v>
      </c>
      <c r="J696" s="35">
        <v>588.29999999999995</v>
      </c>
      <c r="K696" s="37">
        <v>45991</v>
      </c>
      <c r="L696" s="37">
        <v>45993</v>
      </c>
      <c r="M696" s="35" t="s">
        <v>50</v>
      </c>
      <c r="N696" s="35">
        <v>2</v>
      </c>
      <c r="O696" s="35" t="s">
        <v>220</v>
      </c>
      <c r="P696" s="35">
        <v>7.5</v>
      </c>
    </row>
    <row r="697" spans="1:16" ht="15.75" customHeight="1" x14ac:dyDescent="0.3">
      <c r="A697" s="35" t="s">
        <v>1664</v>
      </c>
      <c r="B697" s="35" t="s">
        <v>1665</v>
      </c>
      <c r="C697" s="35" t="s">
        <v>95</v>
      </c>
      <c r="D697" s="35" t="s">
        <v>19</v>
      </c>
      <c r="E697" s="35" t="s">
        <v>25</v>
      </c>
      <c r="F697" s="35">
        <v>16</v>
      </c>
      <c r="G697" s="35">
        <v>1706.56</v>
      </c>
      <c r="H697" s="35">
        <v>27304.959999999999</v>
      </c>
      <c r="I697" s="35">
        <v>21442.19</v>
      </c>
      <c r="J697" s="35">
        <v>5862.77</v>
      </c>
      <c r="K697" s="37">
        <v>46054</v>
      </c>
      <c r="L697" s="37">
        <v>46056</v>
      </c>
      <c r="M697" s="35" t="s">
        <v>26</v>
      </c>
      <c r="N697" s="35">
        <v>4</v>
      </c>
      <c r="O697" s="35" t="s">
        <v>254</v>
      </c>
      <c r="P697" s="35">
        <v>6.7</v>
      </c>
    </row>
    <row r="698" spans="1:16" ht="15.75" customHeight="1" x14ac:dyDescent="0.3">
      <c r="A698" s="35" t="s">
        <v>1666</v>
      </c>
      <c r="B698" s="35" t="s">
        <v>1667</v>
      </c>
      <c r="C698" s="35" t="s">
        <v>49</v>
      </c>
      <c r="D698" s="35" t="s">
        <v>43</v>
      </c>
      <c r="E698" s="35" t="s">
        <v>25</v>
      </c>
      <c r="F698" s="35">
        <v>15</v>
      </c>
      <c r="G698" s="35">
        <v>3981.96</v>
      </c>
      <c r="H698" s="35">
        <v>59729.4</v>
      </c>
      <c r="I698" s="35">
        <v>34802.69</v>
      </c>
      <c r="J698" s="35">
        <v>24926.71</v>
      </c>
      <c r="K698" s="37">
        <v>45713</v>
      </c>
      <c r="L698" s="37">
        <v>45718</v>
      </c>
      <c r="M698" s="35" t="s">
        <v>50</v>
      </c>
      <c r="N698" s="35">
        <v>5</v>
      </c>
      <c r="O698" s="35" t="s">
        <v>313</v>
      </c>
      <c r="P698" s="35">
        <v>7.9</v>
      </c>
    </row>
    <row r="699" spans="1:16" ht="15.75" customHeight="1" x14ac:dyDescent="0.3">
      <c r="A699" s="35" t="s">
        <v>1668</v>
      </c>
      <c r="B699" s="35" t="s">
        <v>1669</v>
      </c>
      <c r="C699" s="35" t="s">
        <v>144</v>
      </c>
      <c r="D699" s="35" t="s">
        <v>19</v>
      </c>
      <c r="E699" s="35" t="s">
        <v>32</v>
      </c>
      <c r="F699" s="35">
        <v>4</v>
      </c>
      <c r="G699" s="35">
        <v>2855.46</v>
      </c>
      <c r="H699" s="35">
        <v>11421.84</v>
      </c>
      <c r="I699" s="35">
        <v>8810.9</v>
      </c>
      <c r="J699" s="35">
        <v>2610.94</v>
      </c>
      <c r="K699" s="37">
        <v>45973</v>
      </c>
      <c r="L699" s="37">
        <v>45979</v>
      </c>
      <c r="M699" s="35" t="s">
        <v>21</v>
      </c>
      <c r="N699" s="35">
        <v>1</v>
      </c>
      <c r="O699" s="35" t="s">
        <v>145</v>
      </c>
      <c r="P699" s="35">
        <v>6.9</v>
      </c>
    </row>
    <row r="700" spans="1:16" ht="15.75" customHeight="1" x14ac:dyDescent="0.3">
      <c r="A700" s="35" t="s">
        <v>1670</v>
      </c>
      <c r="B700" s="35" t="s">
        <v>1671</v>
      </c>
      <c r="C700" s="35" t="s">
        <v>42</v>
      </c>
      <c r="D700" s="35" t="s">
        <v>43</v>
      </c>
      <c r="E700" s="35" t="s">
        <v>20</v>
      </c>
      <c r="F700" s="35">
        <v>3</v>
      </c>
      <c r="G700" s="35">
        <v>1605.28</v>
      </c>
      <c r="H700" s="35">
        <v>4815.84</v>
      </c>
      <c r="I700" s="35">
        <v>3054.29</v>
      </c>
      <c r="J700" s="35">
        <v>1761.55</v>
      </c>
      <c r="K700" s="37">
        <v>45630</v>
      </c>
      <c r="L700" s="37">
        <v>45634</v>
      </c>
      <c r="M700" s="35" t="s">
        <v>50</v>
      </c>
      <c r="N700" s="35">
        <v>2</v>
      </c>
      <c r="O700" s="35" t="s">
        <v>515</v>
      </c>
      <c r="P700" s="35">
        <v>8.8000000000000007</v>
      </c>
    </row>
    <row r="701" spans="1:16" ht="15.75" customHeight="1" x14ac:dyDescent="0.3">
      <c r="A701" s="35" t="s">
        <v>1672</v>
      </c>
      <c r="B701" s="35" t="s">
        <v>1673</v>
      </c>
      <c r="C701" s="35" t="s">
        <v>57</v>
      </c>
      <c r="D701" s="35" t="s">
        <v>19</v>
      </c>
      <c r="E701" s="35" t="s">
        <v>20</v>
      </c>
      <c r="F701" s="35">
        <v>7</v>
      </c>
      <c r="G701" s="35">
        <v>2207.2199999999998</v>
      </c>
      <c r="H701" s="35">
        <v>15450.54</v>
      </c>
      <c r="I701" s="35">
        <v>11970.78</v>
      </c>
      <c r="J701" s="35">
        <v>3479.76</v>
      </c>
      <c r="K701" s="37">
        <v>45694</v>
      </c>
      <c r="L701" s="37">
        <v>45695</v>
      </c>
      <c r="M701" s="35" t="s">
        <v>123</v>
      </c>
      <c r="N701" s="35">
        <v>1</v>
      </c>
      <c r="O701" s="35" t="s">
        <v>370</v>
      </c>
      <c r="P701" s="35">
        <v>6.5</v>
      </c>
    </row>
    <row r="702" spans="1:16" ht="15.75" customHeight="1" x14ac:dyDescent="0.3">
      <c r="A702" s="35" t="s">
        <v>1674</v>
      </c>
      <c r="B702" s="35" t="s">
        <v>1675</v>
      </c>
      <c r="C702" s="35" t="s">
        <v>88</v>
      </c>
      <c r="D702" s="35" t="s">
        <v>31</v>
      </c>
      <c r="E702" s="35" t="s">
        <v>32</v>
      </c>
      <c r="F702" s="35">
        <v>12</v>
      </c>
      <c r="G702" s="35">
        <v>204.01</v>
      </c>
      <c r="H702" s="35">
        <v>2448.12</v>
      </c>
      <c r="I702" s="35">
        <v>1391.17</v>
      </c>
      <c r="J702" s="35">
        <v>1056.95</v>
      </c>
      <c r="K702" s="37">
        <v>45752</v>
      </c>
      <c r="L702" s="37">
        <v>45761</v>
      </c>
      <c r="M702" s="35" t="s">
        <v>50</v>
      </c>
      <c r="N702" s="35">
        <v>5</v>
      </c>
      <c r="O702" s="35" t="s">
        <v>496</v>
      </c>
      <c r="P702" s="35">
        <v>7.5</v>
      </c>
    </row>
    <row r="703" spans="1:16" ht="15.75" customHeight="1" x14ac:dyDescent="0.3">
      <c r="A703" s="35" t="s">
        <v>1676</v>
      </c>
      <c r="B703" s="35" t="s">
        <v>1677</v>
      </c>
      <c r="C703" s="35" t="s">
        <v>139</v>
      </c>
      <c r="D703" s="35" t="s">
        <v>31</v>
      </c>
      <c r="E703" s="35" t="s">
        <v>32</v>
      </c>
      <c r="F703" s="35">
        <v>15</v>
      </c>
      <c r="G703" s="35">
        <v>681.75</v>
      </c>
      <c r="H703" s="35">
        <v>10226.25</v>
      </c>
      <c r="I703" s="35">
        <v>8133.07</v>
      </c>
      <c r="J703" s="35">
        <v>2093.1799999999998</v>
      </c>
      <c r="K703" s="37">
        <v>45754</v>
      </c>
      <c r="L703" s="37">
        <v>45757</v>
      </c>
      <c r="M703" s="35" t="s">
        <v>21</v>
      </c>
      <c r="N703" s="35">
        <v>1</v>
      </c>
      <c r="O703" s="35" t="s">
        <v>683</v>
      </c>
      <c r="P703" s="35">
        <v>8.3000000000000007</v>
      </c>
    </row>
    <row r="704" spans="1:16" ht="15.75" customHeight="1" x14ac:dyDescent="0.3">
      <c r="A704" s="35" t="s">
        <v>1678</v>
      </c>
      <c r="B704" s="35" t="s">
        <v>1679</v>
      </c>
      <c r="C704" s="35" t="s">
        <v>144</v>
      </c>
      <c r="D704" s="35" t="s">
        <v>19</v>
      </c>
      <c r="E704" s="35" t="s">
        <v>25</v>
      </c>
      <c r="F704" s="35">
        <v>16</v>
      </c>
      <c r="G704" s="35">
        <v>1733.31</v>
      </c>
      <c r="H704" s="35">
        <v>27732.959999999999</v>
      </c>
      <c r="I704" s="35">
        <v>19384.46</v>
      </c>
      <c r="J704" s="35">
        <v>8348.5</v>
      </c>
      <c r="K704" s="37">
        <v>45792</v>
      </c>
      <c r="L704" s="37">
        <v>45795</v>
      </c>
      <c r="M704" s="35" t="s">
        <v>38</v>
      </c>
      <c r="N704" s="35">
        <v>2</v>
      </c>
      <c r="O704" s="35" t="s">
        <v>1035</v>
      </c>
      <c r="P704" s="35">
        <v>8.9</v>
      </c>
    </row>
    <row r="705" spans="1:16" ht="15.75" customHeight="1" x14ac:dyDescent="0.3">
      <c r="A705" s="35" t="s">
        <v>1680</v>
      </c>
      <c r="B705" s="35" t="s">
        <v>1681</v>
      </c>
      <c r="C705" s="35" t="s">
        <v>62</v>
      </c>
      <c r="D705" s="35" t="s">
        <v>31</v>
      </c>
      <c r="E705" s="35" t="s">
        <v>32</v>
      </c>
      <c r="F705" s="35">
        <v>18</v>
      </c>
      <c r="G705" s="35">
        <v>184.94</v>
      </c>
      <c r="H705" s="35">
        <v>3328.92</v>
      </c>
      <c r="I705" s="35">
        <v>1667.34</v>
      </c>
      <c r="J705" s="35">
        <v>1661.58</v>
      </c>
      <c r="K705" s="37">
        <v>46106</v>
      </c>
      <c r="L705" s="37">
        <v>46110</v>
      </c>
      <c r="M705" s="35" t="s">
        <v>181</v>
      </c>
      <c r="N705" s="35">
        <v>4</v>
      </c>
      <c r="O705" s="35" t="s">
        <v>663</v>
      </c>
      <c r="P705" s="35">
        <v>8.8000000000000007</v>
      </c>
    </row>
    <row r="706" spans="1:16" ht="15.75" customHeight="1" x14ac:dyDescent="0.3">
      <c r="A706" s="35" t="s">
        <v>1682</v>
      </c>
      <c r="B706" s="35" t="s">
        <v>1683</v>
      </c>
      <c r="C706" s="35" t="s">
        <v>62</v>
      </c>
      <c r="D706" s="35" t="s">
        <v>31</v>
      </c>
      <c r="E706" s="35" t="s">
        <v>44</v>
      </c>
      <c r="F706" s="35">
        <v>6</v>
      </c>
      <c r="G706" s="35">
        <v>1150.8599999999999</v>
      </c>
      <c r="H706" s="35">
        <v>6905.16</v>
      </c>
      <c r="I706" s="35">
        <v>5890.41</v>
      </c>
      <c r="J706" s="35">
        <v>1014.75</v>
      </c>
      <c r="K706" s="37">
        <v>45591</v>
      </c>
      <c r="L706" s="37">
        <v>45600</v>
      </c>
      <c r="M706" s="35" t="s">
        <v>58</v>
      </c>
      <c r="N706" s="35">
        <v>2</v>
      </c>
      <c r="O706" s="35" t="s">
        <v>59</v>
      </c>
      <c r="P706" s="35">
        <v>9.5</v>
      </c>
    </row>
    <row r="707" spans="1:16" ht="15.75" customHeight="1" x14ac:dyDescent="0.3">
      <c r="A707" s="35" t="s">
        <v>1684</v>
      </c>
      <c r="B707" s="35" t="s">
        <v>1685</v>
      </c>
      <c r="C707" s="35" t="s">
        <v>42</v>
      </c>
      <c r="D707" s="35" t="s">
        <v>43</v>
      </c>
      <c r="E707" s="35" t="s">
        <v>20</v>
      </c>
      <c r="F707" s="35">
        <v>18</v>
      </c>
      <c r="G707" s="35">
        <v>2873.48</v>
      </c>
      <c r="H707" s="35">
        <v>51722.64</v>
      </c>
      <c r="I707" s="35">
        <v>39164.21</v>
      </c>
      <c r="J707" s="35">
        <v>12558.43</v>
      </c>
      <c r="K707" s="37">
        <v>45963</v>
      </c>
      <c r="L707" s="37">
        <v>45970</v>
      </c>
      <c r="M707" s="35" t="s">
        <v>38</v>
      </c>
      <c r="N707" s="35">
        <v>4</v>
      </c>
      <c r="O707" s="35" t="s">
        <v>499</v>
      </c>
      <c r="P707" s="35">
        <v>6.2</v>
      </c>
    </row>
    <row r="708" spans="1:16" ht="15.75" customHeight="1" x14ac:dyDescent="0.3">
      <c r="A708" s="35" t="s">
        <v>1686</v>
      </c>
      <c r="B708" s="35" t="s">
        <v>1687</v>
      </c>
      <c r="C708" s="35" t="s">
        <v>30</v>
      </c>
      <c r="D708" s="35" t="s">
        <v>31</v>
      </c>
      <c r="E708" s="35" t="s">
        <v>20</v>
      </c>
      <c r="F708" s="35">
        <v>1</v>
      </c>
      <c r="G708" s="35">
        <v>3600.67</v>
      </c>
      <c r="H708" s="35">
        <v>3600.67</v>
      </c>
      <c r="I708" s="35">
        <v>2522.62</v>
      </c>
      <c r="J708" s="35">
        <v>1078.05</v>
      </c>
      <c r="K708" s="37">
        <v>45519</v>
      </c>
      <c r="L708" s="37">
        <v>45522</v>
      </c>
      <c r="M708" s="35" t="s">
        <v>26</v>
      </c>
      <c r="N708" s="35">
        <v>1</v>
      </c>
      <c r="O708" s="35" t="s">
        <v>888</v>
      </c>
      <c r="P708" s="35">
        <v>6.4</v>
      </c>
    </row>
    <row r="709" spans="1:16" ht="15.75" customHeight="1" x14ac:dyDescent="0.3">
      <c r="A709" s="35" t="s">
        <v>1688</v>
      </c>
      <c r="B709" s="35" t="s">
        <v>1689</v>
      </c>
      <c r="C709" s="35" t="s">
        <v>168</v>
      </c>
      <c r="D709" s="35" t="s">
        <v>43</v>
      </c>
      <c r="E709" s="35" t="s">
        <v>20</v>
      </c>
      <c r="F709" s="35">
        <v>4</v>
      </c>
      <c r="G709" s="35">
        <v>2457.9</v>
      </c>
      <c r="H709" s="35">
        <v>9831.6</v>
      </c>
      <c r="I709" s="35">
        <v>7110.21</v>
      </c>
      <c r="J709" s="35">
        <v>2721.39</v>
      </c>
      <c r="K709" s="37">
        <v>45881</v>
      </c>
      <c r="L709" s="37">
        <v>45884</v>
      </c>
      <c r="M709" s="35" t="s">
        <v>21</v>
      </c>
      <c r="N709" s="35">
        <v>5</v>
      </c>
      <c r="O709" s="35" t="s">
        <v>429</v>
      </c>
      <c r="P709" s="35">
        <v>6.8</v>
      </c>
    </row>
    <row r="710" spans="1:16" ht="15.75" customHeight="1" x14ac:dyDescent="0.3">
      <c r="A710" s="35" t="s">
        <v>1690</v>
      </c>
      <c r="B710" s="35" t="s">
        <v>1691</v>
      </c>
      <c r="C710" s="35" t="s">
        <v>37</v>
      </c>
      <c r="D710" s="35" t="s">
        <v>19</v>
      </c>
      <c r="E710" s="35" t="s">
        <v>25</v>
      </c>
      <c r="F710" s="35">
        <v>13</v>
      </c>
      <c r="G710" s="35">
        <v>529.57000000000005</v>
      </c>
      <c r="H710" s="35">
        <v>6884.41</v>
      </c>
      <c r="I710" s="35">
        <v>4974.62</v>
      </c>
      <c r="J710" s="35">
        <v>1909.79</v>
      </c>
      <c r="K710" s="37">
        <v>45689</v>
      </c>
      <c r="L710" s="37">
        <v>45692</v>
      </c>
      <c r="M710" s="35" t="s">
        <v>45</v>
      </c>
      <c r="N710" s="35">
        <v>5</v>
      </c>
      <c r="O710" s="35" t="s">
        <v>281</v>
      </c>
      <c r="P710" s="35">
        <v>6.8</v>
      </c>
    </row>
    <row r="711" spans="1:16" ht="15.75" customHeight="1" x14ac:dyDescent="0.3">
      <c r="A711" s="35" t="s">
        <v>1692</v>
      </c>
      <c r="B711" s="35" t="s">
        <v>1693</v>
      </c>
      <c r="C711" s="35" t="s">
        <v>72</v>
      </c>
      <c r="D711" s="35" t="s">
        <v>31</v>
      </c>
      <c r="E711" s="35" t="s">
        <v>32</v>
      </c>
      <c r="F711" s="35">
        <v>16</v>
      </c>
      <c r="G711" s="35">
        <v>3051.06</v>
      </c>
      <c r="H711" s="35">
        <v>48816.959999999999</v>
      </c>
      <c r="I711" s="35">
        <v>25307.37</v>
      </c>
      <c r="J711" s="35">
        <v>23509.59</v>
      </c>
      <c r="K711" s="37">
        <v>46038</v>
      </c>
      <c r="L711" s="37">
        <v>46043</v>
      </c>
      <c r="M711" s="35" t="s">
        <v>50</v>
      </c>
      <c r="N711" s="35">
        <v>3</v>
      </c>
      <c r="O711" s="35" t="s">
        <v>46</v>
      </c>
      <c r="P711" s="35">
        <v>9.6</v>
      </c>
    </row>
    <row r="712" spans="1:16" ht="15.75" customHeight="1" x14ac:dyDescent="0.3">
      <c r="A712" s="35" t="s">
        <v>1694</v>
      </c>
      <c r="B712" s="35" t="s">
        <v>1695</v>
      </c>
      <c r="C712" s="35" t="s">
        <v>168</v>
      </c>
      <c r="D712" s="35" t="s">
        <v>43</v>
      </c>
      <c r="E712" s="35" t="s">
        <v>32</v>
      </c>
      <c r="F712" s="35">
        <v>18</v>
      </c>
      <c r="G712" s="35">
        <v>3644.55</v>
      </c>
      <c r="H712" s="35">
        <v>65601.899999999994</v>
      </c>
      <c r="I712" s="35">
        <v>45282.78</v>
      </c>
      <c r="J712" s="35">
        <v>20319.12</v>
      </c>
      <c r="K712" s="37">
        <v>45754</v>
      </c>
      <c r="L712" s="37">
        <v>45762</v>
      </c>
      <c r="M712" s="35" t="s">
        <v>50</v>
      </c>
      <c r="N712" s="35">
        <v>5</v>
      </c>
      <c r="O712" s="35" t="s">
        <v>1322</v>
      </c>
      <c r="P712" s="35">
        <v>7</v>
      </c>
    </row>
    <row r="713" spans="1:16" ht="15.75" customHeight="1" x14ac:dyDescent="0.3">
      <c r="A713" s="35" t="s">
        <v>1696</v>
      </c>
      <c r="B713" s="35" t="s">
        <v>1697</v>
      </c>
      <c r="C713" s="35" t="s">
        <v>88</v>
      </c>
      <c r="D713" s="35" t="s">
        <v>31</v>
      </c>
      <c r="E713" s="35" t="s">
        <v>25</v>
      </c>
      <c r="F713" s="35">
        <v>14</v>
      </c>
      <c r="G713" s="35">
        <v>4466.8599999999997</v>
      </c>
      <c r="H713" s="35">
        <v>62536.04</v>
      </c>
      <c r="I713" s="35">
        <v>51969.42</v>
      </c>
      <c r="J713" s="35">
        <v>10566.62</v>
      </c>
      <c r="K713" s="37">
        <v>46130</v>
      </c>
      <c r="L713" s="37">
        <v>46132</v>
      </c>
      <c r="M713" s="35" t="s">
        <v>181</v>
      </c>
      <c r="N713" s="35">
        <v>1</v>
      </c>
      <c r="O713" s="35" t="s">
        <v>63</v>
      </c>
      <c r="P713" s="35">
        <v>6.6</v>
      </c>
    </row>
    <row r="714" spans="1:16" ht="15.75" customHeight="1" x14ac:dyDescent="0.3">
      <c r="A714" s="35" t="s">
        <v>1698</v>
      </c>
      <c r="B714" s="35" t="s">
        <v>1699</v>
      </c>
      <c r="C714" s="35" t="s">
        <v>139</v>
      </c>
      <c r="D714" s="35" t="s">
        <v>31</v>
      </c>
      <c r="E714" s="35" t="s">
        <v>32</v>
      </c>
      <c r="F714" s="35">
        <v>9</v>
      </c>
      <c r="G714" s="35">
        <v>4128.21</v>
      </c>
      <c r="H714" s="35">
        <v>37153.89</v>
      </c>
      <c r="I714" s="35">
        <v>29179.82</v>
      </c>
      <c r="J714" s="35">
        <v>7974.07</v>
      </c>
      <c r="K714" s="37">
        <v>45627</v>
      </c>
      <c r="L714" s="37">
        <v>45629</v>
      </c>
      <c r="M714" s="35" t="s">
        <v>181</v>
      </c>
      <c r="N714" s="35">
        <v>5</v>
      </c>
      <c r="O714" s="35" t="s">
        <v>335</v>
      </c>
      <c r="P714" s="35">
        <v>7.1</v>
      </c>
    </row>
    <row r="715" spans="1:16" ht="15.75" customHeight="1" x14ac:dyDescent="0.3">
      <c r="A715" s="35" t="s">
        <v>1700</v>
      </c>
      <c r="B715" s="35" t="s">
        <v>1701</v>
      </c>
      <c r="C715" s="35" t="s">
        <v>42</v>
      </c>
      <c r="D715" s="35" t="s">
        <v>43</v>
      </c>
      <c r="E715" s="35" t="s">
        <v>44</v>
      </c>
      <c r="F715" s="35">
        <v>20</v>
      </c>
      <c r="G715" s="35">
        <v>426.81</v>
      </c>
      <c r="H715" s="35">
        <v>8536.2000000000007</v>
      </c>
      <c r="I715" s="35">
        <v>4271.46</v>
      </c>
      <c r="J715" s="35">
        <v>4264.74</v>
      </c>
      <c r="K715" s="37">
        <v>46074</v>
      </c>
      <c r="L715" s="37">
        <v>46081</v>
      </c>
      <c r="M715" s="35" t="s">
        <v>58</v>
      </c>
      <c r="N715" s="35">
        <v>1</v>
      </c>
      <c r="O715" s="35" t="s">
        <v>645</v>
      </c>
      <c r="P715" s="35">
        <v>7.3</v>
      </c>
    </row>
    <row r="716" spans="1:16" ht="15.75" customHeight="1" x14ac:dyDescent="0.3">
      <c r="A716" s="35" t="s">
        <v>1702</v>
      </c>
      <c r="B716" s="35" t="s">
        <v>1703</v>
      </c>
      <c r="C716" s="35" t="s">
        <v>139</v>
      </c>
      <c r="D716" s="35" t="s">
        <v>31</v>
      </c>
      <c r="E716" s="35" t="s">
        <v>32</v>
      </c>
      <c r="F716" s="35">
        <v>3</v>
      </c>
      <c r="G716" s="35">
        <v>4678.99</v>
      </c>
      <c r="H716" s="35">
        <v>14036.97</v>
      </c>
      <c r="I716" s="35">
        <v>8576.89</v>
      </c>
      <c r="J716" s="35">
        <v>5460.08</v>
      </c>
      <c r="K716" s="37">
        <v>45897</v>
      </c>
      <c r="L716" s="37">
        <v>45903</v>
      </c>
      <c r="M716" s="35" t="s">
        <v>50</v>
      </c>
      <c r="N716" s="35">
        <v>4</v>
      </c>
      <c r="O716" s="35" t="s">
        <v>548</v>
      </c>
      <c r="P716" s="35">
        <v>9.4</v>
      </c>
    </row>
    <row r="717" spans="1:16" ht="15.75" customHeight="1" x14ac:dyDescent="0.3">
      <c r="A717" s="35" t="s">
        <v>1704</v>
      </c>
      <c r="B717" s="35" t="s">
        <v>1705</v>
      </c>
      <c r="C717" s="35" t="s">
        <v>42</v>
      </c>
      <c r="D717" s="35" t="s">
        <v>43</v>
      </c>
      <c r="E717" s="35" t="s">
        <v>32</v>
      </c>
      <c r="F717" s="35">
        <v>5</v>
      </c>
      <c r="G717" s="35">
        <v>4594.55</v>
      </c>
      <c r="H717" s="35">
        <v>22972.75</v>
      </c>
      <c r="I717" s="35">
        <v>13818.85</v>
      </c>
      <c r="J717" s="35">
        <v>9153.9</v>
      </c>
      <c r="K717" s="37">
        <v>45598</v>
      </c>
      <c r="L717" s="37">
        <v>45606</v>
      </c>
      <c r="M717" s="35" t="s">
        <v>123</v>
      </c>
      <c r="N717" s="35">
        <v>5</v>
      </c>
      <c r="O717" s="35" t="s">
        <v>297</v>
      </c>
      <c r="P717" s="35">
        <v>9.1</v>
      </c>
    </row>
    <row r="718" spans="1:16" ht="15.75" customHeight="1" x14ac:dyDescent="0.3">
      <c r="A718" s="35" t="s">
        <v>1706</v>
      </c>
      <c r="B718" s="35" t="s">
        <v>1707</v>
      </c>
      <c r="C718" s="35" t="s">
        <v>62</v>
      </c>
      <c r="D718" s="35" t="s">
        <v>31</v>
      </c>
      <c r="E718" s="35" t="s">
        <v>25</v>
      </c>
      <c r="F718" s="35">
        <v>13</v>
      </c>
      <c r="G718" s="35">
        <v>4310.66</v>
      </c>
      <c r="H718" s="35">
        <v>56038.58</v>
      </c>
      <c r="I718" s="35">
        <v>31711.65</v>
      </c>
      <c r="J718" s="35">
        <v>24326.93</v>
      </c>
      <c r="K718" s="37">
        <v>45597</v>
      </c>
      <c r="L718" s="37">
        <v>45600</v>
      </c>
      <c r="M718" s="35" t="s">
        <v>69</v>
      </c>
      <c r="N718" s="35">
        <v>5</v>
      </c>
      <c r="O718" s="35" t="s">
        <v>362</v>
      </c>
      <c r="P718" s="35">
        <v>7.2</v>
      </c>
    </row>
    <row r="719" spans="1:16" ht="15.75" customHeight="1" x14ac:dyDescent="0.3">
      <c r="A719" s="35" t="s">
        <v>1708</v>
      </c>
      <c r="B719" s="35" t="s">
        <v>1709</v>
      </c>
      <c r="C719" s="35" t="s">
        <v>30</v>
      </c>
      <c r="D719" s="35" t="s">
        <v>31</v>
      </c>
      <c r="E719" s="35" t="s">
        <v>44</v>
      </c>
      <c r="F719" s="35">
        <v>9</v>
      </c>
      <c r="G719" s="35">
        <v>574.12</v>
      </c>
      <c r="H719" s="35">
        <v>5167.08</v>
      </c>
      <c r="I719" s="35">
        <v>3351.83</v>
      </c>
      <c r="J719" s="35">
        <v>1815.25</v>
      </c>
      <c r="K719" s="37">
        <v>45865</v>
      </c>
      <c r="L719" s="37">
        <v>45871</v>
      </c>
      <c r="M719" s="35" t="s">
        <v>38</v>
      </c>
      <c r="N719" s="35">
        <v>2</v>
      </c>
      <c r="O719" s="35" t="s">
        <v>780</v>
      </c>
      <c r="P719" s="35">
        <v>8.1</v>
      </c>
    </row>
    <row r="720" spans="1:16" ht="15.75" customHeight="1" x14ac:dyDescent="0.3">
      <c r="A720" s="35" t="s">
        <v>1710</v>
      </c>
      <c r="B720" s="35" t="s">
        <v>1711</v>
      </c>
      <c r="C720" s="35" t="s">
        <v>37</v>
      </c>
      <c r="D720" s="35" t="s">
        <v>19</v>
      </c>
      <c r="E720" s="35" t="s">
        <v>25</v>
      </c>
      <c r="F720" s="35">
        <v>6</v>
      </c>
      <c r="G720" s="35">
        <v>3030.71</v>
      </c>
      <c r="H720" s="35">
        <v>18184.259999999998</v>
      </c>
      <c r="I720" s="35">
        <v>14377.25</v>
      </c>
      <c r="J720" s="35">
        <v>3807.01</v>
      </c>
      <c r="K720" s="37">
        <v>45433</v>
      </c>
      <c r="L720" s="37">
        <v>45437</v>
      </c>
      <c r="M720" s="35" t="s">
        <v>50</v>
      </c>
      <c r="N720" s="35">
        <v>4</v>
      </c>
      <c r="O720" s="35" t="s">
        <v>1057</v>
      </c>
      <c r="P720" s="35">
        <v>6.7</v>
      </c>
    </row>
    <row r="721" spans="1:16" ht="15.75" customHeight="1" x14ac:dyDescent="0.3">
      <c r="A721" s="35" t="s">
        <v>1712</v>
      </c>
      <c r="B721" s="35" t="s">
        <v>1713</v>
      </c>
      <c r="C721" s="35" t="s">
        <v>30</v>
      </c>
      <c r="D721" s="35" t="s">
        <v>31</v>
      </c>
      <c r="E721" s="35" t="s">
        <v>44</v>
      </c>
      <c r="F721" s="35">
        <v>11</v>
      </c>
      <c r="G721" s="35">
        <v>723.18</v>
      </c>
      <c r="H721" s="35">
        <v>7954.98</v>
      </c>
      <c r="I721" s="35">
        <v>7109.04</v>
      </c>
      <c r="J721" s="35">
        <v>845.94</v>
      </c>
      <c r="K721" s="37">
        <v>45999</v>
      </c>
      <c r="L721" s="37">
        <v>46006</v>
      </c>
      <c r="M721" s="35" t="s">
        <v>181</v>
      </c>
      <c r="N721" s="35">
        <v>3</v>
      </c>
      <c r="O721" s="35" t="s">
        <v>1714</v>
      </c>
      <c r="P721" s="35">
        <v>6.8</v>
      </c>
    </row>
    <row r="722" spans="1:16" ht="15.75" customHeight="1" x14ac:dyDescent="0.3">
      <c r="A722" s="35" t="s">
        <v>1715</v>
      </c>
      <c r="B722" s="35" t="s">
        <v>1716</v>
      </c>
      <c r="C722" s="35" t="s">
        <v>30</v>
      </c>
      <c r="D722" s="35" t="s">
        <v>31</v>
      </c>
      <c r="E722" s="35" t="s">
        <v>32</v>
      </c>
      <c r="F722" s="35">
        <v>15</v>
      </c>
      <c r="G722" s="35">
        <v>1381.36</v>
      </c>
      <c r="H722" s="35">
        <v>20720.400000000001</v>
      </c>
      <c r="I722" s="35">
        <v>12234.8</v>
      </c>
      <c r="J722" s="35">
        <v>8485.6</v>
      </c>
      <c r="K722" s="37">
        <v>45771</v>
      </c>
      <c r="L722" s="37">
        <v>45780</v>
      </c>
      <c r="M722" s="35" t="s">
        <v>38</v>
      </c>
      <c r="N722" s="35">
        <v>4</v>
      </c>
      <c r="O722" s="35" t="s">
        <v>235</v>
      </c>
      <c r="P722" s="35">
        <v>7.6</v>
      </c>
    </row>
    <row r="723" spans="1:16" ht="15.75" customHeight="1" x14ac:dyDescent="0.3">
      <c r="A723" s="35" t="s">
        <v>1717</v>
      </c>
      <c r="B723" s="35" t="s">
        <v>1718</v>
      </c>
      <c r="C723" s="35" t="s">
        <v>30</v>
      </c>
      <c r="D723" s="35" t="s">
        <v>31</v>
      </c>
      <c r="E723" s="35" t="s">
        <v>20</v>
      </c>
      <c r="F723" s="35">
        <v>11</v>
      </c>
      <c r="G723" s="35">
        <v>2022.66</v>
      </c>
      <c r="H723" s="35">
        <v>22249.26</v>
      </c>
      <c r="I723" s="35">
        <v>15625.61</v>
      </c>
      <c r="J723" s="35">
        <v>6623.65</v>
      </c>
      <c r="K723" s="37">
        <v>45594</v>
      </c>
      <c r="L723" s="37">
        <v>45600</v>
      </c>
      <c r="M723" s="35" t="s">
        <v>123</v>
      </c>
      <c r="N723" s="35">
        <v>3</v>
      </c>
      <c r="O723" s="35" t="s">
        <v>124</v>
      </c>
      <c r="P723" s="35">
        <v>7</v>
      </c>
    </row>
    <row r="724" spans="1:16" ht="15.75" customHeight="1" x14ac:dyDescent="0.3">
      <c r="A724" s="35" t="s">
        <v>1719</v>
      </c>
      <c r="B724" s="35" t="s">
        <v>1720</v>
      </c>
      <c r="C724" s="35" t="s">
        <v>72</v>
      </c>
      <c r="D724" s="35" t="s">
        <v>31</v>
      </c>
      <c r="E724" s="35" t="s">
        <v>25</v>
      </c>
      <c r="F724" s="35">
        <v>4</v>
      </c>
      <c r="G724" s="35">
        <v>2796.09</v>
      </c>
      <c r="H724" s="35">
        <v>11184.36</v>
      </c>
      <c r="I724" s="35">
        <v>9510.14</v>
      </c>
      <c r="J724" s="35">
        <v>1674.22</v>
      </c>
      <c r="K724" s="37">
        <v>46161</v>
      </c>
      <c r="L724" s="37">
        <v>46162</v>
      </c>
      <c r="M724" s="35" t="s">
        <v>181</v>
      </c>
      <c r="N724" s="35">
        <v>4</v>
      </c>
      <c r="O724" s="35" t="s">
        <v>367</v>
      </c>
      <c r="P724" s="35">
        <v>7.7</v>
      </c>
    </row>
    <row r="725" spans="1:16" ht="15.75" customHeight="1" x14ac:dyDescent="0.3">
      <c r="A725" s="35" t="s">
        <v>1721</v>
      </c>
      <c r="B725" s="35" t="s">
        <v>1722</v>
      </c>
      <c r="C725" s="35" t="s">
        <v>30</v>
      </c>
      <c r="D725" s="35" t="s">
        <v>31</v>
      </c>
      <c r="E725" s="35" t="s">
        <v>44</v>
      </c>
      <c r="F725" s="35">
        <v>3</v>
      </c>
      <c r="G725" s="35">
        <v>2613.41</v>
      </c>
      <c r="H725" s="35">
        <v>7840.23</v>
      </c>
      <c r="I725" s="35">
        <v>6813.13</v>
      </c>
      <c r="J725" s="35">
        <v>1027.0999999999999</v>
      </c>
      <c r="K725" s="37">
        <v>45488</v>
      </c>
      <c r="L725" s="37">
        <v>45491</v>
      </c>
      <c r="M725" s="35" t="s">
        <v>26</v>
      </c>
      <c r="N725" s="35">
        <v>5</v>
      </c>
      <c r="O725" s="35" t="s">
        <v>254</v>
      </c>
      <c r="P725" s="35">
        <v>9.5</v>
      </c>
    </row>
    <row r="726" spans="1:16" ht="15.75" customHeight="1" x14ac:dyDescent="0.3">
      <c r="A726" s="35" t="s">
        <v>1723</v>
      </c>
      <c r="B726" s="35" t="s">
        <v>1724</v>
      </c>
      <c r="C726" s="35" t="s">
        <v>37</v>
      </c>
      <c r="D726" s="35" t="s">
        <v>19</v>
      </c>
      <c r="E726" s="35" t="s">
        <v>32</v>
      </c>
      <c r="F726" s="35">
        <v>19</v>
      </c>
      <c r="G726" s="35">
        <v>428.08</v>
      </c>
      <c r="H726" s="35">
        <v>8133.52</v>
      </c>
      <c r="I726" s="35">
        <v>5042.4399999999996</v>
      </c>
      <c r="J726" s="35">
        <v>3091.08</v>
      </c>
      <c r="K726" s="37">
        <v>46117</v>
      </c>
      <c r="L726" s="37">
        <v>46125</v>
      </c>
      <c r="M726" s="35" t="s">
        <v>181</v>
      </c>
      <c r="N726" s="35">
        <v>3</v>
      </c>
      <c r="O726" s="35" t="s">
        <v>383</v>
      </c>
      <c r="P726" s="35">
        <v>9.6999999999999993</v>
      </c>
    </row>
    <row r="727" spans="1:16" ht="15.75" customHeight="1" x14ac:dyDescent="0.3">
      <c r="A727" s="35" t="s">
        <v>1725</v>
      </c>
      <c r="B727" s="35" t="s">
        <v>1726</v>
      </c>
      <c r="C727" s="35" t="s">
        <v>49</v>
      </c>
      <c r="D727" s="35" t="s">
        <v>43</v>
      </c>
      <c r="E727" s="35" t="s">
        <v>20</v>
      </c>
      <c r="F727" s="35">
        <v>4</v>
      </c>
      <c r="G727" s="35">
        <v>1290.1400000000001</v>
      </c>
      <c r="H727" s="35">
        <v>5160.5600000000004</v>
      </c>
      <c r="I727" s="35">
        <v>4022.33</v>
      </c>
      <c r="J727" s="35">
        <v>1138.23</v>
      </c>
      <c r="K727" s="37">
        <v>45766</v>
      </c>
      <c r="L727" s="37">
        <v>45769</v>
      </c>
      <c r="M727" s="35" t="s">
        <v>123</v>
      </c>
      <c r="N727" s="35">
        <v>2</v>
      </c>
      <c r="O727" s="35" t="s">
        <v>354</v>
      </c>
      <c r="P727" s="35">
        <v>9.1</v>
      </c>
    </row>
    <row r="728" spans="1:16" ht="15.75" customHeight="1" x14ac:dyDescent="0.3">
      <c r="A728" s="35" t="s">
        <v>1727</v>
      </c>
      <c r="B728" s="35" t="s">
        <v>1728</v>
      </c>
      <c r="C728" s="35" t="s">
        <v>95</v>
      </c>
      <c r="D728" s="35" t="s">
        <v>19</v>
      </c>
      <c r="E728" s="35" t="s">
        <v>25</v>
      </c>
      <c r="F728" s="35">
        <v>7</v>
      </c>
      <c r="G728" s="35">
        <v>1658.09</v>
      </c>
      <c r="H728" s="35">
        <v>11606.63</v>
      </c>
      <c r="I728" s="35">
        <v>9391.32</v>
      </c>
      <c r="J728" s="35">
        <v>2215.31</v>
      </c>
      <c r="K728" s="37">
        <v>45576</v>
      </c>
      <c r="L728" s="37">
        <v>45579</v>
      </c>
      <c r="M728" s="35" t="s">
        <v>26</v>
      </c>
      <c r="N728" s="35">
        <v>4</v>
      </c>
      <c r="O728" s="35" t="s">
        <v>1729</v>
      </c>
      <c r="P728" s="35">
        <v>8.6999999999999993</v>
      </c>
    </row>
    <row r="729" spans="1:16" ht="15.75" customHeight="1" x14ac:dyDescent="0.3">
      <c r="A729" s="35" t="s">
        <v>1730</v>
      </c>
      <c r="B729" s="35" t="s">
        <v>1731</v>
      </c>
      <c r="C729" s="35" t="s">
        <v>42</v>
      </c>
      <c r="D729" s="35" t="s">
        <v>43</v>
      </c>
      <c r="E729" s="35" t="s">
        <v>25</v>
      </c>
      <c r="F729" s="35">
        <v>7</v>
      </c>
      <c r="G729" s="35">
        <v>3561.13</v>
      </c>
      <c r="H729" s="35">
        <v>24927.91</v>
      </c>
      <c r="I729" s="35">
        <v>21009.71</v>
      </c>
      <c r="J729" s="35">
        <v>3918.2</v>
      </c>
      <c r="K729" s="37">
        <v>45937</v>
      </c>
      <c r="L729" s="37">
        <v>45947</v>
      </c>
      <c r="M729" s="35" t="s">
        <v>21</v>
      </c>
      <c r="N729" s="35">
        <v>1</v>
      </c>
      <c r="O729" s="35" t="s">
        <v>284</v>
      </c>
      <c r="P729" s="35">
        <v>7.7</v>
      </c>
    </row>
    <row r="730" spans="1:16" ht="15.75" customHeight="1" x14ac:dyDescent="0.3">
      <c r="A730" s="35" t="s">
        <v>1732</v>
      </c>
      <c r="B730" s="35" t="s">
        <v>1733</v>
      </c>
      <c r="C730" s="35" t="s">
        <v>168</v>
      </c>
      <c r="D730" s="35" t="s">
        <v>43</v>
      </c>
      <c r="E730" s="35" t="s">
        <v>20</v>
      </c>
      <c r="F730" s="35">
        <v>12</v>
      </c>
      <c r="G730" s="35">
        <v>3263.3</v>
      </c>
      <c r="H730" s="35">
        <v>39159.599999999999</v>
      </c>
      <c r="I730" s="35">
        <v>33778.51</v>
      </c>
      <c r="J730" s="35">
        <v>5381.09</v>
      </c>
      <c r="K730" s="37">
        <v>45664</v>
      </c>
      <c r="L730" s="37">
        <v>45667</v>
      </c>
      <c r="M730" s="35" t="s">
        <v>33</v>
      </c>
      <c r="N730" s="35">
        <v>5</v>
      </c>
      <c r="O730" s="35" t="s">
        <v>799</v>
      </c>
      <c r="P730" s="35">
        <v>7.8</v>
      </c>
    </row>
    <row r="731" spans="1:16" ht="15.75" customHeight="1" x14ac:dyDescent="0.3">
      <c r="A731" s="35" t="s">
        <v>1734</v>
      </c>
      <c r="B731" s="35" t="s">
        <v>1735</v>
      </c>
      <c r="C731" s="35" t="s">
        <v>57</v>
      </c>
      <c r="D731" s="35" t="s">
        <v>19</v>
      </c>
      <c r="E731" s="35" t="s">
        <v>20</v>
      </c>
      <c r="F731" s="35">
        <v>14</v>
      </c>
      <c r="G731" s="35">
        <v>764.42</v>
      </c>
      <c r="H731" s="35">
        <v>10701.88</v>
      </c>
      <c r="I731" s="35">
        <v>9156.7800000000007</v>
      </c>
      <c r="J731" s="35">
        <v>1545.1</v>
      </c>
      <c r="K731" s="37">
        <v>45836</v>
      </c>
      <c r="L731" s="37">
        <v>45839</v>
      </c>
      <c r="M731" s="35" t="s">
        <v>181</v>
      </c>
      <c r="N731" s="35">
        <v>2</v>
      </c>
      <c r="O731" s="35" t="s">
        <v>475</v>
      </c>
      <c r="P731" s="35">
        <v>8.1999999999999993</v>
      </c>
    </row>
    <row r="732" spans="1:16" ht="15.75" customHeight="1" x14ac:dyDescent="0.3">
      <c r="A732" s="35" t="s">
        <v>1736</v>
      </c>
      <c r="B732" s="35" t="s">
        <v>1737</v>
      </c>
      <c r="C732" s="35" t="s">
        <v>37</v>
      </c>
      <c r="D732" s="35" t="s">
        <v>19</v>
      </c>
      <c r="E732" s="35" t="s">
        <v>20</v>
      </c>
      <c r="F732" s="35">
        <v>7</v>
      </c>
      <c r="G732" s="35">
        <v>3385.78</v>
      </c>
      <c r="H732" s="35">
        <v>23700.46</v>
      </c>
      <c r="I732" s="35">
        <v>19447.37</v>
      </c>
      <c r="J732" s="35">
        <v>4253.09</v>
      </c>
      <c r="K732" s="37">
        <v>45905</v>
      </c>
      <c r="L732" s="37">
        <v>45914</v>
      </c>
      <c r="M732" s="35" t="s">
        <v>123</v>
      </c>
      <c r="N732" s="35">
        <v>1</v>
      </c>
      <c r="O732" s="35" t="s">
        <v>541</v>
      </c>
      <c r="P732" s="35">
        <v>8.8000000000000007</v>
      </c>
    </row>
    <row r="733" spans="1:16" ht="15.75" customHeight="1" x14ac:dyDescent="0.3">
      <c r="A733" s="35" t="s">
        <v>1738</v>
      </c>
      <c r="B733" s="35" t="s">
        <v>1739</v>
      </c>
      <c r="C733" s="35" t="s">
        <v>95</v>
      </c>
      <c r="D733" s="35" t="s">
        <v>19</v>
      </c>
      <c r="E733" s="35" t="s">
        <v>20</v>
      </c>
      <c r="F733" s="35">
        <v>6</v>
      </c>
      <c r="G733" s="35">
        <v>3607.59</v>
      </c>
      <c r="H733" s="35">
        <v>21645.54</v>
      </c>
      <c r="I733" s="35">
        <v>12255.72</v>
      </c>
      <c r="J733" s="35">
        <v>9389.82</v>
      </c>
      <c r="K733" s="37">
        <v>45828</v>
      </c>
      <c r="L733" s="37">
        <v>45838</v>
      </c>
      <c r="M733" s="35" t="s">
        <v>38</v>
      </c>
      <c r="N733" s="35">
        <v>4</v>
      </c>
      <c r="O733" s="35" t="s">
        <v>1740</v>
      </c>
      <c r="P733" s="35">
        <v>8.1</v>
      </c>
    </row>
    <row r="734" spans="1:16" ht="15.75" customHeight="1" x14ac:dyDescent="0.3">
      <c r="A734" s="35" t="s">
        <v>1741</v>
      </c>
      <c r="B734" s="35" t="s">
        <v>1742</v>
      </c>
      <c r="C734" s="35" t="s">
        <v>168</v>
      </c>
      <c r="D734" s="35" t="s">
        <v>43</v>
      </c>
      <c r="E734" s="35" t="s">
        <v>25</v>
      </c>
      <c r="F734" s="35">
        <v>5</v>
      </c>
      <c r="G734" s="35">
        <v>2311.88</v>
      </c>
      <c r="H734" s="35">
        <v>11559.4</v>
      </c>
      <c r="I734" s="35">
        <v>7899.39</v>
      </c>
      <c r="J734" s="35">
        <v>3660.01</v>
      </c>
      <c r="K734" s="37">
        <v>45870</v>
      </c>
      <c r="L734" s="37">
        <v>45874</v>
      </c>
      <c r="M734" s="35" t="s">
        <v>58</v>
      </c>
      <c r="N734" s="35">
        <v>4</v>
      </c>
      <c r="O734" s="35" t="s">
        <v>1086</v>
      </c>
      <c r="P734" s="35">
        <v>7.9</v>
      </c>
    </row>
    <row r="735" spans="1:16" ht="15.75" customHeight="1" x14ac:dyDescent="0.3">
      <c r="A735" s="35" t="s">
        <v>1743</v>
      </c>
      <c r="B735" s="35" t="s">
        <v>1744</v>
      </c>
      <c r="C735" s="35" t="s">
        <v>42</v>
      </c>
      <c r="D735" s="35" t="s">
        <v>43</v>
      </c>
      <c r="E735" s="35" t="s">
        <v>20</v>
      </c>
      <c r="F735" s="35">
        <v>3</v>
      </c>
      <c r="G735" s="35">
        <v>3793.62</v>
      </c>
      <c r="H735" s="35">
        <v>11380.86</v>
      </c>
      <c r="I735" s="35">
        <v>7421.8</v>
      </c>
      <c r="J735" s="35">
        <v>3959.06</v>
      </c>
      <c r="K735" s="37">
        <v>45984</v>
      </c>
      <c r="L735" s="37">
        <v>45985</v>
      </c>
      <c r="M735" s="35" t="s">
        <v>58</v>
      </c>
      <c r="N735" s="35">
        <v>2</v>
      </c>
      <c r="O735" s="35" t="s">
        <v>105</v>
      </c>
      <c r="P735" s="35">
        <v>6.8</v>
      </c>
    </row>
    <row r="736" spans="1:16" ht="15.75" customHeight="1" x14ac:dyDescent="0.3">
      <c r="A736" s="35" t="s">
        <v>1745</v>
      </c>
      <c r="B736" s="35" t="s">
        <v>1746</v>
      </c>
      <c r="C736" s="35" t="s">
        <v>62</v>
      </c>
      <c r="D736" s="35" t="s">
        <v>31</v>
      </c>
      <c r="E736" s="35" t="s">
        <v>32</v>
      </c>
      <c r="F736" s="35">
        <v>4</v>
      </c>
      <c r="G736" s="35">
        <v>361.69</v>
      </c>
      <c r="H736" s="35">
        <v>1446.76</v>
      </c>
      <c r="I736" s="35">
        <v>1287.81</v>
      </c>
      <c r="J736" s="35">
        <v>158.94999999999999</v>
      </c>
      <c r="K736" s="37">
        <v>45649</v>
      </c>
      <c r="L736" s="37">
        <v>45659</v>
      </c>
      <c r="M736" s="35" t="s">
        <v>21</v>
      </c>
      <c r="N736" s="35">
        <v>2</v>
      </c>
      <c r="O736" s="35" t="s">
        <v>918</v>
      </c>
      <c r="P736" s="35">
        <v>8.1</v>
      </c>
    </row>
    <row r="737" spans="1:16" ht="15.75" customHeight="1" x14ac:dyDescent="0.3">
      <c r="A737" s="35" t="s">
        <v>1747</v>
      </c>
      <c r="B737" s="35" t="s">
        <v>1748</v>
      </c>
      <c r="C737" s="35" t="s">
        <v>72</v>
      </c>
      <c r="D737" s="35" t="s">
        <v>31</v>
      </c>
      <c r="E737" s="35" t="s">
        <v>25</v>
      </c>
      <c r="F737" s="35">
        <v>8</v>
      </c>
      <c r="G737" s="35">
        <v>1296.22</v>
      </c>
      <c r="H737" s="35">
        <v>10369.76</v>
      </c>
      <c r="I737" s="35">
        <v>6932.82</v>
      </c>
      <c r="J737" s="35">
        <v>3436.94</v>
      </c>
      <c r="K737" s="37">
        <v>46042</v>
      </c>
      <c r="L737" s="37">
        <v>46045</v>
      </c>
      <c r="M737" s="35" t="s">
        <v>33</v>
      </c>
      <c r="N737" s="35">
        <v>2</v>
      </c>
      <c r="O737" s="35" t="s">
        <v>184</v>
      </c>
      <c r="P737" s="35">
        <v>8.1999999999999993</v>
      </c>
    </row>
    <row r="738" spans="1:16" ht="15.75" customHeight="1" x14ac:dyDescent="0.3">
      <c r="A738" s="35" t="s">
        <v>1749</v>
      </c>
      <c r="B738" s="35" t="s">
        <v>1750</v>
      </c>
      <c r="C738" s="35" t="s">
        <v>88</v>
      </c>
      <c r="D738" s="35" t="s">
        <v>31</v>
      </c>
      <c r="E738" s="35" t="s">
        <v>25</v>
      </c>
      <c r="F738" s="35">
        <v>2</v>
      </c>
      <c r="G738" s="35">
        <v>2498.66</v>
      </c>
      <c r="H738" s="35">
        <v>4997.32</v>
      </c>
      <c r="I738" s="35">
        <v>3948.1</v>
      </c>
      <c r="J738" s="35">
        <v>1049.22</v>
      </c>
      <c r="K738" s="37">
        <v>45440</v>
      </c>
      <c r="L738" s="37">
        <v>45449</v>
      </c>
      <c r="M738" s="35" t="s">
        <v>181</v>
      </c>
      <c r="N738" s="35">
        <v>1</v>
      </c>
      <c r="O738" s="35" t="s">
        <v>59</v>
      </c>
      <c r="P738" s="35">
        <v>8.6</v>
      </c>
    </row>
    <row r="739" spans="1:16" ht="15.75" customHeight="1" x14ac:dyDescent="0.3">
      <c r="A739" s="35" t="s">
        <v>1751</v>
      </c>
      <c r="B739" s="35" t="s">
        <v>1752</v>
      </c>
      <c r="C739" s="35" t="s">
        <v>144</v>
      </c>
      <c r="D739" s="35" t="s">
        <v>19</v>
      </c>
      <c r="E739" s="35" t="s">
        <v>20</v>
      </c>
      <c r="F739" s="35">
        <v>17</v>
      </c>
      <c r="G739" s="35">
        <v>690.63</v>
      </c>
      <c r="H739" s="35">
        <v>11740.71</v>
      </c>
      <c r="I739" s="35">
        <v>8592.89</v>
      </c>
      <c r="J739" s="35">
        <v>3147.82</v>
      </c>
      <c r="K739" s="37">
        <v>45448</v>
      </c>
      <c r="L739" s="37">
        <v>45457</v>
      </c>
      <c r="M739" s="35" t="s">
        <v>58</v>
      </c>
      <c r="N739" s="35">
        <v>1</v>
      </c>
      <c r="O739" s="35" t="s">
        <v>172</v>
      </c>
      <c r="P739" s="35">
        <v>8.9</v>
      </c>
    </row>
    <row r="740" spans="1:16" ht="15.75" customHeight="1" x14ac:dyDescent="0.3">
      <c r="A740" s="35" t="s">
        <v>1753</v>
      </c>
      <c r="B740" s="35" t="s">
        <v>1754</v>
      </c>
      <c r="C740" s="35" t="s">
        <v>72</v>
      </c>
      <c r="D740" s="35" t="s">
        <v>31</v>
      </c>
      <c r="E740" s="35" t="s">
        <v>20</v>
      </c>
      <c r="F740" s="35">
        <v>12</v>
      </c>
      <c r="G740" s="35">
        <v>1970.55</v>
      </c>
      <c r="H740" s="35">
        <v>23646.6</v>
      </c>
      <c r="I740" s="35">
        <v>18747.41</v>
      </c>
      <c r="J740" s="35">
        <v>4899.1899999999996</v>
      </c>
      <c r="K740" s="37">
        <v>45998</v>
      </c>
      <c r="L740" s="37">
        <v>46008</v>
      </c>
      <c r="M740" s="35" t="s">
        <v>123</v>
      </c>
      <c r="N740" s="35">
        <v>2</v>
      </c>
      <c r="O740" s="35" t="s">
        <v>881</v>
      </c>
      <c r="P740" s="35">
        <v>6.5</v>
      </c>
    </row>
    <row r="741" spans="1:16" ht="15.75" customHeight="1" x14ac:dyDescent="0.3">
      <c r="A741" s="35" t="s">
        <v>1755</v>
      </c>
      <c r="B741" s="35" t="s">
        <v>1756</v>
      </c>
      <c r="C741" s="35" t="s">
        <v>195</v>
      </c>
      <c r="D741" s="35" t="s">
        <v>43</v>
      </c>
      <c r="E741" s="35" t="s">
        <v>25</v>
      </c>
      <c r="F741" s="35">
        <v>12</v>
      </c>
      <c r="G741" s="35">
        <v>146.72</v>
      </c>
      <c r="H741" s="35">
        <v>1760.64</v>
      </c>
      <c r="I741" s="35">
        <v>1093.04</v>
      </c>
      <c r="J741" s="35">
        <v>667.6</v>
      </c>
      <c r="K741" s="37">
        <v>46118</v>
      </c>
      <c r="L741" s="37">
        <v>46126</v>
      </c>
      <c r="M741" s="35" t="s">
        <v>69</v>
      </c>
      <c r="N741" s="35">
        <v>2</v>
      </c>
      <c r="O741" s="35" t="s">
        <v>802</v>
      </c>
      <c r="P741" s="35">
        <v>8.1</v>
      </c>
    </row>
    <row r="742" spans="1:16" ht="15.75" customHeight="1" x14ac:dyDescent="0.3">
      <c r="A742" s="35" t="s">
        <v>1757</v>
      </c>
      <c r="B742" s="35" t="s">
        <v>1758</v>
      </c>
      <c r="C742" s="35" t="s">
        <v>49</v>
      </c>
      <c r="D742" s="35" t="s">
        <v>43</v>
      </c>
      <c r="E742" s="35" t="s">
        <v>44</v>
      </c>
      <c r="F742" s="35">
        <v>1</v>
      </c>
      <c r="G742" s="35">
        <v>84.04</v>
      </c>
      <c r="H742" s="35">
        <v>84.04</v>
      </c>
      <c r="I742" s="35">
        <v>66.59</v>
      </c>
      <c r="J742" s="35">
        <v>17.45</v>
      </c>
      <c r="K742" s="37">
        <v>45804</v>
      </c>
      <c r="L742" s="37">
        <v>45806</v>
      </c>
      <c r="M742" s="35" t="s">
        <v>45</v>
      </c>
      <c r="N742" s="35">
        <v>1</v>
      </c>
      <c r="O742" s="35" t="s">
        <v>767</v>
      </c>
      <c r="P742" s="35">
        <v>9.3000000000000007</v>
      </c>
    </row>
    <row r="743" spans="1:16" ht="15.75" customHeight="1" x14ac:dyDescent="0.3">
      <c r="A743" s="35" t="s">
        <v>1759</v>
      </c>
      <c r="B743" s="35" t="s">
        <v>1760</v>
      </c>
      <c r="C743" s="35" t="s">
        <v>72</v>
      </c>
      <c r="D743" s="35" t="s">
        <v>31</v>
      </c>
      <c r="E743" s="35" t="s">
        <v>20</v>
      </c>
      <c r="F743" s="35">
        <v>4</v>
      </c>
      <c r="G743" s="35">
        <v>294.77999999999997</v>
      </c>
      <c r="H743" s="35">
        <v>1179.1199999999999</v>
      </c>
      <c r="I743" s="35">
        <v>919.64</v>
      </c>
      <c r="J743" s="35">
        <v>259.48</v>
      </c>
      <c r="K743" s="37">
        <v>46128</v>
      </c>
      <c r="L743" s="37">
        <v>46137</v>
      </c>
      <c r="M743" s="35" t="s">
        <v>38</v>
      </c>
      <c r="N743" s="35">
        <v>3</v>
      </c>
      <c r="O743" s="35" t="s">
        <v>351</v>
      </c>
      <c r="P743" s="35">
        <v>8.3000000000000007</v>
      </c>
    </row>
    <row r="744" spans="1:16" ht="15.75" customHeight="1" x14ac:dyDescent="0.3">
      <c r="A744" s="35" t="s">
        <v>1761</v>
      </c>
      <c r="B744" s="35" t="s">
        <v>1762</v>
      </c>
      <c r="C744" s="35" t="s">
        <v>168</v>
      </c>
      <c r="D744" s="35" t="s">
        <v>43</v>
      </c>
      <c r="E744" s="35" t="s">
        <v>44</v>
      </c>
      <c r="F744" s="35">
        <v>2</v>
      </c>
      <c r="G744" s="35">
        <v>4458.49</v>
      </c>
      <c r="H744" s="35">
        <v>8916.98</v>
      </c>
      <c r="I744" s="35">
        <v>4780.5</v>
      </c>
      <c r="J744" s="35">
        <v>4136.4799999999996</v>
      </c>
      <c r="K744" s="37">
        <v>45454</v>
      </c>
      <c r="L744" s="37">
        <v>45462</v>
      </c>
      <c r="M744" s="35" t="s">
        <v>50</v>
      </c>
      <c r="N744" s="35">
        <v>4</v>
      </c>
      <c r="O744" s="35" t="s">
        <v>51</v>
      </c>
      <c r="P744" s="35">
        <v>8.6</v>
      </c>
    </row>
    <row r="745" spans="1:16" ht="15.75" customHeight="1" x14ac:dyDescent="0.3">
      <c r="A745" s="35" t="s">
        <v>1763</v>
      </c>
      <c r="B745" s="35" t="s">
        <v>1764</v>
      </c>
      <c r="C745" s="35" t="s">
        <v>72</v>
      </c>
      <c r="D745" s="35" t="s">
        <v>31</v>
      </c>
      <c r="E745" s="35" t="s">
        <v>32</v>
      </c>
      <c r="F745" s="35">
        <v>10</v>
      </c>
      <c r="G745" s="35">
        <v>218.74</v>
      </c>
      <c r="H745" s="35">
        <v>2187.4</v>
      </c>
      <c r="I745" s="35">
        <v>1437.17</v>
      </c>
      <c r="J745" s="35">
        <v>750.23</v>
      </c>
      <c r="K745" s="37">
        <v>45597</v>
      </c>
      <c r="L745" s="37">
        <v>45605</v>
      </c>
      <c r="M745" s="35" t="s">
        <v>21</v>
      </c>
      <c r="N745" s="35">
        <v>3</v>
      </c>
      <c r="O745" s="35" t="s">
        <v>635</v>
      </c>
      <c r="P745" s="35">
        <v>8.8000000000000007</v>
      </c>
    </row>
    <row r="746" spans="1:16" ht="15.75" customHeight="1" x14ac:dyDescent="0.3">
      <c r="A746" s="35" t="s">
        <v>1765</v>
      </c>
      <c r="B746" s="35" t="s">
        <v>1766</v>
      </c>
      <c r="C746" s="35" t="s">
        <v>144</v>
      </c>
      <c r="D746" s="35" t="s">
        <v>19</v>
      </c>
      <c r="E746" s="35" t="s">
        <v>32</v>
      </c>
      <c r="F746" s="35">
        <v>16</v>
      </c>
      <c r="G746" s="35">
        <v>4476.2299999999996</v>
      </c>
      <c r="H746" s="35">
        <v>71619.679999999993</v>
      </c>
      <c r="I746" s="35">
        <v>43190.239999999998</v>
      </c>
      <c r="J746" s="35">
        <v>28429.439999999999</v>
      </c>
      <c r="K746" s="37">
        <v>45443</v>
      </c>
      <c r="L746" s="37">
        <v>45453</v>
      </c>
      <c r="M746" s="35" t="s">
        <v>123</v>
      </c>
      <c r="N746" s="35">
        <v>5</v>
      </c>
      <c r="O746" s="35" t="s">
        <v>588</v>
      </c>
      <c r="P746" s="35">
        <v>6.6</v>
      </c>
    </row>
    <row r="747" spans="1:16" ht="15.75" customHeight="1" x14ac:dyDescent="0.3">
      <c r="A747" s="35" t="s">
        <v>1767</v>
      </c>
      <c r="B747" s="35" t="s">
        <v>1768</v>
      </c>
      <c r="C747" s="35" t="s">
        <v>144</v>
      </c>
      <c r="D747" s="35" t="s">
        <v>19</v>
      </c>
      <c r="E747" s="35" t="s">
        <v>32</v>
      </c>
      <c r="F747" s="35">
        <v>9</v>
      </c>
      <c r="G747" s="35">
        <v>3555.04</v>
      </c>
      <c r="H747" s="35">
        <v>31995.360000000001</v>
      </c>
      <c r="I747" s="35">
        <v>22127.21</v>
      </c>
      <c r="J747" s="35">
        <v>9868.15</v>
      </c>
      <c r="K747" s="37">
        <v>45868</v>
      </c>
      <c r="L747" s="37">
        <v>45869</v>
      </c>
      <c r="M747" s="35" t="s">
        <v>45</v>
      </c>
      <c r="N747" s="35">
        <v>1</v>
      </c>
      <c r="O747" s="35" t="s">
        <v>318</v>
      </c>
      <c r="P747" s="35">
        <v>9.5</v>
      </c>
    </row>
    <row r="748" spans="1:16" ht="15.75" customHeight="1" x14ac:dyDescent="0.3">
      <c r="A748" s="35" t="s">
        <v>1769</v>
      </c>
      <c r="B748" s="35" t="s">
        <v>1770</v>
      </c>
      <c r="C748" s="35" t="s">
        <v>62</v>
      </c>
      <c r="D748" s="35" t="s">
        <v>31</v>
      </c>
      <c r="E748" s="35" t="s">
        <v>25</v>
      </c>
      <c r="F748" s="35">
        <v>9</v>
      </c>
      <c r="G748" s="35">
        <v>582.54999999999995</v>
      </c>
      <c r="H748" s="35">
        <v>5242.95</v>
      </c>
      <c r="I748" s="35">
        <v>4479.03</v>
      </c>
      <c r="J748" s="35">
        <v>763.92</v>
      </c>
      <c r="K748" s="37">
        <v>45493</v>
      </c>
      <c r="L748" s="37">
        <v>45495</v>
      </c>
      <c r="M748" s="35" t="s">
        <v>58</v>
      </c>
      <c r="N748" s="35">
        <v>2</v>
      </c>
      <c r="O748" s="35" t="s">
        <v>205</v>
      </c>
      <c r="P748" s="35">
        <v>8.8000000000000007</v>
      </c>
    </row>
    <row r="749" spans="1:16" ht="15.75" customHeight="1" x14ac:dyDescent="0.3">
      <c r="A749" s="35" t="s">
        <v>1771</v>
      </c>
      <c r="B749" s="35" t="s">
        <v>1772</v>
      </c>
      <c r="C749" s="35" t="s">
        <v>168</v>
      </c>
      <c r="D749" s="35" t="s">
        <v>43</v>
      </c>
      <c r="E749" s="35" t="s">
        <v>32</v>
      </c>
      <c r="F749" s="35">
        <v>9</v>
      </c>
      <c r="G749" s="35">
        <v>1499.95</v>
      </c>
      <c r="H749" s="35">
        <v>13499.55</v>
      </c>
      <c r="I749" s="35">
        <v>7101.4</v>
      </c>
      <c r="J749" s="35">
        <v>6398.15</v>
      </c>
      <c r="K749" s="37">
        <v>45675</v>
      </c>
      <c r="L749" s="37">
        <v>45685</v>
      </c>
      <c r="M749" s="35" t="s">
        <v>21</v>
      </c>
      <c r="N749" s="35">
        <v>1</v>
      </c>
      <c r="O749" s="35" t="s">
        <v>533</v>
      </c>
      <c r="P749" s="35">
        <v>8.8000000000000007</v>
      </c>
    </row>
    <row r="750" spans="1:16" ht="15.75" customHeight="1" x14ac:dyDescent="0.3">
      <c r="A750" s="35" t="s">
        <v>1773</v>
      </c>
      <c r="B750" s="35" t="s">
        <v>1774</v>
      </c>
      <c r="C750" s="35" t="s">
        <v>88</v>
      </c>
      <c r="D750" s="35" t="s">
        <v>31</v>
      </c>
      <c r="E750" s="35" t="s">
        <v>25</v>
      </c>
      <c r="F750" s="35">
        <v>14</v>
      </c>
      <c r="G750" s="35">
        <v>1066.3900000000001</v>
      </c>
      <c r="H750" s="35">
        <v>14929.46</v>
      </c>
      <c r="I750" s="35">
        <v>8789.5</v>
      </c>
      <c r="J750" s="35">
        <v>6139.96</v>
      </c>
      <c r="K750" s="37">
        <v>45439</v>
      </c>
      <c r="L750" s="37">
        <v>45449</v>
      </c>
      <c r="M750" s="35" t="s">
        <v>123</v>
      </c>
      <c r="N750" s="35">
        <v>5</v>
      </c>
      <c r="O750" s="35" t="s">
        <v>205</v>
      </c>
      <c r="P750" s="35">
        <v>8.1</v>
      </c>
    </row>
    <row r="751" spans="1:16" ht="15.75" customHeight="1" x14ac:dyDescent="0.3">
      <c r="A751" s="35" t="s">
        <v>1775</v>
      </c>
      <c r="B751" s="35" t="s">
        <v>1776</v>
      </c>
      <c r="C751" s="35" t="s">
        <v>37</v>
      </c>
      <c r="D751" s="35" t="s">
        <v>19</v>
      </c>
      <c r="E751" s="35" t="s">
        <v>32</v>
      </c>
      <c r="F751" s="35">
        <v>3</v>
      </c>
      <c r="G751" s="35">
        <v>1881.1</v>
      </c>
      <c r="H751" s="35">
        <v>5643.3</v>
      </c>
      <c r="I751" s="35">
        <v>3892.51</v>
      </c>
      <c r="J751" s="35">
        <v>1750.79</v>
      </c>
      <c r="K751" s="37">
        <v>45448</v>
      </c>
      <c r="L751" s="37">
        <v>45458</v>
      </c>
      <c r="M751" s="35" t="s">
        <v>38</v>
      </c>
      <c r="N751" s="35">
        <v>1</v>
      </c>
      <c r="O751" s="35" t="s">
        <v>1395</v>
      </c>
      <c r="P751" s="35">
        <v>7.9</v>
      </c>
    </row>
    <row r="752" spans="1:16" ht="15.75" customHeight="1" x14ac:dyDescent="0.3">
      <c r="A752" s="35" t="s">
        <v>1777</v>
      </c>
      <c r="B752" s="35" t="s">
        <v>1778</v>
      </c>
      <c r="C752" s="35" t="s">
        <v>168</v>
      </c>
      <c r="D752" s="35" t="s">
        <v>43</v>
      </c>
      <c r="E752" s="35" t="s">
        <v>20</v>
      </c>
      <c r="F752" s="35">
        <v>3</v>
      </c>
      <c r="G752" s="35">
        <v>2890.52</v>
      </c>
      <c r="H752" s="35">
        <v>8671.56</v>
      </c>
      <c r="I752" s="35">
        <v>4460.59</v>
      </c>
      <c r="J752" s="35">
        <v>4210.97</v>
      </c>
      <c r="K752" s="37">
        <v>45585</v>
      </c>
      <c r="L752" s="37">
        <v>45590</v>
      </c>
      <c r="M752" s="35" t="s">
        <v>33</v>
      </c>
      <c r="N752" s="35">
        <v>5</v>
      </c>
      <c r="O752" s="35" t="s">
        <v>904</v>
      </c>
      <c r="P752" s="35">
        <v>6.2</v>
      </c>
    </row>
    <row r="753" spans="1:16" ht="15.75" customHeight="1" x14ac:dyDescent="0.3">
      <c r="A753" s="35" t="s">
        <v>1779</v>
      </c>
      <c r="B753" s="35" t="s">
        <v>1780</v>
      </c>
      <c r="C753" s="35" t="s">
        <v>139</v>
      </c>
      <c r="D753" s="35" t="s">
        <v>31</v>
      </c>
      <c r="E753" s="35" t="s">
        <v>44</v>
      </c>
      <c r="F753" s="35">
        <v>14</v>
      </c>
      <c r="G753" s="35">
        <v>1625.67</v>
      </c>
      <c r="H753" s="35">
        <v>22759.38</v>
      </c>
      <c r="I753" s="35">
        <v>14998.73</v>
      </c>
      <c r="J753" s="35">
        <v>7760.65</v>
      </c>
      <c r="K753" s="37">
        <v>45469</v>
      </c>
      <c r="L753" s="37">
        <v>45479</v>
      </c>
      <c r="M753" s="35" t="s">
        <v>123</v>
      </c>
      <c r="N753" s="35">
        <v>1</v>
      </c>
      <c r="O753" s="35" t="s">
        <v>251</v>
      </c>
      <c r="P753" s="35">
        <v>9.1999999999999993</v>
      </c>
    </row>
    <row r="754" spans="1:16" ht="15.75" customHeight="1" x14ac:dyDescent="0.3">
      <c r="A754" s="35" t="s">
        <v>1781</v>
      </c>
      <c r="B754" s="35" t="s">
        <v>689</v>
      </c>
      <c r="C754" s="35" t="s">
        <v>30</v>
      </c>
      <c r="D754" s="35" t="s">
        <v>31</v>
      </c>
      <c r="E754" s="35" t="s">
        <v>32</v>
      </c>
      <c r="F754" s="35">
        <v>6</v>
      </c>
      <c r="G754" s="35">
        <v>427.11</v>
      </c>
      <c r="H754" s="35">
        <v>2562.66</v>
      </c>
      <c r="I754" s="35">
        <v>2113.88</v>
      </c>
      <c r="J754" s="35">
        <v>448.78</v>
      </c>
      <c r="K754" s="37">
        <v>45967</v>
      </c>
      <c r="L754" s="37">
        <v>45972</v>
      </c>
      <c r="M754" s="35" t="s">
        <v>50</v>
      </c>
      <c r="N754" s="35">
        <v>1</v>
      </c>
      <c r="O754" s="35" t="s">
        <v>332</v>
      </c>
      <c r="P754" s="35">
        <v>7.4</v>
      </c>
    </row>
    <row r="755" spans="1:16" ht="15.75" customHeight="1" x14ac:dyDescent="0.3">
      <c r="A755" s="35" t="s">
        <v>1782</v>
      </c>
      <c r="B755" s="35" t="s">
        <v>1783</v>
      </c>
      <c r="C755" s="35" t="s">
        <v>72</v>
      </c>
      <c r="D755" s="35" t="s">
        <v>31</v>
      </c>
      <c r="E755" s="35" t="s">
        <v>32</v>
      </c>
      <c r="F755" s="35">
        <v>14</v>
      </c>
      <c r="G755" s="35">
        <v>1648.05</v>
      </c>
      <c r="H755" s="35">
        <v>23072.7</v>
      </c>
      <c r="I755" s="35">
        <v>16639.13</v>
      </c>
      <c r="J755" s="35">
        <v>6433.57</v>
      </c>
      <c r="K755" s="37">
        <v>45807</v>
      </c>
      <c r="L755" s="37">
        <v>45817</v>
      </c>
      <c r="M755" s="35" t="s">
        <v>26</v>
      </c>
      <c r="N755" s="35">
        <v>5</v>
      </c>
      <c r="O755" s="35" t="s">
        <v>741</v>
      </c>
      <c r="P755" s="35">
        <v>6.9</v>
      </c>
    </row>
    <row r="756" spans="1:16" ht="15.75" customHeight="1" x14ac:dyDescent="0.3">
      <c r="A756" s="35" t="s">
        <v>1784</v>
      </c>
      <c r="B756" s="35" t="s">
        <v>1785</v>
      </c>
      <c r="C756" s="35" t="s">
        <v>95</v>
      </c>
      <c r="D756" s="35" t="s">
        <v>19</v>
      </c>
      <c r="E756" s="35" t="s">
        <v>25</v>
      </c>
      <c r="F756" s="35">
        <v>11</v>
      </c>
      <c r="G756" s="35">
        <v>3867.51</v>
      </c>
      <c r="H756" s="35">
        <v>42542.61</v>
      </c>
      <c r="I756" s="35">
        <v>28330.46</v>
      </c>
      <c r="J756" s="35">
        <v>14212.15</v>
      </c>
      <c r="K756" s="37">
        <v>45672</v>
      </c>
      <c r="L756" s="37">
        <v>45676</v>
      </c>
      <c r="M756" s="35" t="s">
        <v>50</v>
      </c>
      <c r="N756" s="35">
        <v>5</v>
      </c>
      <c r="O756" s="35" t="s">
        <v>406</v>
      </c>
      <c r="P756" s="35">
        <v>9.5</v>
      </c>
    </row>
    <row r="757" spans="1:16" ht="15.75" customHeight="1" x14ac:dyDescent="0.3">
      <c r="A757" s="35" t="s">
        <v>1786</v>
      </c>
      <c r="B757" s="35" t="s">
        <v>1787</v>
      </c>
      <c r="C757" s="35" t="s">
        <v>57</v>
      </c>
      <c r="D757" s="35" t="s">
        <v>19</v>
      </c>
      <c r="E757" s="35" t="s">
        <v>20</v>
      </c>
      <c r="F757" s="35">
        <v>20</v>
      </c>
      <c r="G757" s="35">
        <v>2145.0700000000002</v>
      </c>
      <c r="H757" s="35">
        <v>42901.4</v>
      </c>
      <c r="I757" s="35">
        <v>27778.959999999999</v>
      </c>
      <c r="J757" s="35">
        <v>15122.44</v>
      </c>
      <c r="K757" s="37">
        <v>45849</v>
      </c>
      <c r="L757" s="37">
        <v>45856</v>
      </c>
      <c r="M757" s="35" t="s">
        <v>69</v>
      </c>
      <c r="N757" s="35">
        <v>4</v>
      </c>
      <c r="O757" s="35" t="s">
        <v>746</v>
      </c>
      <c r="P757" s="35">
        <v>8.1</v>
      </c>
    </row>
    <row r="758" spans="1:16" ht="15.75" customHeight="1" x14ac:dyDescent="0.3">
      <c r="A758" s="35" t="s">
        <v>1788</v>
      </c>
      <c r="B758" s="35" t="s">
        <v>1789</v>
      </c>
      <c r="C758" s="35" t="s">
        <v>62</v>
      </c>
      <c r="D758" s="35" t="s">
        <v>31</v>
      </c>
      <c r="E758" s="35" t="s">
        <v>20</v>
      </c>
      <c r="F758" s="35">
        <v>4</v>
      </c>
      <c r="G758" s="35">
        <v>1824.91</v>
      </c>
      <c r="H758" s="35">
        <v>7299.64</v>
      </c>
      <c r="I758" s="35">
        <v>5680</v>
      </c>
      <c r="J758" s="35">
        <v>1619.64</v>
      </c>
      <c r="K758" s="37">
        <v>45780</v>
      </c>
      <c r="L758" s="37">
        <v>45790</v>
      </c>
      <c r="M758" s="35" t="s">
        <v>50</v>
      </c>
      <c r="N758" s="35">
        <v>2</v>
      </c>
      <c r="O758" s="35" t="s">
        <v>202</v>
      </c>
      <c r="P758" s="35">
        <v>9.1</v>
      </c>
    </row>
    <row r="759" spans="1:16" ht="15.75" customHeight="1" x14ac:dyDescent="0.3">
      <c r="A759" s="35" t="s">
        <v>1790</v>
      </c>
      <c r="B759" s="35" t="s">
        <v>1791</v>
      </c>
      <c r="C759" s="35" t="s">
        <v>195</v>
      </c>
      <c r="D759" s="35" t="s">
        <v>43</v>
      </c>
      <c r="E759" s="35" t="s">
        <v>32</v>
      </c>
      <c r="F759" s="35">
        <v>9</v>
      </c>
      <c r="G759" s="35">
        <v>1123.3900000000001</v>
      </c>
      <c r="H759" s="35">
        <v>10110.51</v>
      </c>
      <c r="I759" s="35">
        <v>5686.02</v>
      </c>
      <c r="J759" s="35">
        <v>4424.49</v>
      </c>
      <c r="K759" s="37">
        <v>45680</v>
      </c>
      <c r="L759" s="37">
        <v>45682</v>
      </c>
      <c r="M759" s="35" t="s">
        <v>26</v>
      </c>
      <c r="N759" s="35">
        <v>4</v>
      </c>
      <c r="O759" s="35" t="s">
        <v>136</v>
      </c>
      <c r="P759" s="35">
        <v>7.1</v>
      </c>
    </row>
    <row r="760" spans="1:16" ht="15.75" customHeight="1" x14ac:dyDescent="0.3">
      <c r="A760" s="35" t="s">
        <v>1792</v>
      </c>
      <c r="B760" s="35" t="s">
        <v>1793</v>
      </c>
      <c r="C760" s="35" t="s">
        <v>95</v>
      </c>
      <c r="D760" s="35" t="s">
        <v>19</v>
      </c>
      <c r="E760" s="35" t="s">
        <v>32</v>
      </c>
      <c r="F760" s="35">
        <v>18</v>
      </c>
      <c r="G760" s="35">
        <v>115.96</v>
      </c>
      <c r="H760" s="35">
        <v>2087.2800000000002</v>
      </c>
      <c r="I760" s="35">
        <v>1556.16</v>
      </c>
      <c r="J760" s="35">
        <v>531.12</v>
      </c>
      <c r="K760" s="37">
        <v>45597</v>
      </c>
      <c r="L760" s="37">
        <v>45603</v>
      </c>
      <c r="M760" s="35" t="s">
        <v>181</v>
      </c>
      <c r="N760" s="35">
        <v>4</v>
      </c>
      <c r="O760" s="35" t="s">
        <v>441</v>
      </c>
      <c r="P760" s="35">
        <v>9.9</v>
      </c>
    </row>
    <row r="761" spans="1:16" ht="15.75" customHeight="1" x14ac:dyDescent="0.3">
      <c r="A761" s="35" t="s">
        <v>1794</v>
      </c>
      <c r="B761" s="35" t="s">
        <v>1795</v>
      </c>
      <c r="C761" s="35" t="s">
        <v>95</v>
      </c>
      <c r="D761" s="35" t="s">
        <v>19</v>
      </c>
      <c r="E761" s="35" t="s">
        <v>44</v>
      </c>
      <c r="F761" s="35">
        <v>5</v>
      </c>
      <c r="G761" s="35">
        <v>2223.29</v>
      </c>
      <c r="H761" s="35">
        <v>11116.45</v>
      </c>
      <c r="I761" s="35">
        <v>8751.35</v>
      </c>
      <c r="J761" s="35">
        <v>2365.1</v>
      </c>
      <c r="K761" s="37">
        <v>46059</v>
      </c>
      <c r="L761" s="37">
        <v>46068</v>
      </c>
      <c r="M761" s="35" t="s">
        <v>21</v>
      </c>
      <c r="N761" s="35">
        <v>1</v>
      </c>
      <c r="O761" s="35" t="s">
        <v>79</v>
      </c>
      <c r="P761" s="35">
        <v>6.2</v>
      </c>
    </row>
    <row r="762" spans="1:16" ht="15.75" customHeight="1" x14ac:dyDescent="0.3">
      <c r="A762" s="35" t="s">
        <v>1796</v>
      </c>
      <c r="B762" s="35" t="s">
        <v>1797</v>
      </c>
      <c r="C762" s="35" t="s">
        <v>195</v>
      </c>
      <c r="D762" s="35" t="s">
        <v>43</v>
      </c>
      <c r="E762" s="35" t="s">
        <v>25</v>
      </c>
      <c r="F762" s="35">
        <v>11</v>
      </c>
      <c r="G762" s="35">
        <v>1221.58</v>
      </c>
      <c r="H762" s="35">
        <v>13437.38</v>
      </c>
      <c r="I762" s="35">
        <v>9559.76</v>
      </c>
      <c r="J762" s="35">
        <v>3877.62</v>
      </c>
      <c r="K762" s="37">
        <v>46030</v>
      </c>
      <c r="L762" s="37">
        <v>46037</v>
      </c>
      <c r="M762" s="35" t="s">
        <v>38</v>
      </c>
      <c r="N762" s="35">
        <v>2</v>
      </c>
      <c r="O762" s="35" t="s">
        <v>604</v>
      </c>
      <c r="P762" s="35">
        <v>9.6999999999999993</v>
      </c>
    </row>
    <row r="763" spans="1:16" ht="15.75" customHeight="1" x14ac:dyDescent="0.3">
      <c r="A763" s="35" t="s">
        <v>1798</v>
      </c>
      <c r="B763" s="35" t="s">
        <v>1799</v>
      </c>
      <c r="C763" s="35" t="s">
        <v>57</v>
      </c>
      <c r="D763" s="35" t="s">
        <v>19</v>
      </c>
      <c r="E763" s="35" t="s">
        <v>32</v>
      </c>
      <c r="F763" s="35">
        <v>6</v>
      </c>
      <c r="G763" s="35">
        <v>1654.09</v>
      </c>
      <c r="H763" s="35">
        <v>9924.5400000000009</v>
      </c>
      <c r="I763" s="35">
        <v>7046.74</v>
      </c>
      <c r="J763" s="35">
        <v>2877.8</v>
      </c>
      <c r="K763" s="37">
        <v>45446</v>
      </c>
      <c r="L763" s="37">
        <v>45451</v>
      </c>
      <c r="M763" s="35" t="s">
        <v>21</v>
      </c>
      <c r="N763" s="35">
        <v>4</v>
      </c>
      <c r="O763" s="35" t="s">
        <v>343</v>
      </c>
      <c r="P763" s="35">
        <v>8.9</v>
      </c>
    </row>
    <row r="764" spans="1:16" ht="15.75" customHeight="1" x14ac:dyDescent="0.3">
      <c r="A764" s="35" t="s">
        <v>1800</v>
      </c>
      <c r="B764" s="35" t="s">
        <v>1801</v>
      </c>
      <c r="C764" s="35" t="s">
        <v>62</v>
      </c>
      <c r="D764" s="35" t="s">
        <v>31</v>
      </c>
      <c r="E764" s="35" t="s">
        <v>32</v>
      </c>
      <c r="F764" s="35">
        <v>4</v>
      </c>
      <c r="G764" s="35">
        <v>2337.9699999999998</v>
      </c>
      <c r="H764" s="35">
        <v>9351.8799999999992</v>
      </c>
      <c r="I764" s="35">
        <v>8168.29</v>
      </c>
      <c r="J764" s="35">
        <v>1183.5899999999999</v>
      </c>
      <c r="K764" s="37">
        <v>45895</v>
      </c>
      <c r="L764" s="37">
        <v>45896</v>
      </c>
      <c r="M764" s="35" t="s">
        <v>58</v>
      </c>
      <c r="N764" s="35">
        <v>3</v>
      </c>
      <c r="O764" s="35" t="s">
        <v>267</v>
      </c>
      <c r="P764" s="35">
        <v>6.6</v>
      </c>
    </row>
    <row r="765" spans="1:16" ht="15.75" customHeight="1" x14ac:dyDescent="0.3">
      <c r="A765" s="35" t="s">
        <v>1802</v>
      </c>
      <c r="B765" s="35" t="s">
        <v>1803</v>
      </c>
      <c r="C765" s="35" t="s">
        <v>72</v>
      </c>
      <c r="D765" s="35" t="s">
        <v>31</v>
      </c>
      <c r="E765" s="35" t="s">
        <v>32</v>
      </c>
      <c r="F765" s="35">
        <v>17</v>
      </c>
      <c r="G765" s="35">
        <v>3549.19</v>
      </c>
      <c r="H765" s="35">
        <v>60336.23</v>
      </c>
      <c r="I765" s="35">
        <v>34356.01</v>
      </c>
      <c r="J765" s="35">
        <v>25980.22</v>
      </c>
      <c r="K765" s="37">
        <v>45735</v>
      </c>
      <c r="L765" s="37">
        <v>45739</v>
      </c>
      <c r="M765" s="35" t="s">
        <v>45</v>
      </c>
      <c r="N765" s="35">
        <v>1</v>
      </c>
      <c r="O765" s="35" t="s">
        <v>486</v>
      </c>
      <c r="P765" s="35">
        <v>6.2</v>
      </c>
    </row>
    <row r="766" spans="1:16" ht="15.75" customHeight="1" x14ac:dyDescent="0.3">
      <c r="A766" s="35" t="s">
        <v>1804</v>
      </c>
      <c r="B766" s="35" t="s">
        <v>1805</v>
      </c>
      <c r="C766" s="35" t="s">
        <v>18</v>
      </c>
      <c r="D766" s="35" t="s">
        <v>19</v>
      </c>
      <c r="E766" s="35" t="s">
        <v>44</v>
      </c>
      <c r="F766" s="35">
        <v>8</v>
      </c>
      <c r="G766" s="35">
        <v>1200.45</v>
      </c>
      <c r="H766" s="35">
        <v>9603.6</v>
      </c>
      <c r="I766" s="35">
        <v>4810.6000000000004</v>
      </c>
      <c r="J766" s="35">
        <v>4793</v>
      </c>
      <c r="K766" s="37">
        <v>46018</v>
      </c>
      <c r="L766" s="37">
        <v>46027</v>
      </c>
      <c r="M766" s="35" t="s">
        <v>181</v>
      </c>
      <c r="N766" s="35">
        <v>1</v>
      </c>
      <c r="O766" s="35" t="s">
        <v>124</v>
      </c>
      <c r="P766" s="35">
        <v>9.1999999999999993</v>
      </c>
    </row>
    <row r="767" spans="1:16" ht="15.75" customHeight="1" x14ac:dyDescent="0.3">
      <c r="A767" s="35" t="s">
        <v>1806</v>
      </c>
      <c r="B767" s="35" t="s">
        <v>1807</v>
      </c>
      <c r="C767" s="35" t="s">
        <v>168</v>
      </c>
      <c r="D767" s="35" t="s">
        <v>43</v>
      </c>
      <c r="E767" s="35" t="s">
        <v>44</v>
      </c>
      <c r="F767" s="35">
        <v>15</v>
      </c>
      <c r="G767" s="35">
        <v>4408.63</v>
      </c>
      <c r="H767" s="35">
        <v>66129.45</v>
      </c>
      <c r="I767" s="35">
        <v>59403.4</v>
      </c>
      <c r="J767" s="35">
        <v>6726.05</v>
      </c>
      <c r="K767" s="37">
        <v>46047</v>
      </c>
      <c r="L767" s="37">
        <v>46052</v>
      </c>
      <c r="M767" s="35" t="s">
        <v>58</v>
      </c>
      <c r="N767" s="35">
        <v>1</v>
      </c>
      <c r="O767" s="35" t="s">
        <v>409</v>
      </c>
      <c r="P767" s="35">
        <v>8.4</v>
      </c>
    </row>
    <row r="768" spans="1:16" ht="15.75" customHeight="1" x14ac:dyDescent="0.3">
      <c r="A768" s="35" t="s">
        <v>1808</v>
      </c>
      <c r="B768" s="35" t="s">
        <v>1809</v>
      </c>
      <c r="C768" s="35" t="s">
        <v>30</v>
      </c>
      <c r="D768" s="35" t="s">
        <v>31</v>
      </c>
      <c r="E768" s="35" t="s">
        <v>20</v>
      </c>
      <c r="F768" s="35">
        <v>11</v>
      </c>
      <c r="G768" s="35">
        <v>4829</v>
      </c>
      <c r="H768" s="35">
        <v>53119</v>
      </c>
      <c r="I768" s="35">
        <v>28204.25</v>
      </c>
      <c r="J768" s="35">
        <v>24914.75</v>
      </c>
      <c r="K768" s="37">
        <v>45730</v>
      </c>
      <c r="L768" s="37">
        <v>45736</v>
      </c>
      <c r="M768" s="35" t="s">
        <v>21</v>
      </c>
      <c r="N768" s="35">
        <v>3</v>
      </c>
      <c r="O768" s="35" t="s">
        <v>394</v>
      </c>
      <c r="P768" s="35">
        <v>9.1999999999999993</v>
      </c>
    </row>
    <row r="769" spans="1:16" ht="15.75" customHeight="1" x14ac:dyDescent="0.3">
      <c r="A769" s="35" t="s">
        <v>1810</v>
      </c>
      <c r="B769" s="35" t="s">
        <v>1811</v>
      </c>
      <c r="C769" s="35" t="s">
        <v>139</v>
      </c>
      <c r="D769" s="35" t="s">
        <v>31</v>
      </c>
      <c r="E769" s="35" t="s">
        <v>44</v>
      </c>
      <c r="F769" s="35">
        <v>18</v>
      </c>
      <c r="G769" s="35">
        <v>1640.2</v>
      </c>
      <c r="H769" s="35">
        <v>29523.599999999999</v>
      </c>
      <c r="I769" s="35">
        <v>22888.29</v>
      </c>
      <c r="J769" s="35">
        <v>6635.31</v>
      </c>
      <c r="K769" s="37">
        <v>45777</v>
      </c>
      <c r="L769" s="37">
        <v>45778</v>
      </c>
      <c r="M769" s="35" t="s">
        <v>45</v>
      </c>
      <c r="N769" s="35">
        <v>5</v>
      </c>
      <c r="O769" s="35" t="s">
        <v>300</v>
      </c>
      <c r="P769" s="35">
        <v>7</v>
      </c>
    </row>
    <row r="770" spans="1:16" ht="15.75" customHeight="1" x14ac:dyDescent="0.3">
      <c r="A770" s="35" t="s">
        <v>1812</v>
      </c>
      <c r="B770" s="35" t="s">
        <v>213</v>
      </c>
      <c r="C770" s="35" t="s">
        <v>57</v>
      </c>
      <c r="D770" s="35" t="s">
        <v>19</v>
      </c>
      <c r="E770" s="35" t="s">
        <v>25</v>
      </c>
      <c r="F770" s="35">
        <v>9</v>
      </c>
      <c r="G770" s="35">
        <v>1438.93</v>
      </c>
      <c r="H770" s="35">
        <v>12950.37</v>
      </c>
      <c r="I770" s="35">
        <v>11545.31</v>
      </c>
      <c r="J770" s="35">
        <v>1405.06</v>
      </c>
      <c r="K770" s="37">
        <v>45568</v>
      </c>
      <c r="L770" s="37">
        <v>45570</v>
      </c>
      <c r="M770" s="35" t="s">
        <v>21</v>
      </c>
      <c r="N770" s="35">
        <v>4</v>
      </c>
      <c r="O770" s="35" t="s">
        <v>359</v>
      </c>
      <c r="P770" s="35">
        <v>8.8000000000000007</v>
      </c>
    </row>
    <row r="771" spans="1:16" ht="15.75" customHeight="1" x14ac:dyDescent="0.3">
      <c r="A771" s="35" t="s">
        <v>1813</v>
      </c>
      <c r="B771" s="35" t="s">
        <v>1814</v>
      </c>
      <c r="C771" s="35" t="s">
        <v>49</v>
      </c>
      <c r="D771" s="35" t="s">
        <v>43</v>
      </c>
      <c r="E771" s="35" t="s">
        <v>20</v>
      </c>
      <c r="F771" s="35">
        <v>17</v>
      </c>
      <c r="G771" s="35">
        <v>2698.4</v>
      </c>
      <c r="H771" s="35">
        <v>45872.800000000003</v>
      </c>
      <c r="I771" s="35">
        <v>33154.620000000003</v>
      </c>
      <c r="J771" s="35">
        <v>12718.18</v>
      </c>
      <c r="K771" s="37">
        <v>45502</v>
      </c>
      <c r="L771" s="37">
        <v>45507</v>
      </c>
      <c r="M771" s="35" t="s">
        <v>45</v>
      </c>
      <c r="N771" s="35">
        <v>5</v>
      </c>
      <c r="O771" s="35" t="s">
        <v>232</v>
      </c>
      <c r="P771" s="35">
        <v>9.6999999999999993</v>
      </c>
    </row>
    <row r="772" spans="1:16" ht="15.75" customHeight="1" x14ac:dyDescent="0.3">
      <c r="A772" s="35" t="s">
        <v>1815</v>
      </c>
      <c r="B772" s="35" t="s">
        <v>1816</v>
      </c>
      <c r="C772" s="35" t="s">
        <v>168</v>
      </c>
      <c r="D772" s="35" t="s">
        <v>43</v>
      </c>
      <c r="E772" s="35" t="s">
        <v>32</v>
      </c>
      <c r="F772" s="35">
        <v>14</v>
      </c>
      <c r="G772" s="35">
        <v>3522.12</v>
      </c>
      <c r="H772" s="35">
        <v>49309.68</v>
      </c>
      <c r="I772" s="35">
        <v>40625.21</v>
      </c>
      <c r="J772" s="35">
        <v>8684.4699999999993</v>
      </c>
      <c r="K772" s="37">
        <v>45510</v>
      </c>
      <c r="L772" s="37">
        <v>45512</v>
      </c>
      <c r="M772" s="35" t="s">
        <v>45</v>
      </c>
      <c r="N772" s="35">
        <v>2</v>
      </c>
      <c r="O772" s="35" t="s">
        <v>192</v>
      </c>
      <c r="P772" s="35">
        <v>7.7</v>
      </c>
    </row>
    <row r="773" spans="1:16" ht="15.75" customHeight="1" x14ac:dyDescent="0.3">
      <c r="A773" s="35" t="s">
        <v>1817</v>
      </c>
      <c r="B773" s="35" t="s">
        <v>1818</v>
      </c>
      <c r="C773" s="35" t="s">
        <v>18</v>
      </c>
      <c r="D773" s="35" t="s">
        <v>19</v>
      </c>
      <c r="E773" s="35" t="s">
        <v>20</v>
      </c>
      <c r="F773" s="35">
        <v>9</v>
      </c>
      <c r="G773" s="35">
        <v>148.72999999999999</v>
      </c>
      <c r="H773" s="35">
        <v>1338.57</v>
      </c>
      <c r="I773" s="35">
        <v>1056.51</v>
      </c>
      <c r="J773" s="35">
        <v>282.06</v>
      </c>
      <c r="K773" s="37">
        <v>45879</v>
      </c>
      <c r="L773" s="37">
        <v>45887</v>
      </c>
      <c r="M773" s="35" t="s">
        <v>33</v>
      </c>
      <c r="N773" s="35">
        <v>4</v>
      </c>
      <c r="O773" s="35" t="s">
        <v>470</v>
      </c>
      <c r="P773" s="35">
        <v>9.1999999999999993</v>
      </c>
    </row>
    <row r="774" spans="1:16" ht="15.75" customHeight="1" x14ac:dyDescent="0.3">
      <c r="A774" s="35" t="s">
        <v>1819</v>
      </c>
      <c r="B774" s="35" t="s">
        <v>1820</v>
      </c>
      <c r="C774" s="35" t="s">
        <v>139</v>
      </c>
      <c r="D774" s="35" t="s">
        <v>31</v>
      </c>
      <c r="E774" s="35" t="s">
        <v>32</v>
      </c>
      <c r="F774" s="35">
        <v>18</v>
      </c>
      <c r="G774" s="35">
        <v>2089.75</v>
      </c>
      <c r="H774" s="35">
        <v>37615.5</v>
      </c>
      <c r="I774" s="35">
        <v>20928.689999999999</v>
      </c>
      <c r="J774" s="35">
        <v>16686.810000000001</v>
      </c>
      <c r="K774" s="37">
        <v>45515</v>
      </c>
      <c r="L774" s="37">
        <v>45523</v>
      </c>
      <c r="M774" s="35" t="s">
        <v>45</v>
      </c>
      <c r="N774" s="35">
        <v>5</v>
      </c>
      <c r="O774" s="35" t="s">
        <v>423</v>
      </c>
      <c r="P774" s="35">
        <v>8.8000000000000007</v>
      </c>
    </row>
    <row r="775" spans="1:16" ht="15.75" customHeight="1" x14ac:dyDescent="0.3">
      <c r="A775" s="35" t="s">
        <v>1821</v>
      </c>
      <c r="B775" s="35" t="s">
        <v>1822</v>
      </c>
      <c r="C775" s="35" t="s">
        <v>37</v>
      </c>
      <c r="D775" s="35" t="s">
        <v>19</v>
      </c>
      <c r="E775" s="35" t="s">
        <v>25</v>
      </c>
      <c r="F775" s="35">
        <v>9</v>
      </c>
      <c r="G775" s="35">
        <v>4151.63</v>
      </c>
      <c r="H775" s="35">
        <v>37364.67</v>
      </c>
      <c r="I775" s="35">
        <v>30051.41</v>
      </c>
      <c r="J775" s="35">
        <v>7313.26</v>
      </c>
      <c r="K775" s="37">
        <v>45820</v>
      </c>
      <c r="L775" s="37">
        <v>45826</v>
      </c>
      <c r="M775" s="35" t="s">
        <v>50</v>
      </c>
      <c r="N775" s="35">
        <v>4</v>
      </c>
      <c r="O775" s="35" t="s">
        <v>111</v>
      </c>
      <c r="P775" s="35">
        <v>9.8000000000000007</v>
      </c>
    </row>
    <row r="776" spans="1:16" ht="15.75" customHeight="1" x14ac:dyDescent="0.3">
      <c r="A776" s="35" t="s">
        <v>1823</v>
      </c>
      <c r="B776" s="35" t="s">
        <v>1824</v>
      </c>
      <c r="C776" s="35" t="s">
        <v>219</v>
      </c>
      <c r="D776" s="35" t="s">
        <v>43</v>
      </c>
      <c r="E776" s="35" t="s">
        <v>44</v>
      </c>
      <c r="F776" s="35">
        <v>20</v>
      </c>
      <c r="G776" s="35">
        <v>2093.87</v>
      </c>
      <c r="H776" s="35">
        <v>41877.4</v>
      </c>
      <c r="I776" s="35">
        <v>32314.44</v>
      </c>
      <c r="J776" s="35">
        <v>9562.9599999999991</v>
      </c>
      <c r="K776" s="37">
        <v>45941</v>
      </c>
      <c r="L776" s="37">
        <v>45948</v>
      </c>
      <c r="M776" s="35" t="s">
        <v>26</v>
      </c>
      <c r="N776" s="35">
        <v>1</v>
      </c>
      <c r="O776" s="35" t="s">
        <v>202</v>
      </c>
      <c r="P776" s="35">
        <v>6.4</v>
      </c>
    </row>
    <row r="777" spans="1:16" ht="15.75" customHeight="1" x14ac:dyDescent="0.3">
      <c r="A777" s="35" t="s">
        <v>1825</v>
      </c>
      <c r="B777" s="35" t="s">
        <v>1826</v>
      </c>
      <c r="C777" s="35" t="s">
        <v>62</v>
      </c>
      <c r="D777" s="35" t="s">
        <v>31</v>
      </c>
      <c r="E777" s="35" t="s">
        <v>20</v>
      </c>
      <c r="F777" s="35">
        <v>4</v>
      </c>
      <c r="G777" s="35">
        <v>2134.3000000000002</v>
      </c>
      <c r="H777" s="35">
        <v>8537.2000000000007</v>
      </c>
      <c r="I777" s="35">
        <v>7079.28</v>
      </c>
      <c r="J777" s="35">
        <v>1457.92</v>
      </c>
      <c r="K777" s="37">
        <v>45778</v>
      </c>
      <c r="L777" s="37">
        <v>45786</v>
      </c>
      <c r="M777" s="35" t="s">
        <v>69</v>
      </c>
      <c r="N777" s="35">
        <v>1</v>
      </c>
      <c r="O777" s="35" t="s">
        <v>117</v>
      </c>
      <c r="P777" s="35">
        <v>7</v>
      </c>
    </row>
    <row r="778" spans="1:16" ht="15.75" customHeight="1" x14ac:dyDescent="0.3">
      <c r="A778" s="35" t="s">
        <v>1827</v>
      </c>
      <c r="B778" s="35" t="s">
        <v>1828</v>
      </c>
      <c r="C778" s="35" t="s">
        <v>219</v>
      </c>
      <c r="D778" s="35" t="s">
        <v>43</v>
      </c>
      <c r="E778" s="35" t="s">
        <v>32</v>
      </c>
      <c r="F778" s="35">
        <v>8</v>
      </c>
      <c r="G778" s="35">
        <v>2056.8000000000002</v>
      </c>
      <c r="H778" s="35">
        <v>16454.400000000001</v>
      </c>
      <c r="I778" s="35">
        <v>8896.24</v>
      </c>
      <c r="J778" s="35">
        <v>7558.16</v>
      </c>
      <c r="K778" s="37">
        <v>45564</v>
      </c>
      <c r="L778" s="37">
        <v>45574</v>
      </c>
      <c r="M778" s="35" t="s">
        <v>181</v>
      </c>
      <c r="N778" s="35">
        <v>4</v>
      </c>
      <c r="O778" s="35" t="s">
        <v>162</v>
      </c>
      <c r="P778" s="35">
        <v>6.2</v>
      </c>
    </row>
    <row r="779" spans="1:16" ht="15.75" customHeight="1" x14ac:dyDescent="0.3">
      <c r="A779" s="35" t="s">
        <v>1829</v>
      </c>
      <c r="B779" s="35" t="s">
        <v>1830</v>
      </c>
      <c r="C779" s="35" t="s">
        <v>139</v>
      </c>
      <c r="D779" s="35" t="s">
        <v>31</v>
      </c>
      <c r="E779" s="35" t="s">
        <v>20</v>
      </c>
      <c r="F779" s="35">
        <v>4</v>
      </c>
      <c r="G779" s="35">
        <v>4359.8100000000004</v>
      </c>
      <c r="H779" s="35">
        <v>17439.240000000002</v>
      </c>
      <c r="I779" s="35">
        <v>14372.12</v>
      </c>
      <c r="J779" s="35">
        <v>3067.12</v>
      </c>
      <c r="K779" s="37">
        <v>45659</v>
      </c>
      <c r="L779" s="37">
        <v>45668</v>
      </c>
      <c r="M779" s="35" t="s">
        <v>58</v>
      </c>
      <c r="N779" s="35">
        <v>1</v>
      </c>
      <c r="O779" s="35" t="s">
        <v>1251</v>
      </c>
      <c r="P779" s="35">
        <v>8.9</v>
      </c>
    </row>
    <row r="780" spans="1:16" ht="15.75" customHeight="1" x14ac:dyDescent="0.3">
      <c r="A780" s="35" t="s">
        <v>1831</v>
      </c>
      <c r="B780" s="35" t="s">
        <v>1832</v>
      </c>
      <c r="C780" s="35" t="s">
        <v>88</v>
      </c>
      <c r="D780" s="35" t="s">
        <v>31</v>
      </c>
      <c r="E780" s="35" t="s">
        <v>32</v>
      </c>
      <c r="F780" s="35">
        <v>12</v>
      </c>
      <c r="G780" s="35">
        <v>3687.67</v>
      </c>
      <c r="H780" s="35">
        <v>44252.04</v>
      </c>
      <c r="I780" s="35">
        <v>30229.87</v>
      </c>
      <c r="J780" s="35">
        <v>14022.17</v>
      </c>
      <c r="K780" s="37">
        <v>45886</v>
      </c>
      <c r="L780" s="37">
        <v>45889</v>
      </c>
      <c r="M780" s="35" t="s">
        <v>69</v>
      </c>
      <c r="N780" s="35">
        <v>5</v>
      </c>
      <c r="O780" s="35" t="s">
        <v>1026</v>
      </c>
      <c r="P780" s="35">
        <v>7.3</v>
      </c>
    </row>
    <row r="781" spans="1:16" ht="15.75" customHeight="1" x14ac:dyDescent="0.3">
      <c r="A781" s="35" t="s">
        <v>1833</v>
      </c>
      <c r="B781" s="35" t="s">
        <v>1834</v>
      </c>
      <c r="C781" s="35" t="s">
        <v>57</v>
      </c>
      <c r="D781" s="35" t="s">
        <v>19</v>
      </c>
      <c r="E781" s="35" t="s">
        <v>44</v>
      </c>
      <c r="F781" s="35">
        <v>7</v>
      </c>
      <c r="G781" s="35">
        <v>4928.93</v>
      </c>
      <c r="H781" s="35">
        <v>34502.51</v>
      </c>
      <c r="I781" s="35">
        <v>23507.88</v>
      </c>
      <c r="J781" s="35">
        <v>10994.63</v>
      </c>
      <c r="K781" s="37">
        <v>45512</v>
      </c>
      <c r="L781" s="37">
        <v>45515</v>
      </c>
      <c r="M781" s="35" t="s">
        <v>58</v>
      </c>
      <c r="N781" s="35">
        <v>4</v>
      </c>
      <c r="O781" s="35" t="s">
        <v>375</v>
      </c>
      <c r="P781" s="35">
        <v>6.9</v>
      </c>
    </row>
    <row r="782" spans="1:16" ht="15.75" customHeight="1" x14ac:dyDescent="0.3">
      <c r="A782" s="35" t="s">
        <v>1835</v>
      </c>
      <c r="B782" s="35" t="s">
        <v>1836</v>
      </c>
      <c r="C782" s="35" t="s">
        <v>95</v>
      </c>
      <c r="D782" s="35" t="s">
        <v>19</v>
      </c>
      <c r="E782" s="35" t="s">
        <v>20</v>
      </c>
      <c r="F782" s="35">
        <v>17</v>
      </c>
      <c r="G782" s="35">
        <v>3721.15</v>
      </c>
      <c r="H782" s="35">
        <v>63259.55</v>
      </c>
      <c r="I782" s="35">
        <v>46178.47</v>
      </c>
      <c r="J782" s="35">
        <v>17081.080000000002</v>
      </c>
      <c r="K782" s="37">
        <v>45512</v>
      </c>
      <c r="L782" s="37">
        <v>45515</v>
      </c>
      <c r="M782" s="35" t="s">
        <v>33</v>
      </c>
      <c r="N782" s="35">
        <v>1</v>
      </c>
      <c r="O782" s="35" t="s">
        <v>229</v>
      </c>
      <c r="P782" s="35">
        <v>9.4</v>
      </c>
    </row>
    <row r="783" spans="1:16" ht="15.75" customHeight="1" x14ac:dyDescent="0.3">
      <c r="A783" s="35" t="s">
        <v>1837</v>
      </c>
      <c r="B783" s="35" t="s">
        <v>1838</v>
      </c>
      <c r="C783" s="35" t="s">
        <v>62</v>
      </c>
      <c r="D783" s="35" t="s">
        <v>31</v>
      </c>
      <c r="E783" s="35" t="s">
        <v>32</v>
      </c>
      <c r="F783" s="35">
        <v>12</v>
      </c>
      <c r="G783" s="35">
        <v>3448.53</v>
      </c>
      <c r="H783" s="35">
        <v>41382.36</v>
      </c>
      <c r="I783" s="35">
        <v>29860.93</v>
      </c>
      <c r="J783" s="35">
        <v>11521.43</v>
      </c>
      <c r="K783" s="37">
        <v>45960</v>
      </c>
      <c r="L783" s="37">
        <v>45969</v>
      </c>
      <c r="M783" s="35" t="s">
        <v>69</v>
      </c>
      <c r="N783" s="35">
        <v>2</v>
      </c>
      <c r="O783" s="35" t="s">
        <v>297</v>
      </c>
      <c r="P783" s="35">
        <v>8.3000000000000007</v>
      </c>
    </row>
    <row r="784" spans="1:16" ht="15.75" customHeight="1" x14ac:dyDescent="0.3">
      <c r="A784" s="35" t="s">
        <v>1839</v>
      </c>
      <c r="B784" s="35" t="s">
        <v>1840</v>
      </c>
      <c r="C784" s="35" t="s">
        <v>139</v>
      </c>
      <c r="D784" s="35" t="s">
        <v>31</v>
      </c>
      <c r="E784" s="35" t="s">
        <v>44</v>
      </c>
      <c r="F784" s="35">
        <v>7</v>
      </c>
      <c r="G784" s="35">
        <v>2546.3200000000002</v>
      </c>
      <c r="H784" s="35">
        <v>17824.240000000002</v>
      </c>
      <c r="I784" s="35">
        <v>14118.45</v>
      </c>
      <c r="J784" s="35">
        <v>3705.79</v>
      </c>
      <c r="K784" s="37">
        <v>45631</v>
      </c>
      <c r="L784" s="37">
        <v>45633</v>
      </c>
      <c r="M784" s="35" t="s">
        <v>26</v>
      </c>
      <c r="N784" s="35">
        <v>3</v>
      </c>
      <c r="O784" s="35" t="s">
        <v>251</v>
      </c>
      <c r="P784" s="35">
        <v>8.6999999999999993</v>
      </c>
    </row>
    <row r="785" spans="1:16" ht="15.75" customHeight="1" x14ac:dyDescent="0.3">
      <c r="A785" s="35" t="s">
        <v>1841</v>
      </c>
      <c r="B785" s="35" t="s">
        <v>1842</v>
      </c>
      <c r="C785" s="35" t="s">
        <v>88</v>
      </c>
      <c r="D785" s="35" t="s">
        <v>31</v>
      </c>
      <c r="E785" s="35" t="s">
        <v>20</v>
      </c>
      <c r="F785" s="35">
        <v>4</v>
      </c>
      <c r="G785" s="35">
        <v>1770.76</v>
      </c>
      <c r="H785" s="35">
        <v>7083.04</v>
      </c>
      <c r="I785" s="35">
        <v>6091.34</v>
      </c>
      <c r="J785" s="35">
        <v>991.7</v>
      </c>
      <c r="K785" s="37">
        <v>45890</v>
      </c>
      <c r="L785" s="37">
        <v>45897</v>
      </c>
      <c r="M785" s="35" t="s">
        <v>69</v>
      </c>
      <c r="N785" s="35">
        <v>4</v>
      </c>
      <c r="O785" s="35" t="s">
        <v>799</v>
      </c>
      <c r="P785" s="35">
        <v>6.6</v>
      </c>
    </row>
    <row r="786" spans="1:16" ht="15.75" customHeight="1" x14ac:dyDescent="0.3">
      <c r="A786" s="35" t="s">
        <v>1843</v>
      </c>
      <c r="B786" s="35" t="s">
        <v>1844</v>
      </c>
      <c r="C786" s="35" t="s">
        <v>144</v>
      </c>
      <c r="D786" s="35" t="s">
        <v>19</v>
      </c>
      <c r="E786" s="35" t="s">
        <v>20</v>
      </c>
      <c r="F786" s="35">
        <v>15</v>
      </c>
      <c r="G786" s="35">
        <v>2719.31</v>
      </c>
      <c r="H786" s="35">
        <v>40789.65</v>
      </c>
      <c r="I786" s="35">
        <v>28732.6</v>
      </c>
      <c r="J786" s="35">
        <v>12057.05</v>
      </c>
      <c r="K786" s="37">
        <v>45536</v>
      </c>
      <c r="L786" s="37">
        <v>45540</v>
      </c>
      <c r="M786" s="35" t="s">
        <v>45</v>
      </c>
      <c r="N786" s="35">
        <v>3</v>
      </c>
      <c r="O786" s="35" t="s">
        <v>420</v>
      </c>
      <c r="P786" s="35">
        <v>8.9</v>
      </c>
    </row>
    <row r="787" spans="1:16" ht="15.75" customHeight="1" x14ac:dyDescent="0.3">
      <c r="A787" s="35" t="s">
        <v>1845</v>
      </c>
      <c r="B787" s="35" t="s">
        <v>1846</v>
      </c>
      <c r="C787" s="35" t="s">
        <v>219</v>
      </c>
      <c r="D787" s="35" t="s">
        <v>43</v>
      </c>
      <c r="E787" s="35" t="s">
        <v>20</v>
      </c>
      <c r="F787" s="35">
        <v>1</v>
      </c>
      <c r="G787" s="35">
        <v>4538.92</v>
      </c>
      <c r="H787" s="35">
        <v>4538.92</v>
      </c>
      <c r="I787" s="35">
        <v>2677.66</v>
      </c>
      <c r="J787" s="35">
        <v>1861.26</v>
      </c>
      <c r="K787" s="37">
        <v>45806</v>
      </c>
      <c r="L787" s="37">
        <v>45809</v>
      </c>
      <c r="M787" s="35" t="s">
        <v>26</v>
      </c>
      <c r="N787" s="35">
        <v>5</v>
      </c>
      <c r="O787" s="35" t="s">
        <v>120</v>
      </c>
      <c r="P787" s="35">
        <v>8.4</v>
      </c>
    </row>
    <row r="788" spans="1:16" ht="15.75" customHeight="1" x14ac:dyDescent="0.3">
      <c r="A788" s="35" t="s">
        <v>1847</v>
      </c>
      <c r="B788" s="35" t="s">
        <v>1848</v>
      </c>
      <c r="C788" s="35" t="s">
        <v>168</v>
      </c>
      <c r="D788" s="35" t="s">
        <v>43</v>
      </c>
      <c r="E788" s="35" t="s">
        <v>32</v>
      </c>
      <c r="F788" s="35">
        <v>10</v>
      </c>
      <c r="G788" s="35">
        <v>1915.72</v>
      </c>
      <c r="H788" s="35">
        <v>19157.2</v>
      </c>
      <c r="I788" s="35">
        <v>11046.37</v>
      </c>
      <c r="J788" s="35">
        <v>8110.83</v>
      </c>
      <c r="K788" s="37">
        <v>45882</v>
      </c>
      <c r="L788" s="37">
        <v>45890</v>
      </c>
      <c r="M788" s="35" t="s">
        <v>45</v>
      </c>
      <c r="N788" s="35">
        <v>5</v>
      </c>
      <c r="O788" s="35" t="s">
        <v>1508</v>
      </c>
      <c r="P788" s="35">
        <v>6.8</v>
      </c>
    </row>
    <row r="789" spans="1:16" ht="15.75" customHeight="1" x14ac:dyDescent="0.3">
      <c r="A789" s="35" t="s">
        <v>1849</v>
      </c>
      <c r="B789" s="35" t="s">
        <v>1850</v>
      </c>
      <c r="C789" s="35" t="s">
        <v>144</v>
      </c>
      <c r="D789" s="35" t="s">
        <v>19</v>
      </c>
      <c r="E789" s="35" t="s">
        <v>20</v>
      </c>
      <c r="F789" s="35">
        <v>11</v>
      </c>
      <c r="G789" s="35">
        <v>2430.2800000000002</v>
      </c>
      <c r="H789" s="35">
        <v>26733.08</v>
      </c>
      <c r="I789" s="35">
        <v>19424.919999999998</v>
      </c>
      <c r="J789" s="35">
        <v>7308.16</v>
      </c>
      <c r="K789" s="37">
        <v>45914</v>
      </c>
      <c r="L789" s="37">
        <v>45918</v>
      </c>
      <c r="M789" s="35" t="s">
        <v>33</v>
      </c>
      <c r="N789" s="35">
        <v>1</v>
      </c>
      <c r="O789" s="35" t="s">
        <v>551</v>
      </c>
      <c r="P789" s="35">
        <v>9.8000000000000007</v>
      </c>
    </row>
    <row r="790" spans="1:16" ht="15.75" customHeight="1" x14ac:dyDescent="0.3">
      <c r="A790" s="35" t="s">
        <v>1851</v>
      </c>
      <c r="B790" s="35" t="s">
        <v>1852</v>
      </c>
      <c r="C790" s="35" t="s">
        <v>18</v>
      </c>
      <c r="D790" s="35" t="s">
        <v>19</v>
      </c>
      <c r="E790" s="35" t="s">
        <v>32</v>
      </c>
      <c r="F790" s="35">
        <v>13</v>
      </c>
      <c r="G790" s="35">
        <v>1263.05</v>
      </c>
      <c r="H790" s="35">
        <v>16419.650000000001</v>
      </c>
      <c r="I790" s="35">
        <v>9729.08</v>
      </c>
      <c r="J790" s="35">
        <v>6690.57</v>
      </c>
      <c r="K790" s="37">
        <v>45962</v>
      </c>
      <c r="L790" s="37">
        <v>45965</v>
      </c>
      <c r="M790" s="35" t="s">
        <v>26</v>
      </c>
      <c r="N790" s="35">
        <v>5</v>
      </c>
      <c r="O790" s="35" t="s">
        <v>34</v>
      </c>
      <c r="P790" s="35">
        <v>9.3000000000000007</v>
      </c>
    </row>
    <row r="791" spans="1:16" ht="15.75" customHeight="1" x14ac:dyDescent="0.3">
      <c r="A791" s="35" t="s">
        <v>1853</v>
      </c>
      <c r="B791" s="35" t="s">
        <v>1854</v>
      </c>
      <c r="C791" s="35" t="s">
        <v>139</v>
      </c>
      <c r="D791" s="35" t="s">
        <v>31</v>
      </c>
      <c r="E791" s="35" t="s">
        <v>25</v>
      </c>
      <c r="F791" s="35">
        <v>18</v>
      </c>
      <c r="G791" s="35">
        <v>210.47</v>
      </c>
      <c r="H791" s="35">
        <v>3788.46</v>
      </c>
      <c r="I791" s="35">
        <v>3355.96</v>
      </c>
      <c r="J791" s="35">
        <v>432.5</v>
      </c>
      <c r="K791" s="37">
        <v>45448</v>
      </c>
      <c r="L791" s="37">
        <v>45456</v>
      </c>
      <c r="M791" s="35" t="s">
        <v>21</v>
      </c>
      <c r="N791" s="35">
        <v>2</v>
      </c>
      <c r="O791" s="35" t="s">
        <v>441</v>
      </c>
      <c r="P791" s="35">
        <v>6.5</v>
      </c>
    </row>
    <row r="792" spans="1:16" ht="15.75" customHeight="1" x14ac:dyDescent="0.3">
      <c r="A792" s="35" t="s">
        <v>1855</v>
      </c>
      <c r="B792" s="35" t="s">
        <v>1856</v>
      </c>
      <c r="C792" s="35" t="s">
        <v>219</v>
      </c>
      <c r="D792" s="35" t="s">
        <v>43</v>
      </c>
      <c r="E792" s="35" t="s">
        <v>20</v>
      </c>
      <c r="F792" s="35">
        <v>14</v>
      </c>
      <c r="G792" s="35">
        <v>4943.75</v>
      </c>
      <c r="H792" s="35">
        <v>69212.5</v>
      </c>
      <c r="I792" s="35">
        <v>36712.53</v>
      </c>
      <c r="J792" s="35">
        <v>32499.97</v>
      </c>
      <c r="K792" s="37">
        <v>45843</v>
      </c>
      <c r="L792" s="37">
        <v>45844</v>
      </c>
      <c r="M792" s="35" t="s">
        <v>33</v>
      </c>
      <c r="N792" s="35">
        <v>3</v>
      </c>
      <c r="O792" s="35" t="s">
        <v>749</v>
      </c>
      <c r="P792" s="35">
        <v>7.6</v>
      </c>
    </row>
    <row r="793" spans="1:16" ht="15.75" customHeight="1" x14ac:dyDescent="0.3">
      <c r="A793" s="35" t="s">
        <v>1857</v>
      </c>
      <c r="B793" s="35" t="s">
        <v>1858</v>
      </c>
      <c r="C793" s="35" t="s">
        <v>18</v>
      </c>
      <c r="D793" s="35" t="s">
        <v>19</v>
      </c>
      <c r="E793" s="35" t="s">
        <v>25</v>
      </c>
      <c r="F793" s="35">
        <v>1</v>
      </c>
      <c r="G793" s="35">
        <v>3104.26</v>
      </c>
      <c r="H793" s="35">
        <v>3104.26</v>
      </c>
      <c r="I793" s="35">
        <v>1667.37</v>
      </c>
      <c r="J793" s="35">
        <v>1436.89</v>
      </c>
      <c r="K793" s="37">
        <v>45746</v>
      </c>
      <c r="L793" s="37">
        <v>45752</v>
      </c>
      <c r="M793" s="35" t="s">
        <v>181</v>
      </c>
      <c r="N793" s="35">
        <v>3</v>
      </c>
      <c r="O793" s="35" t="s">
        <v>788</v>
      </c>
      <c r="P793" s="35">
        <v>6.8</v>
      </c>
    </row>
    <row r="794" spans="1:16" ht="15.75" customHeight="1" x14ac:dyDescent="0.3">
      <c r="A794" s="35" t="s">
        <v>1859</v>
      </c>
      <c r="B794" s="35" t="s">
        <v>1860</v>
      </c>
      <c r="C794" s="35" t="s">
        <v>57</v>
      </c>
      <c r="D794" s="35" t="s">
        <v>19</v>
      </c>
      <c r="E794" s="35" t="s">
        <v>20</v>
      </c>
      <c r="F794" s="35">
        <v>8</v>
      </c>
      <c r="G794" s="35">
        <v>3375.88</v>
      </c>
      <c r="H794" s="35">
        <v>27007.040000000001</v>
      </c>
      <c r="I794" s="35">
        <v>20412.689999999999</v>
      </c>
      <c r="J794" s="35">
        <v>6594.35</v>
      </c>
      <c r="K794" s="37">
        <v>45519</v>
      </c>
      <c r="L794" s="37">
        <v>45529</v>
      </c>
      <c r="M794" s="35" t="s">
        <v>45</v>
      </c>
      <c r="N794" s="35">
        <v>3</v>
      </c>
      <c r="O794" s="35" t="s">
        <v>496</v>
      </c>
      <c r="P794" s="35">
        <v>7.3</v>
      </c>
    </row>
    <row r="795" spans="1:16" ht="15.75" customHeight="1" x14ac:dyDescent="0.3">
      <c r="A795" s="35" t="s">
        <v>1861</v>
      </c>
      <c r="B795" s="35" t="s">
        <v>1862</v>
      </c>
      <c r="C795" s="35" t="s">
        <v>88</v>
      </c>
      <c r="D795" s="35" t="s">
        <v>31</v>
      </c>
      <c r="E795" s="35" t="s">
        <v>32</v>
      </c>
      <c r="F795" s="35">
        <v>6</v>
      </c>
      <c r="G795" s="35">
        <v>332.6</v>
      </c>
      <c r="H795" s="35">
        <v>1995.6</v>
      </c>
      <c r="I795" s="35">
        <v>1123.8</v>
      </c>
      <c r="J795" s="35">
        <v>871.8</v>
      </c>
      <c r="K795" s="37">
        <v>45475</v>
      </c>
      <c r="L795" s="37">
        <v>45479</v>
      </c>
      <c r="M795" s="35" t="s">
        <v>38</v>
      </c>
      <c r="N795" s="35">
        <v>2</v>
      </c>
      <c r="O795" s="35" t="s">
        <v>1740</v>
      </c>
      <c r="P795" s="35">
        <v>9.9</v>
      </c>
    </row>
    <row r="796" spans="1:16" ht="15.75" customHeight="1" x14ac:dyDescent="0.3">
      <c r="A796" s="35" t="s">
        <v>1863</v>
      </c>
      <c r="B796" s="35" t="s">
        <v>1864</v>
      </c>
      <c r="C796" s="35" t="s">
        <v>219</v>
      </c>
      <c r="D796" s="35" t="s">
        <v>43</v>
      </c>
      <c r="E796" s="35" t="s">
        <v>20</v>
      </c>
      <c r="F796" s="35">
        <v>18</v>
      </c>
      <c r="G796" s="35">
        <v>4272.41</v>
      </c>
      <c r="H796" s="35">
        <v>76903.38</v>
      </c>
      <c r="I796" s="35">
        <v>60060.9</v>
      </c>
      <c r="J796" s="35">
        <v>16842.48</v>
      </c>
      <c r="K796" s="37">
        <v>45570</v>
      </c>
      <c r="L796" s="37">
        <v>45579</v>
      </c>
      <c r="M796" s="35" t="s">
        <v>26</v>
      </c>
      <c r="N796" s="35">
        <v>4</v>
      </c>
      <c r="O796" s="35" t="s">
        <v>133</v>
      </c>
      <c r="P796" s="35">
        <v>6.8</v>
      </c>
    </row>
    <row r="797" spans="1:16" ht="15.75" customHeight="1" x14ac:dyDescent="0.3">
      <c r="A797" s="35" t="s">
        <v>1865</v>
      </c>
      <c r="B797" s="35" t="s">
        <v>1866</v>
      </c>
      <c r="C797" s="35" t="s">
        <v>37</v>
      </c>
      <c r="D797" s="35" t="s">
        <v>19</v>
      </c>
      <c r="E797" s="35" t="s">
        <v>25</v>
      </c>
      <c r="F797" s="35">
        <v>19</v>
      </c>
      <c r="G797" s="35">
        <v>2859.83</v>
      </c>
      <c r="H797" s="35">
        <v>54336.77</v>
      </c>
      <c r="I797" s="35">
        <v>47085.79</v>
      </c>
      <c r="J797" s="35">
        <v>7250.98</v>
      </c>
      <c r="K797" s="37">
        <v>45764</v>
      </c>
      <c r="L797" s="37">
        <v>45773</v>
      </c>
      <c r="M797" s="35" t="s">
        <v>69</v>
      </c>
      <c r="N797" s="35">
        <v>1</v>
      </c>
      <c r="O797" s="35" t="s">
        <v>1867</v>
      </c>
      <c r="P797" s="35">
        <v>8.6999999999999993</v>
      </c>
    </row>
    <row r="798" spans="1:16" ht="15.75" customHeight="1" x14ac:dyDescent="0.3">
      <c r="A798" s="35" t="s">
        <v>1868</v>
      </c>
      <c r="B798" s="35" t="s">
        <v>1869</v>
      </c>
      <c r="C798" s="35" t="s">
        <v>18</v>
      </c>
      <c r="D798" s="35" t="s">
        <v>19</v>
      </c>
      <c r="E798" s="35" t="s">
        <v>20</v>
      </c>
      <c r="F798" s="35">
        <v>7</v>
      </c>
      <c r="G798" s="35">
        <v>2794.71</v>
      </c>
      <c r="H798" s="35">
        <v>19562.97</v>
      </c>
      <c r="I798" s="35">
        <v>11625.72</v>
      </c>
      <c r="J798" s="35">
        <v>7937.25</v>
      </c>
      <c r="K798" s="37">
        <v>45906</v>
      </c>
      <c r="L798" s="37">
        <v>45912</v>
      </c>
      <c r="M798" s="35" t="s">
        <v>58</v>
      </c>
      <c r="N798" s="35">
        <v>2</v>
      </c>
      <c r="O798" s="35" t="s">
        <v>297</v>
      </c>
      <c r="P798" s="35">
        <v>8.3000000000000007</v>
      </c>
    </row>
    <row r="799" spans="1:16" ht="15.75" customHeight="1" x14ac:dyDescent="0.3">
      <c r="A799" s="35" t="s">
        <v>1870</v>
      </c>
      <c r="B799" s="35" t="s">
        <v>1871</v>
      </c>
      <c r="C799" s="35" t="s">
        <v>139</v>
      </c>
      <c r="D799" s="35" t="s">
        <v>31</v>
      </c>
      <c r="E799" s="35" t="s">
        <v>20</v>
      </c>
      <c r="F799" s="35">
        <v>18</v>
      </c>
      <c r="G799" s="35">
        <v>4873.41</v>
      </c>
      <c r="H799" s="35">
        <v>87721.38</v>
      </c>
      <c r="I799" s="35">
        <v>47815.87</v>
      </c>
      <c r="J799" s="35">
        <v>39905.51</v>
      </c>
      <c r="K799" s="37">
        <v>45807</v>
      </c>
      <c r="L799" s="37">
        <v>45815</v>
      </c>
      <c r="M799" s="35" t="s">
        <v>26</v>
      </c>
      <c r="N799" s="35">
        <v>1</v>
      </c>
      <c r="O799" s="35" t="s">
        <v>452</v>
      </c>
      <c r="P799" s="35">
        <v>10</v>
      </c>
    </row>
    <row r="800" spans="1:16" ht="15.75" customHeight="1" x14ac:dyDescent="0.3">
      <c r="A800" s="35" t="s">
        <v>1872</v>
      </c>
      <c r="B800" s="35" t="s">
        <v>1873</v>
      </c>
      <c r="C800" s="35" t="s">
        <v>37</v>
      </c>
      <c r="D800" s="35" t="s">
        <v>19</v>
      </c>
      <c r="E800" s="35" t="s">
        <v>32</v>
      </c>
      <c r="F800" s="35">
        <v>6</v>
      </c>
      <c r="G800" s="35">
        <v>2407.0700000000002</v>
      </c>
      <c r="H800" s="35">
        <v>14442.42</v>
      </c>
      <c r="I800" s="35">
        <v>11552.8</v>
      </c>
      <c r="J800" s="35">
        <v>2889.62</v>
      </c>
      <c r="K800" s="37">
        <v>45812</v>
      </c>
      <c r="L800" s="37">
        <v>45821</v>
      </c>
      <c r="M800" s="35" t="s">
        <v>181</v>
      </c>
      <c r="N800" s="35">
        <v>3</v>
      </c>
      <c r="O800" s="35" t="s">
        <v>414</v>
      </c>
      <c r="P800" s="35">
        <v>7.5</v>
      </c>
    </row>
    <row r="801" spans="1:16" ht="15.75" customHeight="1" x14ac:dyDescent="0.3">
      <c r="A801" s="35" t="s">
        <v>1874</v>
      </c>
      <c r="B801" s="35" t="s">
        <v>1875</v>
      </c>
      <c r="C801" s="35" t="s">
        <v>42</v>
      </c>
      <c r="D801" s="35" t="s">
        <v>43</v>
      </c>
      <c r="E801" s="35" t="s">
        <v>25</v>
      </c>
      <c r="F801" s="35">
        <v>4</v>
      </c>
      <c r="G801" s="35">
        <v>4294.74</v>
      </c>
      <c r="H801" s="35">
        <v>17178.96</v>
      </c>
      <c r="I801" s="35">
        <v>8743.0300000000007</v>
      </c>
      <c r="J801" s="35">
        <v>8435.93</v>
      </c>
      <c r="K801" s="37">
        <v>46105</v>
      </c>
      <c r="L801" s="37">
        <v>46113</v>
      </c>
      <c r="M801" s="35" t="s">
        <v>58</v>
      </c>
      <c r="N801" s="35">
        <v>5</v>
      </c>
      <c r="O801" s="35" t="s">
        <v>354</v>
      </c>
      <c r="P801" s="35">
        <v>9</v>
      </c>
    </row>
    <row r="802" spans="1:16" ht="15.75" customHeight="1" x14ac:dyDescent="0.3">
      <c r="A802" s="35" t="s">
        <v>1876</v>
      </c>
      <c r="B802" s="35" t="s">
        <v>1877</v>
      </c>
      <c r="C802" s="35" t="s">
        <v>139</v>
      </c>
      <c r="D802" s="35" t="s">
        <v>31</v>
      </c>
      <c r="E802" s="35" t="s">
        <v>25</v>
      </c>
      <c r="F802" s="35">
        <v>18</v>
      </c>
      <c r="G802" s="35">
        <v>2902.54</v>
      </c>
      <c r="H802" s="35">
        <v>52245.72</v>
      </c>
      <c r="I802" s="35">
        <v>30381.83</v>
      </c>
      <c r="J802" s="35">
        <v>21863.89</v>
      </c>
      <c r="K802" s="37">
        <v>45824</v>
      </c>
      <c r="L802" s="37">
        <v>45829</v>
      </c>
      <c r="M802" s="35" t="s">
        <v>33</v>
      </c>
      <c r="N802" s="35">
        <v>2</v>
      </c>
      <c r="O802" s="35" t="s">
        <v>429</v>
      </c>
      <c r="P802" s="35">
        <v>7.5</v>
      </c>
    </row>
    <row r="803" spans="1:16" ht="15.75" customHeight="1" x14ac:dyDescent="0.3">
      <c r="A803" s="35" t="s">
        <v>1878</v>
      </c>
      <c r="B803" s="35" t="s">
        <v>1879</v>
      </c>
      <c r="C803" s="35" t="s">
        <v>30</v>
      </c>
      <c r="D803" s="35" t="s">
        <v>31</v>
      </c>
      <c r="E803" s="35" t="s">
        <v>32</v>
      </c>
      <c r="F803" s="35">
        <v>12</v>
      </c>
      <c r="G803" s="35">
        <v>4947.18</v>
      </c>
      <c r="H803" s="35">
        <v>59366.16</v>
      </c>
      <c r="I803" s="35">
        <v>47908.03</v>
      </c>
      <c r="J803" s="35">
        <v>11458.13</v>
      </c>
      <c r="K803" s="37">
        <v>45758</v>
      </c>
      <c r="L803" s="37">
        <v>45762</v>
      </c>
      <c r="M803" s="35" t="s">
        <v>50</v>
      </c>
      <c r="N803" s="35">
        <v>3</v>
      </c>
      <c r="O803" s="35" t="s">
        <v>470</v>
      </c>
      <c r="P803" s="35">
        <v>9.8000000000000007</v>
      </c>
    </row>
    <row r="804" spans="1:16" ht="15.75" customHeight="1" x14ac:dyDescent="0.3">
      <c r="A804" s="35" t="s">
        <v>1880</v>
      </c>
      <c r="B804" s="35" t="s">
        <v>1881</v>
      </c>
      <c r="C804" s="35" t="s">
        <v>195</v>
      </c>
      <c r="D804" s="35" t="s">
        <v>43</v>
      </c>
      <c r="E804" s="35" t="s">
        <v>32</v>
      </c>
      <c r="F804" s="35">
        <v>6</v>
      </c>
      <c r="G804" s="35">
        <v>1553.43</v>
      </c>
      <c r="H804" s="35">
        <v>9320.58</v>
      </c>
      <c r="I804" s="35">
        <v>4752.66</v>
      </c>
      <c r="J804" s="35">
        <v>4567.92</v>
      </c>
      <c r="K804" s="37">
        <v>45826</v>
      </c>
      <c r="L804" s="37">
        <v>45836</v>
      </c>
      <c r="M804" s="35" t="s">
        <v>33</v>
      </c>
      <c r="N804" s="35">
        <v>3</v>
      </c>
      <c r="O804" s="35" t="s">
        <v>1242</v>
      </c>
      <c r="P804" s="35">
        <v>8</v>
      </c>
    </row>
    <row r="805" spans="1:16" ht="15.75" customHeight="1" x14ac:dyDescent="0.3">
      <c r="A805" s="35" t="s">
        <v>1882</v>
      </c>
      <c r="B805" s="35" t="s">
        <v>1883</v>
      </c>
      <c r="C805" s="35" t="s">
        <v>49</v>
      </c>
      <c r="D805" s="35" t="s">
        <v>43</v>
      </c>
      <c r="E805" s="35" t="s">
        <v>44</v>
      </c>
      <c r="F805" s="35">
        <v>10</v>
      </c>
      <c r="G805" s="35">
        <v>4404.9399999999996</v>
      </c>
      <c r="H805" s="35">
        <v>44049.4</v>
      </c>
      <c r="I805" s="35">
        <v>36004.74</v>
      </c>
      <c r="J805" s="35">
        <v>8044.66</v>
      </c>
      <c r="K805" s="37">
        <v>45965</v>
      </c>
      <c r="L805" s="37">
        <v>45973</v>
      </c>
      <c r="M805" s="35" t="s">
        <v>58</v>
      </c>
      <c r="N805" s="35">
        <v>1</v>
      </c>
      <c r="O805" s="35" t="s">
        <v>226</v>
      </c>
      <c r="P805" s="35">
        <v>7</v>
      </c>
    </row>
    <row r="806" spans="1:16" ht="15.75" customHeight="1" x14ac:dyDescent="0.3">
      <c r="A806" s="35" t="s">
        <v>1884</v>
      </c>
      <c r="B806" s="35" t="s">
        <v>1885</v>
      </c>
      <c r="C806" s="35" t="s">
        <v>57</v>
      </c>
      <c r="D806" s="35" t="s">
        <v>19</v>
      </c>
      <c r="E806" s="35" t="s">
        <v>25</v>
      </c>
      <c r="F806" s="35">
        <v>17</v>
      </c>
      <c r="G806" s="35">
        <v>2110.27</v>
      </c>
      <c r="H806" s="35">
        <v>35874.589999999997</v>
      </c>
      <c r="I806" s="35">
        <v>25029.279999999999</v>
      </c>
      <c r="J806" s="35">
        <v>10845.31</v>
      </c>
      <c r="K806" s="37">
        <v>45692</v>
      </c>
      <c r="L806" s="37">
        <v>45695</v>
      </c>
      <c r="M806" s="35" t="s">
        <v>50</v>
      </c>
      <c r="N806" s="35">
        <v>1</v>
      </c>
      <c r="O806" s="35" t="s">
        <v>1390</v>
      </c>
      <c r="P806" s="35">
        <v>6.3</v>
      </c>
    </row>
    <row r="807" spans="1:16" ht="15.75" customHeight="1" x14ac:dyDescent="0.3">
      <c r="A807" s="35" t="s">
        <v>1886</v>
      </c>
      <c r="B807" s="35" t="s">
        <v>1887</v>
      </c>
      <c r="C807" s="35" t="s">
        <v>139</v>
      </c>
      <c r="D807" s="35" t="s">
        <v>31</v>
      </c>
      <c r="E807" s="35" t="s">
        <v>44</v>
      </c>
      <c r="F807" s="35">
        <v>14</v>
      </c>
      <c r="G807" s="35">
        <v>488.88</v>
      </c>
      <c r="H807" s="35">
        <v>6844.32</v>
      </c>
      <c r="I807" s="35">
        <v>5067.4399999999996</v>
      </c>
      <c r="J807" s="35">
        <v>1776.88</v>
      </c>
      <c r="K807" s="37">
        <v>45598</v>
      </c>
      <c r="L807" s="37">
        <v>45603</v>
      </c>
      <c r="M807" s="35" t="s">
        <v>69</v>
      </c>
      <c r="N807" s="35">
        <v>1</v>
      </c>
      <c r="O807" s="35" t="s">
        <v>151</v>
      </c>
      <c r="P807" s="35">
        <v>7.6</v>
      </c>
    </row>
    <row r="808" spans="1:16" ht="15.75" customHeight="1" x14ac:dyDescent="0.3">
      <c r="A808" s="35" t="s">
        <v>1888</v>
      </c>
      <c r="B808" s="35" t="s">
        <v>1889</v>
      </c>
      <c r="C808" s="35" t="s">
        <v>144</v>
      </c>
      <c r="D808" s="35" t="s">
        <v>19</v>
      </c>
      <c r="E808" s="35" t="s">
        <v>44</v>
      </c>
      <c r="F808" s="35">
        <v>19</v>
      </c>
      <c r="G808" s="35">
        <v>1824.48</v>
      </c>
      <c r="H808" s="35">
        <v>34665.120000000003</v>
      </c>
      <c r="I808" s="35">
        <v>31118.98</v>
      </c>
      <c r="J808" s="35">
        <v>3546.14</v>
      </c>
      <c r="K808" s="37">
        <v>45643</v>
      </c>
      <c r="L808" s="37">
        <v>45648</v>
      </c>
      <c r="M808" s="35" t="s">
        <v>58</v>
      </c>
      <c r="N808" s="35">
        <v>2</v>
      </c>
      <c r="O808" s="35" t="s">
        <v>340</v>
      </c>
      <c r="P808" s="35">
        <v>7.6</v>
      </c>
    </row>
    <row r="809" spans="1:16" ht="15.75" customHeight="1" x14ac:dyDescent="0.3">
      <c r="A809" s="35" t="s">
        <v>1890</v>
      </c>
      <c r="B809" s="35" t="s">
        <v>1891</v>
      </c>
      <c r="C809" s="35" t="s">
        <v>42</v>
      </c>
      <c r="D809" s="35" t="s">
        <v>43</v>
      </c>
      <c r="E809" s="35" t="s">
        <v>25</v>
      </c>
      <c r="F809" s="35">
        <v>14</v>
      </c>
      <c r="G809" s="35">
        <v>1377.36</v>
      </c>
      <c r="H809" s="35">
        <v>19283.04</v>
      </c>
      <c r="I809" s="35">
        <v>14837.37</v>
      </c>
      <c r="J809" s="35">
        <v>4445.67</v>
      </c>
      <c r="K809" s="37">
        <v>45627</v>
      </c>
      <c r="L809" s="37">
        <v>45630</v>
      </c>
      <c r="M809" s="35" t="s">
        <v>38</v>
      </c>
      <c r="N809" s="35">
        <v>2</v>
      </c>
      <c r="O809" s="35" t="s">
        <v>533</v>
      </c>
      <c r="P809" s="35">
        <v>7.1</v>
      </c>
    </row>
    <row r="810" spans="1:16" ht="15.75" customHeight="1" x14ac:dyDescent="0.3">
      <c r="A810" s="35" t="s">
        <v>1892</v>
      </c>
      <c r="B810" s="35" t="s">
        <v>1893</v>
      </c>
      <c r="C810" s="35" t="s">
        <v>95</v>
      </c>
      <c r="D810" s="35" t="s">
        <v>19</v>
      </c>
      <c r="E810" s="35" t="s">
        <v>32</v>
      </c>
      <c r="F810" s="35">
        <v>3</v>
      </c>
      <c r="G810" s="35">
        <v>1869.05</v>
      </c>
      <c r="H810" s="35">
        <v>5607.15</v>
      </c>
      <c r="I810" s="35">
        <v>4753.71</v>
      </c>
      <c r="J810" s="35">
        <v>853.44</v>
      </c>
      <c r="K810" s="37">
        <v>45523</v>
      </c>
      <c r="L810" s="37">
        <v>45527</v>
      </c>
      <c r="M810" s="35" t="s">
        <v>123</v>
      </c>
      <c r="N810" s="35">
        <v>4</v>
      </c>
      <c r="O810" s="35" t="s">
        <v>202</v>
      </c>
      <c r="P810" s="35">
        <v>7.7</v>
      </c>
    </row>
    <row r="811" spans="1:16" ht="15.75" customHeight="1" x14ac:dyDescent="0.3">
      <c r="A811" s="35" t="s">
        <v>1894</v>
      </c>
      <c r="B811" s="35" t="s">
        <v>1895</v>
      </c>
      <c r="C811" s="35" t="s">
        <v>139</v>
      </c>
      <c r="D811" s="35" t="s">
        <v>31</v>
      </c>
      <c r="E811" s="35" t="s">
        <v>25</v>
      </c>
      <c r="F811" s="35">
        <v>17</v>
      </c>
      <c r="G811" s="35">
        <v>130.26</v>
      </c>
      <c r="H811" s="35">
        <v>2214.42</v>
      </c>
      <c r="I811" s="35">
        <v>1608.82</v>
      </c>
      <c r="J811" s="35">
        <v>605.6</v>
      </c>
      <c r="K811" s="37">
        <v>45522</v>
      </c>
      <c r="L811" s="37">
        <v>45530</v>
      </c>
      <c r="M811" s="35" t="s">
        <v>26</v>
      </c>
      <c r="N811" s="35">
        <v>3</v>
      </c>
      <c r="O811" s="35" t="s">
        <v>82</v>
      </c>
      <c r="P811" s="35">
        <v>6.8</v>
      </c>
    </row>
    <row r="812" spans="1:16" ht="15.75" customHeight="1" x14ac:dyDescent="0.3">
      <c r="A812" s="35" t="s">
        <v>1896</v>
      </c>
      <c r="B812" s="35" t="s">
        <v>1897</v>
      </c>
      <c r="C812" s="35" t="s">
        <v>57</v>
      </c>
      <c r="D812" s="35" t="s">
        <v>19</v>
      </c>
      <c r="E812" s="35" t="s">
        <v>25</v>
      </c>
      <c r="F812" s="35">
        <v>16</v>
      </c>
      <c r="G812" s="35">
        <v>3565.15</v>
      </c>
      <c r="H812" s="35">
        <v>57042.400000000001</v>
      </c>
      <c r="I812" s="35">
        <v>37361.14</v>
      </c>
      <c r="J812" s="35">
        <v>19681.259999999998</v>
      </c>
      <c r="K812" s="37">
        <v>45760</v>
      </c>
      <c r="L812" s="37">
        <v>45770</v>
      </c>
      <c r="M812" s="35" t="s">
        <v>21</v>
      </c>
      <c r="N812" s="35">
        <v>2</v>
      </c>
      <c r="O812" s="35" t="s">
        <v>480</v>
      </c>
      <c r="P812" s="35">
        <v>6.4</v>
      </c>
    </row>
    <row r="813" spans="1:16" ht="15.75" customHeight="1" x14ac:dyDescent="0.3">
      <c r="A813" s="35" t="s">
        <v>1898</v>
      </c>
      <c r="B813" s="35" t="s">
        <v>1899</v>
      </c>
      <c r="C813" s="35" t="s">
        <v>139</v>
      </c>
      <c r="D813" s="35" t="s">
        <v>31</v>
      </c>
      <c r="E813" s="35" t="s">
        <v>20</v>
      </c>
      <c r="F813" s="35">
        <v>2</v>
      </c>
      <c r="G813" s="35">
        <v>335.67</v>
      </c>
      <c r="H813" s="35">
        <v>671.34</v>
      </c>
      <c r="I813" s="35">
        <v>515.69000000000005</v>
      </c>
      <c r="J813" s="35">
        <v>155.65</v>
      </c>
      <c r="K813" s="37">
        <v>45494</v>
      </c>
      <c r="L813" s="37">
        <v>45500</v>
      </c>
      <c r="M813" s="35" t="s">
        <v>123</v>
      </c>
      <c r="N813" s="35">
        <v>4</v>
      </c>
      <c r="O813" s="35" t="s">
        <v>509</v>
      </c>
      <c r="P813" s="35">
        <v>8.8000000000000007</v>
      </c>
    </row>
    <row r="814" spans="1:16" ht="15.75" customHeight="1" x14ac:dyDescent="0.3">
      <c r="A814" s="35" t="s">
        <v>1900</v>
      </c>
      <c r="B814" s="35" t="s">
        <v>1901</v>
      </c>
      <c r="C814" s="35" t="s">
        <v>144</v>
      </c>
      <c r="D814" s="35" t="s">
        <v>19</v>
      </c>
      <c r="E814" s="35" t="s">
        <v>32</v>
      </c>
      <c r="F814" s="35">
        <v>17</v>
      </c>
      <c r="G814" s="35">
        <v>1922.44</v>
      </c>
      <c r="H814" s="35">
        <v>32681.48</v>
      </c>
      <c r="I814" s="35">
        <v>20040.349999999999</v>
      </c>
      <c r="J814" s="35">
        <v>12641.13</v>
      </c>
      <c r="K814" s="37">
        <v>46092</v>
      </c>
      <c r="L814" s="37">
        <v>46097</v>
      </c>
      <c r="M814" s="35" t="s">
        <v>45</v>
      </c>
      <c r="N814" s="35">
        <v>3</v>
      </c>
      <c r="O814" s="35" t="s">
        <v>229</v>
      </c>
      <c r="P814" s="35">
        <v>7.2</v>
      </c>
    </row>
    <row r="815" spans="1:16" ht="15.75" customHeight="1" x14ac:dyDescent="0.3">
      <c r="A815" s="35" t="s">
        <v>1902</v>
      </c>
      <c r="B815" s="35" t="s">
        <v>1903</v>
      </c>
      <c r="C815" s="35" t="s">
        <v>62</v>
      </c>
      <c r="D815" s="35" t="s">
        <v>31</v>
      </c>
      <c r="E815" s="35" t="s">
        <v>20</v>
      </c>
      <c r="F815" s="35">
        <v>7</v>
      </c>
      <c r="G815" s="35">
        <v>1211.6099999999999</v>
      </c>
      <c r="H815" s="35">
        <v>8481.27</v>
      </c>
      <c r="I815" s="35">
        <v>5031.04</v>
      </c>
      <c r="J815" s="35">
        <v>3450.23</v>
      </c>
      <c r="K815" s="37">
        <v>45562</v>
      </c>
      <c r="L815" s="37">
        <v>45566</v>
      </c>
      <c r="M815" s="35" t="s">
        <v>58</v>
      </c>
      <c r="N815" s="35">
        <v>1</v>
      </c>
      <c r="O815" s="35" t="s">
        <v>1341</v>
      </c>
      <c r="P815" s="35">
        <v>6.6</v>
      </c>
    </row>
    <row r="816" spans="1:16" ht="15.75" customHeight="1" x14ac:dyDescent="0.3">
      <c r="A816" s="35" t="s">
        <v>1904</v>
      </c>
      <c r="B816" s="35" t="s">
        <v>1905</v>
      </c>
      <c r="C816" s="35" t="s">
        <v>62</v>
      </c>
      <c r="D816" s="35" t="s">
        <v>31</v>
      </c>
      <c r="E816" s="35" t="s">
        <v>32</v>
      </c>
      <c r="F816" s="35">
        <v>3</v>
      </c>
      <c r="G816" s="35">
        <v>3634.27</v>
      </c>
      <c r="H816" s="35">
        <v>10902.81</v>
      </c>
      <c r="I816" s="35">
        <v>9278.7900000000009</v>
      </c>
      <c r="J816" s="35">
        <v>1624.02</v>
      </c>
      <c r="K816" s="37">
        <v>45814</v>
      </c>
      <c r="L816" s="37">
        <v>45821</v>
      </c>
      <c r="M816" s="35" t="s">
        <v>123</v>
      </c>
      <c r="N816" s="35">
        <v>4</v>
      </c>
      <c r="O816" s="35" t="s">
        <v>409</v>
      </c>
      <c r="P816" s="35">
        <v>7.2</v>
      </c>
    </row>
    <row r="817" spans="1:16" ht="15.75" customHeight="1" x14ac:dyDescent="0.3">
      <c r="A817" s="35" t="s">
        <v>1906</v>
      </c>
      <c r="B817" s="35" t="s">
        <v>1907</v>
      </c>
      <c r="C817" s="35" t="s">
        <v>144</v>
      </c>
      <c r="D817" s="35" t="s">
        <v>19</v>
      </c>
      <c r="E817" s="35" t="s">
        <v>32</v>
      </c>
      <c r="F817" s="35">
        <v>12</v>
      </c>
      <c r="G817" s="35">
        <v>4253.79</v>
      </c>
      <c r="H817" s="35">
        <v>51045.48</v>
      </c>
      <c r="I817" s="35">
        <v>28313.84</v>
      </c>
      <c r="J817" s="35">
        <v>22731.64</v>
      </c>
      <c r="K817" s="37">
        <v>46150</v>
      </c>
      <c r="L817" s="37">
        <v>46152</v>
      </c>
      <c r="M817" s="35" t="s">
        <v>45</v>
      </c>
      <c r="N817" s="35">
        <v>4</v>
      </c>
      <c r="O817" s="35" t="s">
        <v>560</v>
      </c>
      <c r="P817" s="35">
        <v>8.4</v>
      </c>
    </row>
    <row r="818" spans="1:16" ht="15.75" customHeight="1" x14ac:dyDescent="0.3">
      <c r="A818" s="35" t="s">
        <v>1908</v>
      </c>
      <c r="B818" s="35" t="s">
        <v>1909</v>
      </c>
      <c r="C818" s="35" t="s">
        <v>144</v>
      </c>
      <c r="D818" s="35" t="s">
        <v>19</v>
      </c>
      <c r="E818" s="35" t="s">
        <v>25</v>
      </c>
      <c r="F818" s="35">
        <v>11</v>
      </c>
      <c r="G818" s="35">
        <v>2964.66</v>
      </c>
      <c r="H818" s="35">
        <v>32611.26</v>
      </c>
      <c r="I818" s="35">
        <v>28711.75</v>
      </c>
      <c r="J818" s="35">
        <v>3899.51</v>
      </c>
      <c r="K818" s="37">
        <v>45557</v>
      </c>
      <c r="L818" s="37">
        <v>45559</v>
      </c>
      <c r="M818" s="35" t="s">
        <v>45</v>
      </c>
      <c r="N818" s="35">
        <v>5</v>
      </c>
      <c r="O818" s="35" t="s">
        <v>426</v>
      </c>
      <c r="P818" s="35">
        <v>9.6</v>
      </c>
    </row>
    <row r="819" spans="1:16" ht="15.75" customHeight="1" x14ac:dyDescent="0.3">
      <c r="A819" s="35" t="s">
        <v>1910</v>
      </c>
      <c r="B819" s="35" t="s">
        <v>1911</v>
      </c>
      <c r="C819" s="35" t="s">
        <v>18</v>
      </c>
      <c r="D819" s="35" t="s">
        <v>19</v>
      </c>
      <c r="E819" s="35" t="s">
        <v>32</v>
      </c>
      <c r="F819" s="35">
        <v>6</v>
      </c>
      <c r="G819" s="35">
        <v>985.35</v>
      </c>
      <c r="H819" s="35">
        <v>5912.1</v>
      </c>
      <c r="I819" s="35">
        <v>3992.75</v>
      </c>
      <c r="J819" s="35">
        <v>1919.35</v>
      </c>
      <c r="K819" s="37">
        <v>45575</v>
      </c>
      <c r="L819" s="37">
        <v>45578</v>
      </c>
      <c r="M819" s="35" t="s">
        <v>50</v>
      </c>
      <c r="N819" s="35">
        <v>3</v>
      </c>
      <c r="O819" s="35" t="s">
        <v>340</v>
      </c>
      <c r="P819" s="35">
        <v>8</v>
      </c>
    </row>
    <row r="820" spans="1:16" ht="15.75" customHeight="1" x14ac:dyDescent="0.3">
      <c r="A820" s="35" t="s">
        <v>1912</v>
      </c>
      <c r="B820" s="35" t="s">
        <v>1913</v>
      </c>
      <c r="C820" s="35" t="s">
        <v>72</v>
      </c>
      <c r="D820" s="35" t="s">
        <v>31</v>
      </c>
      <c r="E820" s="35" t="s">
        <v>25</v>
      </c>
      <c r="F820" s="35">
        <v>9</v>
      </c>
      <c r="G820" s="35">
        <v>1030.31</v>
      </c>
      <c r="H820" s="35">
        <v>9272.7900000000009</v>
      </c>
      <c r="I820" s="35">
        <v>7765.33</v>
      </c>
      <c r="J820" s="35">
        <v>1507.46</v>
      </c>
      <c r="K820" s="37">
        <v>46056</v>
      </c>
      <c r="L820" s="37">
        <v>46065</v>
      </c>
      <c r="M820" s="35" t="s">
        <v>50</v>
      </c>
      <c r="N820" s="35">
        <v>1</v>
      </c>
      <c r="O820" s="35" t="s">
        <v>214</v>
      </c>
      <c r="P820" s="35">
        <v>7.2</v>
      </c>
    </row>
    <row r="821" spans="1:16" ht="15.75" customHeight="1" x14ac:dyDescent="0.3">
      <c r="A821" s="35" t="s">
        <v>1914</v>
      </c>
      <c r="B821" s="35" t="s">
        <v>1915</v>
      </c>
      <c r="C821" s="35" t="s">
        <v>195</v>
      </c>
      <c r="D821" s="35" t="s">
        <v>43</v>
      </c>
      <c r="E821" s="35" t="s">
        <v>44</v>
      </c>
      <c r="F821" s="35">
        <v>6</v>
      </c>
      <c r="G821" s="35">
        <v>191.73</v>
      </c>
      <c r="H821" s="35">
        <v>1150.3800000000001</v>
      </c>
      <c r="I821" s="35">
        <v>732.31</v>
      </c>
      <c r="J821" s="35">
        <v>418.07</v>
      </c>
      <c r="K821" s="37">
        <v>45846</v>
      </c>
      <c r="L821" s="37">
        <v>45855</v>
      </c>
      <c r="M821" s="35" t="s">
        <v>45</v>
      </c>
      <c r="N821" s="35">
        <v>4</v>
      </c>
      <c r="O821" s="35" t="s">
        <v>712</v>
      </c>
      <c r="P821" s="35">
        <v>6.4</v>
      </c>
    </row>
    <row r="822" spans="1:16" ht="15.75" customHeight="1" x14ac:dyDescent="0.3">
      <c r="A822" s="35" t="s">
        <v>1916</v>
      </c>
      <c r="B822" s="35" t="s">
        <v>1917</v>
      </c>
      <c r="C822" s="35" t="s">
        <v>37</v>
      </c>
      <c r="D822" s="35" t="s">
        <v>19</v>
      </c>
      <c r="E822" s="35" t="s">
        <v>20</v>
      </c>
      <c r="F822" s="35">
        <v>4</v>
      </c>
      <c r="G822" s="35">
        <v>1315.43</v>
      </c>
      <c r="H822" s="35">
        <v>5261.72</v>
      </c>
      <c r="I822" s="35">
        <v>2914.03</v>
      </c>
      <c r="J822" s="35">
        <v>2347.69</v>
      </c>
      <c r="K822" s="37">
        <v>45756</v>
      </c>
      <c r="L822" s="37">
        <v>45757</v>
      </c>
      <c r="M822" s="35" t="s">
        <v>50</v>
      </c>
      <c r="N822" s="35">
        <v>4</v>
      </c>
      <c r="O822" s="35" t="s">
        <v>548</v>
      </c>
      <c r="P822" s="35">
        <v>8.6</v>
      </c>
    </row>
    <row r="823" spans="1:16" ht="15.75" customHeight="1" x14ac:dyDescent="0.3">
      <c r="A823" s="35" t="s">
        <v>1918</v>
      </c>
      <c r="B823" s="35" t="s">
        <v>1919</v>
      </c>
      <c r="C823" s="35" t="s">
        <v>62</v>
      </c>
      <c r="D823" s="35" t="s">
        <v>31</v>
      </c>
      <c r="E823" s="35" t="s">
        <v>44</v>
      </c>
      <c r="F823" s="35">
        <v>2</v>
      </c>
      <c r="G823" s="35">
        <v>2965.04</v>
      </c>
      <c r="H823" s="35">
        <v>5930.08</v>
      </c>
      <c r="I823" s="35">
        <v>3940.12</v>
      </c>
      <c r="J823" s="35">
        <v>1989.96</v>
      </c>
      <c r="K823" s="37">
        <v>46135</v>
      </c>
      <c r="L823" s="37">
        <v>46138</v>
      </c>
      <c r="M823" s="35" t="s">
        <v>45</v>
      </c>
      <c r="N823" s="35">
        <v>3</v>
      </c>
      <c r="O823" s="35" t="s">
        <v>294</v>
      </c>
      <c r="P823" s="35">
        <v>9.5</v>
      </c>
    </row>
    <row r="824" spans="1:16" ht="15.75" customHeight="1" x14ac:dyDescent="0.3">
      <c r="A824" s="35" t="s">
        <v>1920</v>
      </c>
      <c r="B824" s="35" t="s">
        <v>1921</v>
      </c>
      <c r="C824" s="35" t="s">
        <v>195</v>
      </c>
      <c r="D824" s="35" t="s">
        <v>43</v>
      </c>
      <c r="E824" s="35" t="s">
        <v>44</v>
      </c>
      <c r="F824" s="35">
        <v>4</v>
      </c>
      <c r="G824" s="35">
        <v>345.37</v>
      </c>
      <c r="H824" s="35">
        <v>1381.48</v>
      </c>
      <c r="I824" s="35">
        <v>1050.19</v>
      </c>
      <c r="J824" s="35">
        <v>331.29</v>
      </c>
      <c r="K824" s="37">
        <v>46006</v>
      </c>
      <c r="L824" s="37">
        <v>46015</v>
      </c>
      <c r="M824" s="35" t="s">
        <v>21</v>
      </c>
      <c r="N824" s="35">
        <v>2</v>
      </c>
      <c r="O824" s="35" t="s">
        <v>232</v>
      </c>
      <c r="P824" s="35">
        <v>9.6999999999999993</v>
      </c>
    </row>
    <row r="825" spans="1:16" ht="15.75" customHeight="1" x14ac:dyDescent="0.3">
      <c r="A825" s="35" t="s">
        <v>1922</v>
      </c>
      <c r="B825" s="35" t="s">
        <v>1923</v>
      </c>
      <c r="C825" s="35" t="s">
        <v>72</v>
      </c>
      <c r="D825" s="35" t="s">
        <v>31</v>
      </c>
      <c r="E825" s="35" t="s">
        <v>20</v>
      </c>
      <c r="F825" s="35">
        <v>17</v>
      </c>
      <c r="G825" s="35">
        <v>2217.12</v>
      </c>
      <c r="H825" s="35">
        <v>37691.040000000001</v>
      </c>
      <c r="I825" s="35">
        <v>19692.310000000001</v>
      </c>
      <c r="J825" s="35">
        <v>17998.73</v>
      </c>
      <c r="K825" s="37">
        <v>45723</v>
      </c>
      <c r="L825" s="37">
        <v>45726</v>
      </c>
      <c r="M825" s="35" t="s">
        <v>181</v>
      </c>
      <c r="N825" s="35">
        <v>4</v>
      </c>
      <c r="O825" s="35" t="s">
        <v>1017</v>
      </c>
      <c r="P825" s="35">
        <v>8.3000000000000007</v>
      </c>
    </row>
    <row r="826" spans="1:16" ht="15.75" customHeight="1" x14ac:dyDescent="0.3">
      <c r="A826" s="35" t="s">
        <v>1924</v>
      </c>
      <c r="B826" s="35" t="s">
        <v>1925</v>
      </c>
      <c r="C826" s="35" t="s">
        <v>57</v>
      </c>
      <c r="D826" s="35" t="s">
        <v>19</v>
      </c>
      <c r="E826" s="35" t="s">
        <v>20</v>
      </c>
      <c r="F826" s="35">
        <v>6</v>
      </c>
      <c r="G826" s="35">
        <v>1225.77</v>
      </c>
      <c r="H826" s="35">
        <v>7354.62</v>
      </c>
      <c r="I826" s="35">
        <v>4727.16</v>
      </c>
      <c r="J826" s="35">
        <v>2627.46</v>
      </c>
      <c r="K826" s="37">
        <v>45930</v>
      </c>
      <c r="L826" s="37">
        <v>45936</v>
      </c>
      <c r="M826" s="35" t="s">
        <v>58</v>
      </c>
      <c r="N826" s="35">
        <v>3</v>
      </c>
      <c r="O826" s="35" t="s">
        <v>638</v>
      </c>
      <c r="P826" s="35">
        <v>6.1</v>
      </c>
    </row>
    <row r="827" spans="1:16" ht="15.75" customHeight="1" x14ac:dyDescent="0.3">
      <c r="A827" s="35" t="s">
        <v>1926</v>
      </c>
      <c r="B827" s="35" t="s">
        <v>1927</v>
      </c>
      <c r="C827" s="35" t="s">
        <v>62</v>
      </c>
      <c r="D827" s="35" t="s">
        <v>31</v>
      </c>
      <c r="E827" s="35" t="s">
        <v>20</v>
      </c>
      <c r="F827" s="35">
        <v>10</v>
      </c>
      <c r="G827" s="35">
        <v>102.8</v>
      </c>
      <c r="H827" s="35">
        <v>1028</v>
      </c>
      <c r="I827" s="35">
        <v>773.31</v>
      </c>
      <c r="J827" s="35">
        <v>254.69</v>
      </c>
      <c r="K827" s="37">
        <v>45796</v>
      </c>
      <c r="L827" s="37">
        <v>45803</v>
      </c>
      <c r="M827" s="35" t="s">
        <v>123</v>
      </c>
      <c r="N827" s="35">
        <v>1</v>
      </c>
      <c r="O827" s="35" t="s">
        <v>541</v>
      </c>
      <c r="P827" s="35">
        <v>6.6</v>
      </c>
    </row>
    <row r="828" spans="1:16" ht="15.75" customHeight="1" x14ac:dyDescent="0.3">
      <c r="A828" s="35" t="s">
        <v>1928</v>
      </c>
      <c r="B828" s="35" t="s">
        <v>1929</v>
      </c>
      <c r="C828" s="35" t="s">
        <v>95</v>
      </c>
      <c r="D828" s="35" t="s">
        <v>19</v>
      </c>
      <c r="E828" s="35" t="s">
        <v>44</v>
      </c>
      <c r="F828" s="35">
        <v>15</v>
      </c>
      <c r="G828" s="35">
        <v>4345.5600000000004</v>
      </c>
      <c r="H828" s="35">
        <v>65183.4</v>
      </c>
      <c r="I828" s="35">
        <v>49365.97</v>
      </c>
      <c r="J828" s="35">
        <v>15817.43</v>
      </c>
      <c r="K828" s="37">
        <v>45617</v>
      </c>
      <c r="L828" s="37">
        <v>45620</v>
      </c>
      <c r="M828" s="35" t="s">
        <v>181</v>
      </c>
      <c r="N828" s="35">
        <v>2</v>
      </c>
      <c r="O828" s="35" t="s">
        <v>446</v>
      </c>
      <c r="P828" s="35">
        <v>6.8</v>
      </c>
    </row>
    <row r="829" spans="1:16" ht="15.75" customHeight="1" x14ac:dyDescent="0.3">
      <c r="A829" s="35" t="s">
        <v>1930</v>
      </c>
      <c r="B829" s="35" t="s">
        <v>1931</v>
      </c>
      <c r="C829" s="35" t="s">
        <v>37</v>
      </c>
      <c r="D829" s="35" t="s">
        <v>19</v>
      </c>
      <c r="E829" s="35" t="s">
        <v>32</v>
      </c>
      <c r="F829" s="35">
        <v>15</v>
      </c>
      <c r="G829" s="35">
        <v>127.02</v>
      </c>
      <c r="H829" s="35">
        <v>1905.3</v>
      </c>
      <c r="I829" s="35">
        <v>1391.8</v>
      </c>
      <c r="J829" s="35">
        <v>513.5</v>
      </c>
      <c r="K829" s="37">
        <v>45538</v>
      </c>
      <c r="L829" s="37">
        <v>45547</v>
      </c>
      <c r="M829" s="35" t="s">
        <v>26</v>
      </c>
      <c r="N829" s="35">
        <v>1</v>
      </c>
      <c r="O829" s="35" t="s">
        <v>82</v>
      </c>
      <c r="P829" s="35">
        <v>9.6</v>
      </c>
    </row>
    <row r="830" spans="1:16" ht="15.75" customHeight="1" x14ac:dyDescent="0.3">
      <c r="A830" s="35" t="s">
        <v>1932</v>
      </c>
      <c r="B830" s="35" t="s">
        <v>1933</v>
      </c>
      <c r="C830" s="35" t="s">
        <v>62</v>
      </c>
      <c r="D830" s="35" t="s">
        <v>31</v>
      </c>
      <c r="E830" s="35" t="s">
        <v>20</v>
      </c>
      <c r="F830" s="35">
        <v>8</v>
      </c>
      <c r="G830" s="35">
        <v>4502.8999999999996</v>
      </c>
      <c r="H830" s="35">
        <v>36023.199999999997</v>
      </c>
      <c r="I830" s="35">
        <v>24729.53</v>
      </c>
      <c r="J830" s="35">
        <v>11293.67</v>
      </c>
      <c r="K830" s="37">
        <v>45535</v>
      </c>
      <c r="L830" s="37">
        <v>45543</v>
      </c>
      <c r="M830" s="35" t="s">
        <v>123</v>
      </c>
      <c r="N830" s="35">
        <v>1</v>
      </c>
      <c r="O830" s="35" t="s">
        <v>417</v>
      </c>
      <c r="P830" s="35">
        <v>6.9</v>
      </c>
    </row>
    <row r="831" spans="1:16" ht="15.75" customHeight="1" x14ac:dyDescent="0.3">
      <c r="A831" s="35" t="s">
        <v>1934</v>
      </c>
      <c r="B831" s="35" t="s">
        <v>1935</v>
      </c>
      <c r="C831" s="35" t="s">
        <v>95</v>
      </c>
      <c r="D831" s="35" t="s">
        <v>19</v>
      </c>
      <c r="E831" s="35" t="s">
        <v>20</v>
      </c>
      <c r="F831" s="35">
        <v>13</v>
      </c>
      <c r="G831" s="35">
        <v>533.64</v>
      </c>
      <c r="H831" s="35">
        <v>6937.32</v>
      </c>
      <c r="I831" s="35">
        <v>4641.17</v>
      </c>
      <c r="J831" s="35">
        <v>2296.15</v>
      </c>
      <c r="K831" s="37">
        <v>45446</v>
      </c>
      <c r="L831" s="37">
        <v>45447</v>
      </c>
      <c r="M831" s="35" t="s">
        <v>26</v>
      </c>
      <c r="N831" s="35">
        <v>4</v>
      </c>
      <c r="O831" s="35" t="s">
        <v>767</v>
      </c>
      <c r="P831" s="35">
        <v>8.3000000000000007</v>
      </c>
    </row>
    <row r="832" spans="1:16" ht="15.75" customHeight="1" x14ac:dyDescent="0.3">
      <c r="A832" s="35" t="s">
        <v>1936</v>
      </c>
      <c r="B832" s="35" t="s">
        <v>1937</v>
      </c>
      <c r="C832" s="35" t="s">
        <v>139</v>
      </c>
      <c r="D832" s="35" t="s">
        <v>31</v>
      </c>
      <c r="E832" s="35" t="s">
        <v>20</v>
      </c>
      <c r="F832" s="35">
        <v>11</v>
      </c>
      <c r="G832" s="35">
        <v>1580.7</v>
      </c>
      <c r="H832" s="35">
        <v>17387.7</v>
      </c>
      <c r="I832" s="35">
        <v>11290.31</v>
      </c>
      <c r="J832" s="35">
        <v>6097.39</v>
      </c>
      <c r="K832" s="37">
        <v>46090</v>
      </c>
      <c r="L832" s="37">
        <v>46092</v>
      </c>
      <c r="M832" s="35" t="s">
        <v>21</v>
      </c>
      <c r="N832" s="35">
        <v>4</v>
      </c>
      <c r="O832" s="35" t="s">
        <v>604</v>
      </c>
      <c r="P832" s="35">
        <v>7.4</v>
      </c>
    </row>
    <row r="833" spans="1:16" ht="15.75" customHeight="1" x14ac:dyDescent="0.3">
      <c r="A833" s="35" t="s">
        <v>1938</v>
      </c>
      <c r="B833" s="35" t="s">
        <v>1939</v>
      </c>
      <c r="C833" s="35" t="s">
        <v>42</v>
      </c>
      <c r="D833" s="35" t="s">
        <v>43</v>
      </c>
      <c r="E833" s="35" t="s">
        <v>44</v>
      </c>
      <c r="F833" s="35">
        <v>5</v>
      </c>
      <c r="G833" s="35">
        <v>2481.67</v>
      </c>
      <c r="H833" s="35">
        <v>12408.35</v>
      </c>
      <c r="I833" s="35">
        <v>8045.41</v>
      </c>
      <c r="J833" s="35">
        <v>4362.9399999999996</v>
      </c>
      <c r="K833" s="37">
        <v>45505</v>
      </c>
      <c r="L833" s="37">
        <v>45507</v>
      </c>
      <c r="M833" s="35" t="s">
        <v>123</v>
      </c>
      <c r="N833" s="35">
        <v>5</v>
      </c>
      <c r="O833" s="35" t="s">
        <v>281</v>
      </c>
      <c r="P833" s="35">
        <v>8.1999999999999993</v>
      </c>
    </row>
    <row r="834" spans="1:16" ht="15.75" customHeight="1" x14ac:dyDescent="0.3">
      <c r="A834" s="35" t="s">
        <v>1940</v>
      </c>
      <c r="B834" s="35" t="s">
        <v>1941</v>
      </c>
      <c r="C834" s="35" t="s">
        <v>30</v>
      </c>
      <c r="D834" s="35" t="s">
        <v>31</v>
      </c>
      <c r="E834" s="35" t="s">
        <v>44</v>
      </c>
      <c r="F834" s="35">
        <v>19</v>
      </c>
      <c r="G834" s="35">
        <v>3631.11</v>
      </c>
      <c r="H834" s="35">
        <v>68991.09</v>
      </c>
      <c r="I834" s="35">
        <v>49011.72</v>
      </c>
      <c r="J834" s="35">
        <v>19979.37</v>
      </c>
      <c r="K834" s="37">
        <v>45770</v>
      </c>
      <c r="L834" s="37">
        <v>45776</v>
      </c>
      <c r="M834" s="35" t="s">
        <v>50</v>
      </c>
      <c r="N834" s="35">
        <v>2</v>
      </c>
      <c r="O834" s="35" t="s">
        <v>509</v>
      </c>
      <c r="P834" s="35">
        <v>7.1</v>
      </c>
    </row>
    <row r="835" spans="1:16" ht="15.75" customHeight="1" x14ac:dyDescent="0.3">
      <c r="A835" s="35" t="s">
        <v>1942</v>
      </c>
      <c r="B835" s="35" t="s">
        <v>1943</v>
      </c>
      <c r="C835" s="35" t="s">
        <v>42</v>
      </c>
      <c r="D835" s="35" t="s">
        <v>43</v>
      </c>
      <c r="E835" s="35" t="s">
        <v>44</v>
      </c>
      <c r="F835" s="35">
        <v>10</v>
      </c>
      <c r="G835" s="35">
        <v>4966.6400000000003</v>
      </c>
      <c r="H835" s="35">
        <v>49666.400000000001</v>
      </c>
      <c r="I835" s="35">
        <v>35346.620000000003</v>
      </c>
      <c r="J835" s="35">
        <v>14319.78</v>
      </c>
      <c r="K835" s="37">
        <v>45859</v>
      </c>
      <c r="L835" s="37">
        <v>45861</v>
      </c>
      <c r="M835" s="35" t="s">
        <v>123</v>
      </c>
      <c r="N835" s="35">
        <v>1</v>
      </c>
      <c r="O835" s="35" t="s">
        <v>741</v>
      </c>
      <c r="P835" s="35">
        <v>6.9</v>
      </c>
    </row>
    <row r="836" spans="1:16" ht="15.75" customHeight="1" x14ac:dyDescent="0.3">
      <c r="A836" s="35" t="s">
        <v>1944</v>
      </c>
      <c r="B836" s="35" t="s">
        <v>1945</v>
      </c>
      <c r="C836" s="35" t="s">
        <v>49</v>
      </c>
      <c r="D836" s="35" t="s">
        <v>43</v>
      </c>
      <c r="E836" s="35" t="s">
        <v>44</v>
      </c>
      <c r="F836" s="35">
        <v>13</v>
      </c>
      <c r="G836" s="35">
        <v>2544.84</v>
      </c>
      <c r="H836" s="35">
        <v>33082.92</v>
      </c>
      <c r="I836" s="35">
        <v>29381.95</v>
      </c>
      <c r="J836" s="35">
        <v>3700.97</v>
      </c>
      <c r="K836" s="37">
        <v>45584</v>
      </c>
      <c r="L836" s="37">
        <v>45587</v>
      </c>
      <c r="M836" s="35" t="s">
        <v>69</v>
      </c>
      <c r="N836" s="35">
        <v>2</v>
      </c>
      <c r="O836" s="35" t="s">
        <v>1390</v>
      </c>
      <c r="P836" s="35">
        <v>6.8</v>
      </c>
    </row>
    <row r="837" spans="1:16" ht="15.75" customHeight="1" x14ac:dyDescent="0.3">
      <c r="A837" s="35" t="s">
        <v>1946</v>
      </c>
      <c r="B837" s="35" t="s">
        <v>1947</v>
      </c>
      <c r="C837" s="35" t="s">
        <v>49</v>
      </c>
      <c r="D837" s="35" t="s">
        <v>43</v>
      </c>
      <c r="E837" s="35" t="s">
        <v>32</v>
      </c>
      <c r="F837" s="35">
        <v>10</v>
      </c>
      <c r="G837" s="35">
        <v>3746.01</v>
      </c>
      <c r="H837" s="35">
        <v>37460.1</v>
      </c>
      <c r="I837" s="35">
        <v>30415.09</v>
      </c>
      <c r="J837" s="35">
        <v>7045.01</v>
      </c>
      <c r="K837" s="37">
        <v>45753</v>
      </c>
      <c r="L837" s="37">
        <v>45759</v>
      </c>
      <c r="M837" s="35" t="s">
        <v>26</v>
      </c>
      <c r="N837" s="35">
        <v>1</v>
      </c>
      <c r="O837" s="35" t="s">
        <v>541</v>
      </c>
      <c r="P837" s="35">
        <v>6.5</v>
      </c>
    </row>
    <row r="838" spans="1:16" ht="15.75" customHeight="1" x14ac:dyDescent="0.3">
      <c r="A838" s="35" t="s">
        <v>1948</v>
      </c>
      <c r="B838" s="35" t="s">
        <v>1949</v>
      </c>
      <c r="C838" s="35" t="s">
        <v>62</v>
      </c>
      <c r="D838" s="35" t="s">
        <v>31</v>
      </c>
      <c r="E838" s="35" t="s">
        <v>32</v>
      </c>
      <c r="F838" s="35">
        <v>8</v>
      </c>
      <c r="G838" s="35">
        <v>3937.87</v>
      </c>
      <c r="H838" s="35">
        <v>31502.959999999999</v>
      </c>
      <c r="I838" s="35">
        <v>26916.65</v>
      </c>
      <c r="J838" s="35">
        <v>4586.3100000000004</v>
      </c>
      <c r="K838" s="37">
        <v>45801</v>
      </c>
      <c r="L838" s="37">
        <v>45802</v>
      </c>
      <c r="M838" s="35" t="s">
        <v>50</v>
      </c>
      <c r="N838" s="35">
        <v>1</v>
      </c>
      <c r="O838" s="35" t="s">
        <v>446</v>
      </c>
      <c r="P838" s="35">
        <v>9</v>
      </c>
    </row>
    <row r="839" spans="1:16" ht="15.75" customHeight="1" x14ac:dyDescent="0.3">
      <c r="A839" s="35" t="s">
        <v>1950</v>
      </c>
      <c r="B839" s="35" t="s">
        <v>1951</v>
      </c>
      <c r="C839" s="35" t="s">
        <v>219</v>
      </c>
      <c r="D839" s="35" t="s">
        <v>43</v>
      </c>
      <c r="E839" s="35" t="s">
        <v>25</v>
      </c>
      <c r="F839" s="35">
        <v>14</v>
      </c>
      <c r="G839" s="35">
        <v>3453.16</v>
      </c>
      <c r="H839" s="35">
        <v>48344.24</v>
      </c>
      <c r="I839" s="35">
        <v>26658.35</v>
      </c>
      <c r="J839" s="35">
        <v>21685.89</v>
      </c>
      <c r="K839" s="37">
        <v>45867</v>
      </c>
      <c r="L839" s="37">
        <v>45872</v>
      </c>
      <c r="M839" s="35" t="s">
        <v>45</v>
      </c>
      <c r="N839" s="35">
        <v>2</v>
      </c>
      <c r="O839" s="35" t="s">
        <v>429</v>
      </c>
      <c r="P839" s="35">
        <v>8.8000000000000007</v>
      </c>
    </row>
    <row r="840" spans="1:16" ht="15.75" customHeight="1" x14ac:dyDescent="0.3">
      <c r="A840" s="35" t="s">
        <v>1952</v>
      </c>
      <c r="B840" s="35" t="s">
        <v>1953</v>
      </c>
      <c r="C840" s="35" t="s">
        <v>57</v>
      </c>
      <c r="D840" s="35" t="s">
        <v>19</v>
      </c>
      <c r="E840" s="35" t="s">
        <v>25</v>
      </c>
      <c r="F840" s="35">
        <v>18</v>
      </c>
      <c r="G840" s="35">
        <v>2514.7600000000002</v>
      </c>
      <c r="H840" s="35">
        <v>45265.68</v>
      </c>
      <c r="I840" s="35">
        <v>33636.620000000003</v>
      </c>
      <c r="J840" s="35">
        <v>11629.06</v>
      </c>
      <c r="K840" s="37">
        <v>46065</v>
      </c>
      <c r="L840" s="37">
        <v>46075</v>
      </c>
      <c r="M840" s="35" t="s">
        <v>45</v>
      </c>
      <c r="N840" s="35">
        <v>4</v>
      </c>
      <c r="O840" s="35" t="s">
        <v>294</v>
      </c>
      <c r="P840" s="35">
        <v>7.7</v>
      </c>
    </row>
    <row r="841" spans="1:16" ht="15.75" customHeight="1" x14ac:dyDescent="0.3">
      <c r="A841" s="35" t="s">
        <v>1954</v>
      </c>
      <c r="B841" s="35" t="s">
        <v>1955</v>
      </c>
      <c r="C841" s="35" t="s">
        <v>49</v>
      </c>
      <c r="D841" s="35" t="s">
        <v>43</v>
      </c>
      <c r="E841" s="35" t="s">
        <v>32</v>
      </c>
      <c r="F841" s="35">
        <v>16</v>
      </c>
      <c r="G841" s="35">
        <v>3625.82</v>
      </c>
      <c r="H841" s="35">
        <v>58013.120000000003</v>
      </c>
      <c r="I841" s="35">
        <v>33474.870000000003</v>
      </c>
      <c r="J841" s="35">
        <v>24538.25</v>
      </c>
      <c r="K841" s="37">
        <v>45434</v>
      </c>
      <c r="L841" s="37">
        <v>45435</v>
      </c>
      <c r="M841" s="35" t="s">
        <v>69</v>
      </c>
      <c r="N841" s="35">
        <v>5</v>
      </c>
      <c r="O841" s="35" t="s">
        <v>692</v>
      </c>
      <c r="P841" s="35">
        <v>6.4</v>
      </c>
    </row>
    <row r="842" spans="1:16" ht="15.75" customHeight="1" x14ac:dyDescent="0.3">
      <c r="A842" s="35" t="s">
        <v>1956</v>
      </c>
      <c r="B842" s="35" t="s">
        <v>1957</v>
      </c>
      <c r="C842" s="35" t="s">
        <v>144</v>
      </c>
      <c r="D842" s="35" t="s">
        <v>19</v>
      </c>
      <c r="E842" s="35" t="s">
        <v>20</v>
      </c>
      <c r="F842" s="35">
        <v>10</v>
      </c>
      <c r="G842" s="35">
        <v>797.9</v>
      </c>
      <c r="H842" s="35">
        <v>7979</v>
      </c>
      <c r="I842" s="35">
        <v>5069.46</v>
      </c>
      <c r="J842" s="35">
        <v>2909.54</v>
      </c>
      <c r="K842" s="37">
        <v>45681</v>
      </c>
      <c r="L842" s="37">
        <v>45691</v>
      </c>
      <c r="M842" s="35" t="s">
        <v>69</v>
      </c>
      <c r="N842" s="35">
        <v>4</v>
      </c>
      <c r="O842" s="35" t="s">
        <v>386</v>
      </c>
      <c r="P842" s="35">
        <v>7.9</v>
      </c>
    </row>
    <row r="843" spans="1:16" ht="15.75" customHeight="1" x14ac:dyDescent="0.3">
      <c r="A843" s="35" t="s">
        <v>1958</v>
      </c>
      <c r="B843" s="35" t="s">
        <v>1959</v>
      </c>
      <c r="C843" s="35" t="s">
        <v>139</v>
      </c>
      <c r="D843" s="35" t="s">
        <v>31</v>
      </c>
      <c r="E843" s="35" t="s">
        <v>25</v>
      </c>
      <c r="F843" s="35">
        <v>1</v>
      </c>
      <c r="G843" s="35">
        <v>2697.69</v>
      </c>
      <c r="H843" s="35">
        <v>2697.69</v>
      </c>
      <c r="I843" s="35">
        <v>2294.9</v>
      </c>
      <c r="J843" s="35">
        <v>402.79</v>
      </c>
      <c r="K843" s="37">
        <v>45717</v>
      </c>
      <c r="L843" s="37">
        <v>45726</v>
      </c>
      <c r="M843" s="35" t="s">
        <v>69</v>
      </c>
      <c r="N843" s="35">
        <v>4</v>
      </c>
      <c r="O843" s="35" t="s">
        <v>1960</v>
      </c>
      <c r="P843" s="35">
        <v>6.6</v>
      </c>
    </row>
    <row r="844" spans="1:16" ht="15.75" customHeight="1" x14ac:dyDescent="0.3">
      <c r="A844" s="35" t="s">
        <v>1961</v>
      </c>
      <c r="B844" s="35" t="s">
        <v>1962</v>
      </c>
      <c r="C844" s="35" t="s">
        <v>62</v>
      </c>
      <c r="D844" s="35" t="s">
        <v>31</v>
      </c>
      <c r="E844" s="35" t="s">
        <v>25</v>
      </c>
      <c r="F844" s="35">
        <v>6</v>
      </c>
      <c r="G844" s="35">
        <v>2065.59</v>
      </c>
      <c r="H844" s="35">
        <v>12393.54</v>
      </c>
      <c r="I844" s="35">
        <v>9200.69</v>
      </c>
      <c r="J844" s="35">
        <v>3192.85</v>
      </c>
      <c r="K844" s="37">
        <v>45988</v>
      </c>
      <c r="L844" s="37">
        <v>45997</v>
      </c>
      <c r="M844" s="35" t="s">
        <v>45</v>
      </c>
      <c r="N844" s="35">
        <v>2</v>
      </c>
      <c r="O844" s="35" t="s">
        <v>105</v>
      </c>
      <c r="P844" s="35">
        <v>6.9</v>
      </c>
    </row>
    <row r="845" spans="1:16" ht="15.75" customHeight="1" x14ac:dyDescent="0.3">
      <c r="A845" s="35" t="s">
        <v>1963</v>
      </c>
      <c r="B845" s="35" t="s">
        <v>1964</v>
      </c>
      <c r="C845" s="35" t="s">
        <v>62</v>
      </c>
      <c r="D845" s="35" t="s">
        <v>31</v>
      </c>
      <c r="E845" s="35" t="s">
        <v>44</v>
      </c>
      <c r="F845" s="35">
        <v>20</v>
      </c>
      <c r="G845" s="35">
        <v>2548.46</v>
      </c>
      <c r="H845" s="35">
        <v>50969.2</v>
      </c>
      <c r="I845" s="35">
        <v>28584.42</v>
      </c>
      <c r="J845" s="35">
        <v>22384.78</v>
      </c>
      <c r="K845" s="37">
        <v>45594</v>
      </c>
      <c r="L845" s="37">
        <v>45597</v>
      </c>
      <c r="M845" s="35" t="s">
        <v>123</v>
      </c>
      <c r="N845" s="35">
        <v>3</v>
      </c>
      <c r="O845" s="35" t="s">
        <v>460</v>
      </c>
      <c r="P845" s="35">
        <v>9.4</v>
      </c>
    </row>
    <row r="846" spans="1:16" ht="15.75" customHeight="1" x14ac:dyDescent="0.3">
      <c r="A846" s="35" t="s">
        <v>1965</v>
      </c>
      <c r="B846" s="35" t="s">
        <v>1966</v>
      </c>
      <c r="C846" s="35" t="s">
        <v>219</v>
      </c>
      <c r="D846" s="35" t="s">
        <v>43</v>
      </c>
      <c r="E846" s="35" t="s">
        <v>32</v>
      </c>
      <c r="F846" s="35">
        <v>6</v>
      </c>
      <c r="G846" s="35">
        <v>626.45000000000005</v>
      </c>
      <c r="H846" s="35">
        <v>3758.7</v>
      </c>
      <c r="I846" s="35">
        <v>2344.9499999999998</v>
      </c>
      <c r="J846" s="35">
        <v>1413.75</v>
      </c>
      <c r="K846" s="37">
        <v>45639</v>
      </c>
      <c r="L846" s="37">
        <v>45649</v>
      </c>
      <c r="M846" s="35" t="s">
        <v>123</v>
      </c>
      <c r="N846" s="35">
        <v>4</v>
      </c>
      <c r="O846" s="35" t="s">
        <v>127</v>
      </c>
      <c r="P846" s="35">
        <v>9.6999999999999993</v>
      </c>
    </row>
    <row r="847" spans="1:16" ht="15.75" customHeight="1" x14ac:dyDescent="0.3">
      <c r="A847" s="35" t="s">
        <v>1967</v>
      </c>
      <c r="B847" s="35" t="s">
        <v>1968</v>
      </c>
      <c r="C847" s="35" t="s">
        <v>72</v>
      </c>
      <c r="D847" s="35" t="s">
        <v>31</v>
      </c>
      <c r="E847" s="35" t="s">
        <v>20</v>
      </c>
      <c r="F847" s="35">
        <v>15</v>
      </c>
      <c r="G847" s="35">
        <v>404.06</v>
      </c>
      <c r="H847" s="35">
        <v>6060.9</v>
      </c>
      <c r="I847" s="35">
        <v>4369.05</v>
      </c>
      <c r="J847" s="35">
        <v>1691.85</v>
      </c>
      <c r="K847" s="37">
        <v>45667</v>
      </c>
      <c r="L847" s="37">
        <v>45668</v>
      </c>
      <c r="M847" s="35" t="s">
        <v>26</v>
      </c>
      <c r="N847" s="35">
        <v>3</v>
      </c>
      <c r="O847" s="35" t="s">
        <v>1067</v>
      </c>
      <c r="P847" s="35">
        <v>7.1</v>
      </c>
    </row>
    <row r="848" spans="1:16" ht="15.75" customHeight="1" x14ac:dyDescent="0.3">
      <c r="A848" s="35" t="s">
        <v>1969</v>
      </c>
      <c r="B848" s="35" t="s">
        <v>1970</v>
      </c>
      <c r="C848" s="35" t="s">
        <v>49</v>
      </c>
      <c r="D848" s="35" t="s">
        <v>43</v>
      </c>
      <c r="E848" s="35" t="s">
        <v>32</v>
      </c>
      <c r="F848" s="35">
        <v>8</v>
      </c>
      <c r="G848" s="35">
        <v>3636.03</v>
      </c>
      <c r="H848" s="35">
        <v>29088.240000000002</v>
      </c>
      <c r="I848" s="35">
        <v>18005.98</v>
      </c>
      <c r="J848" s="35">
        <v>11082.26</v>
      </c>
      <c r="K848" s="37">
        <v>45955</v>
      </c>
      <c r="L848" s="37">
        <v>45960</v>
      </c>
      <c r="M848" s="35" t="s">
        <v>21</v>
      </c>
      <c r="N848" s="35">
        <v>5</v>
      </c>
      <c r="O848" s="35" t="s">
        <v>148</v>
      </c>
      <c r="P848" s="35">
        <v>8.1999999999999993</v>
      </c>
    </row>
    <row r="849" spans="1:16" ht="15.75" customHeight="1" x14ac:dyDescent="0.3">
      <c r="A849" s="35" t="s">
        <v>1971</v>
      </c>
      <c r="B849" s="35" t="s">
        <v>1972</v>
      </c>
      <c r="C849" s="35" t="s">
        <v>49</v>
      </c>
      <c r="D849" s="35" t="s">
        <v>43</v>
      </c>
      <c r="E849" s="35" t="s">
        <v>32</v>
      </c>
      <c r="F849" s="35">
        <v>17</v>
      </c>
      <c r="G849" s="35">
        <v>2344.79</v>
      </c>
      <c r="H849" s="35">
        <v>39861.43</v>
      </c>
      <c r="I849" s="35">
        <v>28466.71</v>
      </c>
      <c r="J849" s="35">
        <v>11394.72</v>
      </c>
      <c r="K849" s="37">
        <v>45653</v>
      </c>
      <c r="L849" s="37">
        <v>45662</v>
      </c>
      <c r="M849" s="35" t="s">
        <v>50</v>
      </c>
      <c r="N849" s="35">
        <v>3</v>
      </c>
      <c r="O849" s="35" t="s">
        <v>359</v>
      </c>
      <c r="P849" s="35">
        <v>7.7</v>
      </c>
    </row>
    <row r="850" spans="1:16" ht="15.75" customHeight="1" x14ac:dyDescent="0.3">
      <c r="A850" s="35" t="s">
        <v>1973</v>
      </c>
      <c r="B850" s="35" t="s">
        <v>1974</v>
      </c>
      <c r="C850" s="35" t="s">
        <v>195</v>
      </c>
      <c r="D850" s="35" t="s">
        <v>43</v>
      </c>
      <c r="E850" s="35" t="s">
        <v>25</v>
      </c>
      <c r="F850" s="35">
        <v>5</v>
      </c>
      <c r="G850" s="35">
        <v>4494.59</v>
      </c>
      <c r="H850" s="35">
        <v>22472.95</v>
      </c>
      <c r="I850" s="35">
        <v>17844.400000000001</v>
      </c>
      <c r="J850" s="35">
        <v>4628.55</v>
      </c>
      <c r="K850" s="37">
        <v>45991</v>
      </c>
      <c r="L850" s="37">
        <v>45999</v>
      </c>
      <c r="M850" s="35" t="s">
        <v>123</v>
      </c>
      <c r="N850" s="35">
        <v>1</v>
      </c>
      <c r="O850" s="35" t="s">
        <v>294</v>
      </c>
      <c r="P850" s="35">
        <v>6.7</v>
      </c>
    </row>
    <row r="851" spans="1:16" ht="15.75" customHeight="1" x14ac:dyDescent="0.3">
      <c r="A851" s="35" t="s">
        <v>1975</v>
      </c>
      <c r="B851" s="35" t="s">
        <v>1976</v>
      </c>
      <c r="C851" s="35" t="s">
        <v>195</v>
      </c>
      <c r="D851" s="35" t="s">
        <v>43</v>
      </c>
      <c r="E851" s="35" t="s">
        <v>32</v>
      </c>
      <c r="F851" s="35">
        <v>8</v>
      </c>
      <c r="G851" s="35">
        <v>822.36</v>
      </c>
      <c r="H851" s="35">
        <v>6578.88</v>
      </c>
      <c r="I851" s="35">
        <v>3902.52</v>
      </c>
      <c r="J851" s="35">
        <v>2676.36</v>
      </c>
      <c r="K851" s="37">
        <v>46154</v>
      </c>
      <c r="L851" s="37">
        <v>46162</v>
      </c>
      <c r="M851" s="35" t="s">
        <v>181</v>
      </c>
      <c r="N851" s="35">
        <v>2</v>
      </c>
      <c r="O851" s="35" t="s">
        <v>391</v>
      </c>
      <c r="P851" s="35">
        <v>7.5</v>
      </c>
    </row>
    <row r="852" spans="1:16" ht="15.75" customHeight="1" x14ac:dyDescent="0.3">
      <c r="A852" s="35" t="s">
        <v>1977</v>
      </c>
      <c r="B852" s="35" t="s">
        <v>1978</v>
      </c>
      <c r="C852" s="35" t="s">
        <v>37</v>
      </c>
      <c r="D852" s="35" t="s">
        <v>19</v>
      </c>
      <c r="E852" s="35" t="s">
        <v>44</v>
      </c>
      <c r="F852" s="35">
        <v>6</v>
      </c>
      <c r="G852" s="35">
        <v>4966.67</v>
      </c>
      <c r="H852" s="35">
        <v>29800.02</v>
      </c>
      <c r="I852" s="35">
        <v>15983.79</v>
      </c>
      <c r="J852" s="35">
        <v>13816.23</v>
      </c>
      <c r="K852" s="37">
        <v>45713</v>
      </c>
      <c r="L852" s="37">
        <v>45721</v>
      </c>
      <c r="M852" s="35" t="s">
        <v>123</v>
      </c>
      <c r="N852" s="35">
        <v>3</v>
      </c>
      <c r="O852" s="35" t="s">
        <v>732</v>
      </c>
      <c r="P852" s="35">
        <v>8.1</v>
      </c>
    </row>
    <row r="853" spans="1:16" ht="15.75" customHeight="1" x14ac:dyDescent="0.3">
      <c r="A853" s="35" t="s">
        <v>1979</v>
      </c>
      <c r="B853" s="35" t="s">
        <v>1980</v>
      </c>
      <c r="C853" s="35" t="s">
        <v>42</v>
      </c>
      <c r="D853" s="35" t="s">
        <v>43</v>
      </c>
      <c r="E853" s="35" t="s">
        <v>44</v>
      </c>
      <c r="F853" s="35">
        <v>2</v>
      </c>
      <c r="G853" s="35">
        <v>4226.32</v>
      </c>
      <c r="H853" s="35">
        <v>8452.64</v>
      </c>
      <c r="I853" s="35">
        <v>4867.37</v>
      </c>
      <c r="J853" s="35">
        <v>3585.27</v>
      </c>
      <c r="K853" s="37">
        <v>45595</v>
      </c>
      <c r="L853" s="37">
        <v>45600</v>
      </c>
      <c r="M853" s="35" t="s">
        <v>69</v>
      </c>
      <c r="N853" s="35">
        <v>2</v>
      </c>
      <c r="O853" s="35" t="s">
        <v>1297</v>
      </c>
      <c r="P853" s="35">
        <v>7.1</v>
      </c>
    </row>
    <row r="854" spans="1:16" ht="15.75" customHeight="1" x14ac:dyDescent="0.3">
      <c r="A854" s="35" t="s">
        <v>1981</v>
      </c>
      <c r="B854" s="35" t="s">
        <v>1982</v>
      </c>
      <c r="C854" s="35" t="s">
        <v>168</v>
      </c>
      <c r="D854" s="35" t="s">
        <v>43</v>
      </c>
      <c r="E854" s="35" t="s">
        <v>32</v>
      </c>
      <c r="F854" s="35">
        <v>4</v>
      </c>
      <c r="G854" s="35">
        <v>4482.17</v>
      </c>
      <c r="H854" s="35">
        <v>17928.68</v>
      </c>
      <c r="I854" s="35">
        <v>10915.22</v>
      </c>
      <c r="J854" s="35">
        <v>7013.46</v>
      </c>
      <c r="K854" s="37">
        <v>45555</v>
      </c>
      <c r="L854" s="37">
        <v>45556</v>
      </c>
      <c r="M854" s="35" t="s">
        <v>50</v>
      </c>
      <c r="N854" s="35">
        <v>1</v>
      </c>
      <c r="O854" s="35" t="s">
        <v>638</v>
      </c>
      <c r="P854" s="35">
        <v>7.2</v>
      </c>
    </row>
    <row r="855" spans="1:16" ht="15.75" customHeight="1" x14ac:dyDescent="0.3">
      <c r="A855" s="35" t="s">
        <v>1983</v>
      </c>
      <c r="B855" s="35" t="s">
        <v>1984</v>
      </c>
      <c r="C855" s="35" t="s">
        <v>62</v>
      </c>
      <c r="D855" s="35" t="s">
        <v>31</v>
      </c>
      <c r="E855" s="35" t="s">
        <v>44</v>
      </c>
      <c r="F855" s="35">
        <v>4</v>
      </c>
      <c r="G855" s="35">
        <v>1182.52</v>
      </c>
      <c r="H855" s="35">
        <v>4730.08</v>
      </c>
      <c r="I855" s="35">
        <v>4022.52</v>
      </c>
      <c r="J855" s="35">
        <v>707.56</v>
      </c>
      <c r="K855" s="37">
        <v>45862</v>
      </c>
      <c r="L855" s="37">
        <v>45868</v>
      </c>
      <c r="M855" s="35" t="s">
        <v>58</v>
      </c>
      <c r="N855" s="35">
        <v>3</v>
      </c>
      <c r="O855" s="35" t="s">
        <v>441</v>
      </c>
      <c r="P855" s="35">
        <v>7.8</v>
      </c>
    </row>
    <row r="856" spans="1:16" ht="15.75" customHeight="1" x14ac:dyDescent="0.3">
      <c r="A856" s="35" t="s">
        <v>1985</v>
      </c>
      <c r="B856" s="35" t="s">
        <v>1986</v>
      </c>
      <c r="C856" s="35" t="s">
        <v>88</v>
      </c>
      <c r="D856" s="35" t="s">
        <v>31</v>
      </c>
      <c r="E856" s="35" t="s">
        <v>32</v>
      </c>
      <c r="F856" s="35">
        <v>19</v>
      </c>
      <c r="G856" s="35">
        <v>4259.58</v>
      </c>
      <c r="H856" s="35">
        <v>80932.02</v>
      </c>
      <c r="I856" s="35">
        <v>62824.66</v>
      </c>
      <c r="J856" s="35">
        <v>18107.36</v>
      </c>
      <c r="K856" s="37">
        <v>45731</v>
      </c>
      <c r="L856" s="37">
        <v>45734</v>
      </c>
      <c r="M856" s="35" t="s">
        <v>58</v>
      </c>
      <c r="N856" s="35">
        <v>5</v>
      </c>
      <c r="O856" s="35" t="s">
        <v>548</v>
      </c>
      <c r="P856" s="35">
        <v>7.9</v>
      </c>
    </row>
    <row r="857" spans="1:16" ht="15.75" customHeight="1" x14ac:dyDescent="0.3">
      <c r="A857" s="35" t="s">
        <v>1987</v>
      </c>
      <c r="B857" s="35" t="s">
        <v>1988</v>
      </c>
      <c r="C857" s="35" t="s">
        <v>139</v>
      </c>
      <c r="D857" s="35" t="s">
        <v>31</v>
      </c>
      <c r="E857" s="35" t="s">
        <v>20</v>
      </c>
      <c r="F857" s="35">
        <v>11</v>
      </c>
      <c r="G857" s="35">
        <v>856.08</v>
      </c>
      <c r="H857" s="35">
        <v>9416.8799999999992</v>
      </c>
      <c r="I857" s="35">
        <v>6675.65</v>
      </c>
      <c r="J857" s="35">
        <v>2741.23</v>
      </c>
      <c r="K857" s="37">
        <v>46036</v>
      </c>
      <c r="L857" s="37">
        <v>46046</v>
      </c>
      <c r="M857" s="35" t="s">
        <v>58</v>
      </c>
      <c r="N857" s="35">
        <v>5</v>
      </c>
      <c r="O857" s="35" t="s">
        <v>423</v>
      </c>
      <c r="P857" s="35">
        <v>8.1</v>
      </c>
    </row>
    <row r="858" spans="1:16" ht="15.75" customHeight="1" x14ac:dyDescent="0.3">
      <c r="A858" s="35" t="s">
        <v>1989</v>
      </c>
      <c r="B858" s="35" t="s">
        <v>1990</v>
      </c>
      <c r="C858" s="35" t="s">
        <v>37</v>
      </c>
      <c r="D858" s="35" t="s">
        <v>19</v>
      </c>
      <c r="E858" s="35" t="s">
        <v>44</v>
      </c>
      <c r="F858" s="35">
        <v>7</v>
      </c>
      <c r="G858" s="35">
        <v>59.85</v>
      </c>
      <c r="H858" s="35">
        <v>418.95</v>
      </c>
      <c r="I858" s="35">
        <v>232.28</v>
      </c>
      <c r="J858" s="35">
        <v>186.67</v>
      </c>
      <c r="K858" s="37">
        <v>45525</v>
      </c>
      <c r="L858" s="37">
        <v>45529</v>
      </c>
      <c r="M858" s="35" t="s">
        <v>123</v>
      </c>
      <c r="N858" s="35">
        <v>1</v>
      </c>
      <c r="O858" s="35" t="s">
        <v>788</v>
      </c>
      <c r="P858" s="35">
        <v>9.4</v>
      </c>
    </row>
    <row r="859" spans="1:16" ht="15.75" customHeight="1" x14ac:dyDescent="0.3">
      <c r="A859" s="35" t="s">
        <v>1991</v>
      </c>
      <c r="B859" s="35" t="s">
        <v>1992</v>
      </c>
      <c r="C859" s="35" t="s">
        <v>57</v>
      </c>
      <c r="D859" s="35" t="s">
        <v>19</v>
      </c>
      <c r="E859" s="35" t="s">
        <v>25</v>
      </c>
      <c r="F859" s="35">
        <v>3</v>
      </c>
      <c r="G859" s="35">
        <v>4687.99</v>
      </c>
      <c r="H859" s="35">
        <v>14063.97</v>
      </c>
      <c r="I859" s="35">
        <v>7959.28</v>
      </c>
      <c r="J859" s="35">
        <v>6104.69</v>
      </c>
      <c r="K859" s="37">
        <v>45590</v>
      </c>
      <c r="L859" s="37">
        <v>45593</v>
      </c>
      <c r="M859" s="35" t="s">
        <v>45</v>
      </c>
      <c r="N859" s="35">
        <v>2</v>
      </c>
      <c r="O859" s="35" t="s">
        <v>460</v>
      </c>
      <c r="P859" s="35">
        <v>9.4</v>
      </c>
    </row>
    <row r="860" spans="1:16" ht="15.75" customHeight="1" x14ac:dyDescent="0.3">
      <c r="A860" s="35" t="s">
        <v>1993</v>
      </c>
      <c r="B860" s="35" t="s">
        <v>1994</v>
      </c>
      <c r="C860" s="35" t="s">
        <v>144</v>
      </c>
      <c r="D860" s="35" t="s">
        <v>19</v>
      </c>
      <c r="E860" s="35" t="s">
        <v>25</v>
      </c>
      <c r="F860" s="35">
        <v>14</v>
      </c>
      <c r="G860" s="35">
        <v>2546.16</v>
      </c>
      <c r="H860" s="35">
        <v>35646.239999999998</v>
      </c>
      <c r="I860" s="35">
        <v>23252.400000000001</v>
      </c>
      <c r="J860" s="35">
        <v>12393.84</v>
      </c>
      <c r="K860" s="37">
        <v>46057</v>
      </c>
      <c r="L860" s="37">
        <v>46059</v>
      </c>
      <c r="M860" s="35" t="s">
        <v>45</v>
      </c>
      <c r="N860" s="35">
        <v>2</v>
      </c>
      <c r="O860" s="35" t="s">
        <v>96</v>
      </c>
      <c r="P860" s="35">
        <v>6.4</v>
      </c>
    </row>
    <row r="861" spans="1:16" ht="15.75" customHeight="1" x14ac:dyDescent="0.3">
      <c r="A861" s="35" t="s">
        <v>1995</v>
      </c>
      <c r="B861" s="35" t="s">
        <v>1996</v>
      </c>
      <c r="C861" s="35" t="s">
        <v>57</v>
      </c>
      <c r="D861" s="35" t="s">
        <v>19</v>
      </c>
      <c r="E861" s="35" t="s">
        <v>44</v>
      </c>
      <c r="F861" s="35">
        <v>20</v>
      </c>
      <c r="G861" s="35">
        <v>3851.8</v>
      </c>
      <c r="H861" s="35">
        <v>77036</v>
      </c>
      <c r="I861" s="35">
        <v>48575.42</v>
      </c>
      <c r="J861" s="35">
        <v>28460.58</v>
      </c>
      <c r="K861" s="37">
        <v>45933</v>
      </c>
      <c r="L861" s="37">
        <v>45939</v>
      </c>
      <c r="M861" s="35" t="s">
        <v>123</v>
      </c>
      <c r="N861" s="35">
        <v>1</v>
      </c>
      <c r="O861" s="35" t="s">
        <v>383</v>
      </c>
      <c r="P861" s="35">
        <v>7.9</v>
      </c>
    </row>
    <row r="862" spans="1:16" ht="15.75" customHeight="1" x14ac:dyDescent="0.3">
      <c r="A862" s="35" t="s">
        <v>1997</v>
      </c>
      <c r="B862" s="35" t="s">
        <v>1998</v>
      </c>
      <c r="C862" s="35" t="s">
        <v>57</v>
      </c>
      <c r="D862" s="35" t="s">
        <v>19</v>
      </c>
      <c r="E862" s="35" t="s">
        <v>32</v>
      </c>
      <c r="F862" s="35">
        <v>11</v>
      </c>
      <c r="G862" s="35">
        <v>2328.81</v>
      </c>
      <c r="H862" s="35">
        <v>25616.91</v>
      </c>
      <c r="I862" s="35">
        <v>19747.810000000001</v>
      </c>
      <c r="J862" s="35">
        <v>5869.1</v>
      </c>
      <c r="K862" s="37">
        <v>45605</v>
      </c>
      <c r="L862" s="37">
        <v>45611</v>
      </c>
      <c r="M862" s="35" t="s">
        <v>26</v>
      </c>
      <c r="N862" s="35">
        <v>3</v>
      </c>
      <c r="O862" s="35" t="s">
        <v>305</v>
      </c>
      <c r="P862" s="35">
        <v>7.1</v>
      </c>
    </row>
    <row r="863" spans="1:16" ht="15.75" customHeight="1" x14ac:dyDescent="0.3">
      <c r="A863" s="35" t="s">
        <v>1999</v>
      </c>
      <c r="B863" s="35" t="s">
        <v>2000</v>
      </c>
      <c r="C863" s="35" t="s">
        <v>62</v>
      </c>
      <c r="D863" s="35" t="s">
        <v>31</v>
      </c>
      <c r="E863" s="35" t="s">
        <v>32</v>
      </c>
      <c r="F863" s="35">
        <v>7</v>
      </c>
      <c r="G863" s="35">
        <v>1421.9</v>
      </c>
      <c r="H863" s="35">
        <v>9953.2999999999993</v>
      </c>
      <c r="I863" s="35">
        <v>7553.34</v>
      </c>
      <c r="J863" s="35">
        <v>2399.96</v>
      </c>
      <c r="K863" s="37">
        <v>45671</v>
      </c>
      <c r="L863" s="37">
        <v>45676</v>
      </c>
      <c r="M863" s="35" t="s">
        <v>58</v>
      </c>
      <c r="N863" s="35">
        <v>5</v>
      </c>
      <c r="O863" s="35" t="s">
        <v>335</v>
      </c>
      <c r="P863" s="35">
        <v>8.1</v>
      </c>
    </row>
    <row r="864" spans="1:16" ht="15.75" customHeight="1" x14ac:dyDescent="0.3">
      <c r="A864" s="35" t="s">
        <v>2001</v>
      </c>
      <c r="B864" s="35" t="s">
        <v>2002</v>
      </c>
      <c r="C864" s="35" t="s">
        <v>88</v>
      </c>
      <c r="D864" s="35" t="s">
        <v>31</v>
      </c>
      <c r="E864" s="35" t="s">
        <v>44</v>
      </c>
      <c r="F864" s="35">
        <v>5</v>
      </c>
      <c r="G864" s="35">
        <v>3462.76</v>
      </c>
      <c r="H864" s="35">
        <v>17313.8</v>
      </c>
      <c r="I864" s="35">
        <v>15455.27</v>
      </c>
      <c r="J864" s="35">
        <v>1858.53</v>
      </c>
      <c r="K864" s="37">
        <v>46097</v>
      </c>
      <c r="L864" s="37">
        <v>46106</v>
      </c>
      <c r="M864" s="35" t="s">
        <v>50</v>
      </c>
      <c r="N864" s="35">
        <v>1</v>
      </c>
      <c r="O864" s="35" t="s">
        <v>417</v>
      </c>
      <c r="P864" s="35">
        <v>8.8000000000000007</v>
      </c>
    </row>
    <row r="865" spans="1:16" ht="15.75" customHeight="1" x14ac:dyDescent="0.3">
      <c r="A865" s="35" t="s">
        <v>2003</v>
      </c>
      <c r="B865" s="35" t="s">
        <v>2004</v>
      </c>
      <c r="C865" s="35" t="s">
        <v>30</v>
      </c>
      <c r="D865" s="35" t="s">
        <v>31</v>
      </c>
      <c r="E865" s="35" t="s">
        <v>20</v>
      </c>
      <c r="F865" s="35">
        <v>8</v>
      </c>
      <c r="G865" s="35">
        <v>4306.8500000000004</v>
      </c>
      <c r="H865" s="35">
        <v>34454.800000000003</v>
      </c>
      <c r="I865" s="35">
        <v>21192.66</v>
      </c>
      <c r="J865" s="35">
        <v>13262.14</v>
      </c>
      <c r="K865" s="37">
        <v>45825</v>
      </c>
      <c r="L865" s="37">
        <v>45833</v>
      </c>
      <c r="M865" s="35" t="s">
        <v>50</v>
      </c>
      <c r="N865" s="35">
        <v>1</v>
      </c>
      <c r="O865" s="35" t="s">
        <v>683</v>
      </c>
      <c r="P865" s="35">
        <v>8.8000000000000007</v>
      </c>
    </row>
    <row r="866" spans="1:16" ht="15.75" customHeight="1" x14ac:dyDescent="0.3">
      <c r="A866" s="35" t="s">
        <v>2005</v>
      </c>
      <c r="B866" s="35" t="s">
        <v>2006</v>
      </c>
      <c r="C866" s="35" t="s">
        <v>49</v>
      </c>
      <c r="D866" s="35" t="s">
        <v>43</v>
      </c>
      <c r="E866" s="35" t="s">
        <v>25</v>
      </c>
      <c r="F866" s="35">
        <v>8</v>
      </c>
      <c r="G866" s="35">
        <v>2431.16</v>
      </c>
      <c r="H866" s="35">
        <v>19449.28</v>
      </c>
      <c r="I866" s="35">
        <v>12614.09</v>
      </c>
      <c r="J866" s="35">
        <v>6835.19</v>
      </c>
      <c r="K866" s="37">
        <v>45611</v>
      </c>
      <c r="L866" s="37">
        <v>45616</v>
      </c>
      <c r="M866" s="35" t="s">
        <v>50</v>
      </c>
      <c r="N866" s="35">
        <v>2</v>
      </c>
      <c r="O866" s="35" t="s">
        <v>475</v>
      </c>
      <c r="P866" s="35">
        <v>8.5</v>
      </c>
    </row>
    <row r="867" spans="1:16" ht="15.75" customHeight="1" x14ac:dyDescent="0.3">
      <c r="A867" s="35" t="s">
        <v>2007</v>
      </c>
      <c r="B867" s="35" t="s">
        <v>2008</v>
      </c>
      <c r="C867" s="35" t="s">
        <v>62</v>
      </c>
      <c r="D867" s="35" t="s">
        <v>31</v>
      </c>
      <c r="E867" s="35" t="s">
        <v>44</v>
      </c>
      <c r="F867" s="35">
        <v>11</v>
      </c>
      <c r="G867" s="35">
        <v>3359.68</v>
      </c>
      <c r="H867" s="35">
        <v>36956.480000000003</v>
      </c>
      <c r="I867" s="35">
        <v>32064.07</v>
      </c>
      <c r="J867" s="35">
        <v>4892.41</v>
      </c>
      <c r="K867" s="37">
        <v>45458</v>
      </c>
      <c r="L867" s="37">
        <v>45464</v>
      </c>
      <c r="M867" s="35" t="s">
        <v>58</v>
      </c>
      <c r="N867" s="35">
        <v>5</v>
      </c>
      <c r="O867" s="35" t="s">
        <v>907</v>
      </c>
      <c r="P867" s="35">
        <v>6.2</v>
      </c>
    </row>
    <row r="868" spans="1:16" ht="15.75" customHeight="1" x14ac:dyDescent="0.3">
      <c r="A868" s="35" t="s">
        <v>2009</v>
      </c>
      <c r="B868" s="35" t="s">
        <v>2010</v>
      </c>
      <c r="C868" s="35" t="s">
        <v>95</v>
      </c>
      <c r="D868" s="35" t="s">
        <v>19</v>
      </c>
      <c r="E868" s="35" t="s">
        <v>20</v>
      </c>
      <c r="F868" s="35">
        <v>10</v>
      </c>
      <c r="G868" s="35">
        <v>3443.89</v>
      </c>
      <c r="H868" s="35">
        <v>34438.9</v>
      </c>
      <c r="I868" s="35">
        <v>21258.65</v>
      </c>
      <c r="J868" s="35">
        <v>13180.25</v>
      </c>
      <c r="K868" s="37">
        <v>46019</v>
      </c>
      <c r="L868" s="37">
        <v>46029</v>
      </c>
      <c r="M868" s="35" t="s">
        <v>58</v>
      </c>
      <c r="N868" s="35">
        <v>3</v>
      </c>
      <c r="O868" s="35" t="s">
        <v>66</v>
      </c>
      <c r="P868" s="35">
        <v>8.6</v>
      </c>
    </row>
    <row r="869" spans="1:16" ht="15.75" customHeight="1" x14ac:dyDescent="0.3">
      <c r="A869" s="35" t="s">
        <v>2011</v>
      </c>
      <c r="B869" s="35" t="s">
        <v>2012</v>
      </c>
      <c r="C869" s="35" t="s">
        <v>42</v>
      </c>
      <c r="D869" s="35" t="s">
        <v>43</v>
      </c>
      <c r="E869" s="35" t="s">
        <v>25</v>
      </c>
      <c r="F869" s="35">
        <v>12</v>
      </c>
      <c r="G869" s="35">
        <v>4400.7700000000004</v>
      </c>
      <c r="H869" s="35">
        <v>52809.24</v>
      </c>
      <c r="I869" s="35">
        <v>43675.49</v>
      </c>
      <c r="J869" s="35">
        <v>9133.75</v>
      </c>
      <c r="K869" s="37">
        <v>45884</v>
      </c>
      <c r="L869" s="37">
        <v>45885</v>
      </c>
      <c r="M869" s="35" t="s">
        <v>123</v>
      </c>
      <c r="N869" s="35">
        <v>4</v>
      </c>
      <c r="O869" s="35" t="s">
        <v>1218</v>
      </c>
      <c r="P869" s="35">
        <v>7.7</v>
      </c>
    </row>
    <row r="870" spans="1:16" ht="15.75" customHeight="1" x14ac:dyDescent="0.3">
      <c r="A870" s="35" t="s">
        <v>2013</v>
      </c>
      <c r="B870" s="35" t="s">
        <v>2014</v>
      </c>
      <c r="C870" s="35" t="s">
        <v>30</v>
      </c>
      <c r="D870" s="35" t="s">
        <v>31</v>
      </c>
      <c r="E870" s="35" t="s">
        <v>20</v>
      </c>
      <c r="F870" s="35">
        <v>20</v>
      </c>
      <c r="G870" s="35">
        <v>523.63</v>
      </c>
      <c r="H870" s="35">
        <v>10472.6</v>
      </c>
      <c r="I870" s="35">
        <v>8874.33</v>
      </c>
      <c r="J870" s="35">
        <v>1598.27</v>
      </c>
      <c r="K870" s="37">
        <v>46147</v>
      </c>
      <c r="L870" s="37">
        <v>46148</v>
      </c>
      <c r="M870" s="35" t="s">
        <v>123</v>
      </c>
      <c r="N870" s="35">
        <v>2</v>
      </c>
      <c r="O870" s="35" t="s">
        <v>881</v>
      </c>
      <c r="P870" s="35">
        <v>8.8000000000000007</v>
      </c>
    </row>
    <row r="871" spans="1:16" ht="15.75" customHeight="1" x14ac:dyDescent="0.3">
      <c r="A871" s="35" t="s">
        <v>2015</v>
      </c>
      <c r="B871" s="35" t="s">
        <v>2016</v>
      </c>
      <c r="C871" s="35" t="s">
        <v>72</v>
      </c>
      <c r="D871" s="35" t="s">
        <v>31</v>
      </c>
      <c r="E871" s="35" t="s">
        <v>32</v>
      </c>
      <c r="F871" s="35">
        <v>9</v>
      </c>
      <c r="G871" s="35">
        <v>197.51</v>
      </c>
      <c r="H871" s="35">
        <v>1777.59</v>
      </c>
      <c r="I871" s="35">
        <v>1166.1400000000001</v>
      </c>
      <c r="J871" s="35">
        <v>611.45000000000005</v>
      </c>
      <c r="K871" s="37">
        <v>45670</v>
      </c>
      <c r="L871" s="37">
        <v>45678</v>
      </c>
      <c r="M871" s="35" t="s">
        <v>58</v>
      </c>
      <c r="N871" s="35">
        <v>1</v>
      </c>
      <c r="O871" s="35" t="s">
        <v>417</v>
      </c>
      <c r="P871" s="35">
        <v>8.1</v>
      </c>
    </row>
    <row r="872" spans="1:16" ht="15.75" customHeight="1" x14ac:dyDescent="0.3">
      <c r="A872" s="35" t="s">
        <v>2017</v>
      </c>
      <c r="B872" s="35" t="s">
        <v>2018</v>
      </c>
      <c r="C872" s="35" t="s">
        <v>72</v>
      </c>
      <c r="D872" s="35" t="s">
        <v>31</v>
      </c>
      <c r="E872" s="35" t="s">
        <v>25</v>
      </c>
      <c r="F872" s="35">
        <v>14</v>
      </c>
      <c r="G872" s="35">
        <v>3961.61</v>
      </c>
      <c r="H872" s="35">
        <v>55462.54</v>
      </c>
      <c r="I872" s="35">
        <v>32766.73</v>
      </c>
      <c r="J872" s="35">
        <v>22695.81</v>
      </c>
      <c r="K872" s="37">
        <v>45863</v>
      </c>
      <c r="L872" s="37">
        <v>45872</v>
      </c>
      <c r="M872" s="35" t="s">
        <v>69</v>
      </c>
      <c r="N872" s="35">
        <v>5</v>
      </c>
      <c r="O872" s="35" t="s">
        <v>1395</v>
      </c>
      <c r="P872" s="35">
        <v>9</v>
      </c>
    </row>
    <row r="873" spans="1:16" ht="15.75" customHeight="1" x14ac:dyDescent="0.3">
      <c r="A873" s="35" t="s">
        <v>2019</v>
      </c>
      <c r="B873" s="35" t="s">
        <v>2020</v>
      </c>
      <c r="C873" s="35" t="s">
        <v>95</v>
      </c>
      <c r="D873" s="35" t="s">
        <v>19</v>
      </c>
      <c r="E873" s="35" t="s">
        <v>20</v>
      </c>
      <c r="F873" s="35">
        <v>13</v>
      </c>
      <c r="G873" s="35">
        <v>2076.7199999999998</v>
      </c>
      <c r="H873" s="35">
        <v>26997.360000000001</v>
      </c>
      <c r="I873" s="35">
        <v>13849.81</v>
      </c>
      <c r="J873" s="35">
        <v>13147.55</v>
      </c>
      <c r="K873" s="37">
        <v>45696</v>
      </c>
      <c r="L873" s="37">
        <v>45704</v>
      </c>
      <c r="M873" s="35" t="s">
        <v>33</v>
      </c>
      <c r="N873" s="35">
        <v>3</v>
      </c>
      <c r="O873" s="35" t="s">
        <v>486</v>
      </c>
      <c r="P873" s="35">
        <v>9.6999999999999993</v>
      </c>
    </row>
    <row r="874" spans="1:16" ht="15.75" customHeight="1" x14ac:dyDescent="0.3">
      <c r="A874" s="35" t="s">
        <v>2021</v>
      </c>
      <c r="B874" s="35" t="s">
        <v>278</v>
      </c>
      <c r="C874" s="35" t="s">
        <v>42</v>
      </c>
      <c r="D874" s="35" t="s">
        <v>43</v>
      </c>
      <c r="E874" s="35" t="s">
        <v>44</v>
      </c>
      <c r="F874" s="35">
        <v>15</v>
      </c>
      <c r="G874" s="35">
        <v>3741.84</v>
      </c>
      <c r="H874" s="35">
        <v>56127.6</v>
      </c>
      <c r="I874" s="35">
        <v>42627.45</v>
      </c>
      <c r="J874" s="35">
        <v>13500.15</v>
      </c>
      <c r="K874" s="37">
        <v>45484</v>
      </c>
      <c r="L874" s="37">
        <v>45489</v>
      </c>
      <c r="M874" s="35" t="s">
        <v>38</v>
      </c>
      <c r="N874" s="35">
        <v>4</v>
      </c>
      <c r="O874" s="35" t="s">
        <v>1370</v>
      </c>
      <c r="P874" s="35">
        <v>8</v>
      </c>
    </row>
    <row r="875" spans="1:16" ht="15.75" customHeight="1" x14ac:dyDescent="0.3">
      <c r="A875" s="35" t="s">
        <v>2022</v>
      </c>
      <c r="B875" s="35" t="s">
        <v>374</v>
      </c>
      <c r="C875" s="35" t="s">
        <v>37</v>
      </c>
      <c r="D875" s="35" t="s">
        <v>19</v>
      </c>
      <c r="E875" s="35" t="s">
        <v>44</v>
      </c>
      <c r="F875" s="35">
        <v>18</v>
      </c>
      <c r="G875" s="35">
        <v>3058.49</v>
      </c>
      <c r="H875" s="35">
        <v>55052.82</v>
      </c>
      <c r="I875" s="35">
        <v>38039.54</v>
      </c>
      <c r="J875" s="35">
        <v>17013.28</v>
      </c>
      <c r="K875" s="37">
        <v>45775</v>
      </c>
      <c r="L875" s="37">
        <v>45779</v>
      </c>
      <c r="M875" s="35" t="s">
        <v>69</v>
      </c>
      <c r="N875" s="35">
        <v>1</v>
      </c>
      <c r="O875" s="35" t="s">
        <v>375</v>
      </c>
      <c r="P875" s="35">
        <v>9.3000000000000007</v>
      </c>
    </row>
    <row r="876" spans="1:16" ht="15.75" customHeight="1" x14ac:dyDescent="0.3">
      <c r="A876" s="35" t="s">
        <v>2023</v>
      </c>
      <c r="B876" s="35" t="s">
        <v>2024</v>
      </c>
      <c r="C876" s="35" t="s">
        <v>144</v>
      </c>
      <c r="D876" s="35" t="s">
        <v>19</v>
      </c>
      <c r="E876" s="35" t="s">
        <v>25</v>
      </c>
      <c r="F876" s="35">
        <v>9</v>
      </c>
      <c r="G876" s="35">
        <v>1193.48</v>
      </c>
      <c r="H876" s="35">
        <v>10741.32</v>
      </c>
      <c r="I876" s="35">
        <v>5699.23</v>
      </c>
      <c r="J876" s="35">
        <v>5042.09</v>
      </c>
      <c r="K876" s="37">
        <v>45983</v>
      </c>
      <c r="L876" s="37">
        <v>45987</v>
      </c>
      <c r="M876" s="35" t="s">
        <v>181</v>
      </c>
      <c r="N876" s="35">
        <v>2</v>
      </c>
      <c r="O876" s="35" t="s">
        <v>538</v>
      </c>
      <c r="P876" s="35">
        <v>7.1</v>
      </c>
    </row>
    <row r="877" spans="1:16" ht="15.75" customHeight="1" x14ac:dyDescent="0.3">
      <c r="A877" s="35" t="s">
        <v>2025</v>
      </c>
      <c r="B877" s="35" t="s">
        <v>2026</v>
      </c>
      <c r="C877" s="35" t="s">
        <v>139</v>
      </c>
      <c r="D877" s="35" t="s">
        <v>31</v>
      </c>
      <c r="E877" s="35" t="s">
        <v>20</v>
      </c>
      <c r="F877" s="35">
        <v>4</v>
      </c>
      <c r="G877" s="35">
        <v>727.74</v>
      </c>
      <c r="H877" s="35">
        <v>2910.96</v>
      </c>
      <c r="I877" s="35">
        <v>1760.13</v>
      </c>
      <c r="J877" s="35">
        <v>1150.83</v>
      </c>
      <c r="K877" s="37">
        <v>45507</v>
      </c>
      <c r="L877" s="37">
        <v>45511</v>
      </c>
      <c r="M877" s="35" t="s">
        <v>58</v>
      </c>
      <c r="N877" s="35">
        <v>2</v>
      </c>
      <c r="O877" s="35" t="s">
        <v>1060</v>
      </c>
      <c r="P877" s="35">
        <v>9.9</v>
      </c>
    </row>
    <row r="878" spans="1:16" ht="15.75" customHeight="1" x14ac:dyDescent="0.3">
      <c r="A878" s="35" t="s">
        <v>2027</v>
      </c>
      <c r="B878" s="35" t="s">
        <v>2028</v>
      </c>
      <c r="C878" s="35" t="s">
        <v>195</v>
      </c>
      <c r="D878" s="35" t="s">
        <v>43</v>
      </c>
      <c r="E878" s="35" t="s">
        <v>20</v>
      </c>
      <c r="F878" s="35">
        <v>19</v>
      </c>
      <c r="G878" s="35">
        <v>2248.0500000000002</v>
      </c>
      <c r="H878" s="35">
        <v>42712.95</v>
      </c>
      <c r="I878" s="35">
        <v>26164.98</v>
      </c>
      <c r="J878" s="35">
        <v>16547.97</v>
      </c>
      <c r="K878" s="37">
        <v>45444</v>
      </c>
      <c r="L878" s="37">
        <v>45449</v>
      </c>
      <c r="M878" s="35" t="s">
        <v>69</v>
      </c>
      <c r="N878" s="35">
        <v>3</v>
      </c>
      <c r="O878" s="35" t="s">
        <v>202</v>
      </c>
      <c r="P878" s="35">
        <v>9.9</v>
      </c>
    </row>
    <row r="879" spans="1:16" ht="15.75" customHeight="1" x14ac:dyDescent="0.3">
      <c r="A879" s="35" t="s">
        <v>2029</v>
      </c>
      <c r="B879" s="35" t="s">
        <v>2030</v>
      </c>
      <c r="C879" s="35" t="s">
        <v>144</v>
      </c>
      <c r="D879" s="35" t="s">
        <v>19</v>
      </c>
      <c r="E879" s="35" t="s">
        <v>25</v>
      </c>
      <c r="F879" s="35">
        <v>7</v>
      </c>
      <c r="G879" s="35">
        <v>311.02</v>
      </c>
      <c r="H879" s="35">
        <v>2177.14</v>
      </c>
      <c r="I879" s="35">
        <v>1944.82</v>
      </c>
      <c r="J879" s="35">
        <v>232.32</v>
      </c>
      <c r="K879" s="37">
        <v>45729</v>
      </c>
      <c r="L879" s="37">
        <v>45734</v>
      </c>
      <c r="M879" s="35" t="s">
        <v>33</v>
      </c>
      <c r="N879" s="35">
        <v>5</v>
      </c>
      <c r="O879" s="35" t="s">
        <v>362</v>
      </c>
      <c r="P879" s="35">
        <v>8.1</v>
      </c>
    </row>
    <row r="880" spans="1:16" ht="15.75" customHeight="1" x14ac:dyDescent="0.3">
      <c r="A880" s="35" t="s">
        <v>2031</v>
      </c>
      <c r="B880" s="35" t="s">
        <v>2032</v>
      </c>
      <c r="C880" s="35" t="s">
        <v>95</v>
      </c>
      <c r="D880" s="35" t="s">
        <v>19</v>
      </c>
      <c r="E880" s="35" t="s">
        <v>20</v>
      </c>
      <c r="F880" s="35">
        <v>3</v>
      </c>
      <c r="G880" s="35">
        <v>4035.12</v>
      </c>
      <c r="H880" s="35">
        <v>12105.36</v>
      </c>
      <c r="I880" s="35">
        <v>6698.79</v>
      </c>
      <c r="J880" s="35">
        <v>5406.57</v>
      </c>
      <c r="K880" s="37">
        <v>46001</v>
      </c>
      <c r="L880" s="37">
        <v>46006</v>
      </c>
      <c r="M880" s="35" t="s">
        <v>38</v>
      </c>
      <c r="N880" s="35">
        <v>4</v>
      </c>
      <c r="O880" s="35" t="s">
        <v>746</v>
      </c>
      <c r="P880" s="35">
        <v>8.8000000000000007</v>
      </c>
    </row>
    <row r="881" spans="1:16" ht="15.75" customHeight="1" x14ac:dyDescent="0.3">
      <c r="A881" s="35" t="s">
        <v>2033</v>
      </c>
      <c r="B881" s="35" t="s">
        <v>2034</v>
      </c>
      <c r="C881" s="35" t="s">
        <v>37</v>
      </c>
      <c r="D881" s="35" t="s">
        <v>19</v>
      </c>
      <c r="E881" s="35" t="s">
        <v>20</v>
      </c>
      <c r="F881" s="35">
        <v>17</v>
      </c>
      <c r="G881" s="35">
        <v>4572.7299999999996</v>
      </c>
      <c r="H881" s="35">
        <v>77736.41</v>
      </c>
      <c r="I881" s="35">
        <v>59761.38</v>
      </c>
      <c r="J881" s="35">
        <v>17975.03</v>
      </c>
      <c r="K881" s="37">
        <v>46033</v>
      </c>
      <c r="L881" s="37">
        <v>46043</v>
      </c>
      <c r="M881" s="35" t="s">
        <v>58</v>
      </c>
      <c r="N881" s="35">
        <v>3</v>
      </c>
      <c r="O881" s="35" t="s">
        <v>754</v>
      </c>
      <c r="P881" s="35">
        <v>9.5</v>
      </c>
    </row>
    <row r="882" spans="1:16" ht="15.75" customHeight="1" x14ac:dyDescent="0.3">
      <c r="A882" s="35" t="s">
        <v>2035</v>
      </c>
      <c r="B882" s="35" t="s">
        <v>2036</v>
      </c>
      <c r="C882" s="35" t="s">
        <v>144</v>
      </c>
      <c r="D882" s="35" t="s">
        <v>19</v>
      </c>
      <c r="E882" s="35" t="s">
        <v>44</v>
      </c>
      <c r="F882" s="35">
        <v>20</v>
      </c>
      <c r="G882" s="35">
        <v>80.09</v>
      </c>
      <c r="H882" s="35">
        <v>1601.8</v>
      </c>
      <c r="I882" s="35">
        <v>999.19</v>
      </c>
      <c r="J882" s="35">
        <v>602.61</v>
      </c>
      <c r="K882" s="37">
        <v>45613</v>
      </c>
      <c r="L882" s="37">
        <v>45616</v>
      </c>
      <c r="M882" s="35" t="s">
        <v>33</v>
      </c>
      <c r="N882" s="35">
        <v>1</v>
      </c>
      <c r="O882" s="35" t="s">
        <v>610</v>
      </c>
      <c r="P882" s="35">
        <v>7</v>
      </c>
    </row>
    <row r="883" spans="1:16" ht="15.75" customHeight="1" x14ac:dyDescent="0.3">
      <c r="A883" s="35" t="s">
        <v>2037</v>
      </c>
      <c r="B883" s="35" t="s">
        <v>2038</v>
      </c>
      <c r="C883" s="35" t="s">
        <v>219</v>
      </c>
      <c r="D883" s="35" t="s">
        <v>43</v>
      </c>
      <c r="E883" s="35" t="s">
        <v>20</v>
      </c>
      <c r="F883" s="35">
        <v>6</v>
      </c>
      <c r="G883" s="35">
        <v>1652.42</v>
      </c>
      <c r="H883" s="35">
        <v>9914.52</v>
      </c>
      <c r="I883" s="35">
        <v>8502.42</v>
      </c>
      <c r="J883" s="35">
        <v>1412.1</v>
      </c>
      <c r="K883" s="37">
        <v>45892</v>
      </c>
      <c r="L883" s="37">
        <v>45894</v>
      </c>
      <c r="M883" s="35" t="s">
        <v>21</v>
      </c>
      <c r="N883" s="35">
        <v>2</v>
      </c>
      <c r="O883" s="35" t="s">
        <v>92</v>
      </c>
      <c r="P883" s="35">
        <v>8.6999999999999993</v>
      </c>
    </row>
    <row r="884" spans="1:16" ht="15.75" customHeight="1" x14ac:dyDescent="0.3">
      <c r="A884" s="35" t="s">
        <v>2039</v>
      </c>
      <c r="B884" s="35" t="s">
        <v>2040</v>
      </c>
      <c r="C884" s="35" t="s">
        <v>168</v>
      </c>
      <c r="D884" s="35" t="s">
        <v>43</v>
      </c>
      <c r="E884" s="35" t="s">
        <v>20</v>
      </c>
      <c r="F884" s="35">
        <v>5</v>
      </c>
      <c r="G884" s="35">
        <v>2751.04</v>
      </c>
      <c r="H884" s="35">
        <v>13755.2</v>
      </c>
      <c r="I884" s="35">
        <v>10756.35</v>
      </c>
      <c r="J884" s="35">
        <v>2998.85</v>
      </c>
      <c r="K884" s="37">
        <v>45774</v>
      </c>
      <c r="L884" s="37">
        <v>45777</v>
      </c>
      <c r="M884" s="35" t="s">
        <v>50</v>
      </c>
      <c r="N884" s="35">
        <v>2</v>
      </c>
      <c r="O884" s="35" t="s">
        <v>1395</v>
      </c>
      <c r="P884" s="35">
        <v>6.7</v>
      </c>
    </row>
    <row r="885" spans="1:16" ht="15.75" customHeight="1" x14ac:dyDescent="0.3">
      <c r="A885" s="35" t="s">
        <v>2041</v>
      </c>
      <c r="B885" s="35" t="s">
        <v>2042</v>
      </c>
      <c r="C885" s="35" t="s">
        <v>57</v>
      </c>
      <c r="D885" s="35" t="s">
        <v>19</v>
      </c>
      <c r="E885" s="35" t="s">
        <v>32</v>
      </c>
      <c r="F885" s="35">
        <v>19</v>
      </c>
      <c r="G885" s="35">
        <v>485.66</v>
      </c>
      <c r="H885" s="35">
        <v>9227.5400000000009</v>
      </c>
      <c r="I885" s="35">
        <v>7237.29</v>
      </c>
      <c r="J885" s="35">
        <v>1990.25</v>
      </c>
      <c r="K885" s="37">
        <v>45577</v>
      </c>
      <c r="L885" s="37">
        <v>45578</v>
      </c>
      <c r="M885" s="35" t="s">
        <v>45</v>
      </c>
      <c r="N885" s="35">
        <v>1</v>
      </c>
      <c r="O885" s="35" t="s">
        <v>515</v>
      </c>
      <c r="P885" s="35">
        <v>9</v>
      </c>
    </row>
    <row r="886" spans="1:16" ht="15.75" customHeight="1" x14ac:dyDescent="0.3">
      <c r="A886" s="35" t="s">
        <v>2043</v>
      </c>
      <c r="B886" s="35" t="s">
        <v>2044</v>
      </c>
      <c r="C886" s="35" t="s">
        <v>37</v>
      </c>
      <c r="D886" s="35" t="s">
        <v>19</v>
      </c>
      <c r="E886" s="35" t="s">
        <v>32</v>
      </c>
      <c r="F886" s="35">
        <v>8</v>
      </c>
      <c r="G886" s="35">
        <v>2810.75</v>
      </c>
      <c r="H886" s="35">
        <v>22486</v>
      </c>
      <c r="I886" s="35">
        <v>14981.36</v>
      </c>
      <c r="J886" s="35">
        <v>7504.64</v>
      </c>
      <c r="K886" s="37">
        <v>46069</v>
      </c>
      <c r="L886" s="37">
        <v>46075</v>
      </c>
      <c r="M886" s="35" t="s">
        <v>50</v>
      </c>
      <c r="N886" s="35">
        <v>1</v>
      </c>
      <c r="O886" s="35" t="s">
        <v>446</v>
      </c>
      <c r="P886" s="35">
        <v>8.3000000000000007</v>
      </c>
    </row>
    <row r="887" spans="1:16" ht="15.75" customHeight="1" x14ac:dyDescent="0.3">
      <c r="A887" s="35" t="s">
        <v>2045</v>
      </c>
      <c r="B887" s="35" t="s">
        <v>2046</v>
      </c>
      <c r="C887" s="35" t="s">
        <v>144</v>
      </c>
      <c r="D887" s="35" t="s">
        <v>19</v>
      </c>
      <c r="E887" s="35" t="s">
        <v>32</v>
      </c>
      <c r="F887" s="35">
        <v>15</v>
      </c>
      <c r="G887" s="35">
        <v>1295.8</v>
      </c>
      <c r="H887" s="35">
        <v>19437</v>
      </c>
      <c r="I887" s="35">
        <v>12873.28</v>
      </c>
      <c r="J887" s="35">
        <v>6563.72</v>
      </c>
      <c r="K887" s="37">
        <v>45709</v>
      </c>
      <c r="L887" s="37">
        <v>45712</v>
      </c>
      <c r="M887" s="35" t="s">
        <v>21</v>
      </c>
      <c r="N887" s="35">
        <v>4</v>
      </c>
      <c r="O887" s="35" t="s">
        <v>888</v>
      </c>
      <c r="P887" s="35">
        <v>8</v>
      </c>
    </row>
    <row r="888" spans="1:16" ht="15.75" customHeight="1" x14ac:dyDescent="0.3">
      <c r="A888" s="35" t="s">
        <v>2047</v>
      </c>
      <c r="B888" s="35" t="s">
        <v>2048</v>
      </c>
      <c r="C888" s="35" t="s">
        <v>219</v>
      </c>
      <c r="D888" s="35" t="s">
        <v>43</v>
      </c>
      <c r="E888" s="35" t="s">
        <v>32</v>
      </c>
      <c r="F888" s="35">
        <v>10</v>
      </c>
      <c r="G888" s="35">
        <v>2230.08</v>
      </c>
      <c r="H888" s="35">
        <v>22300.799999999999</v>
      </c>
      <c r="I888" s="35">
        <v>12487.15</v>
      </c>
      <c r="J888" s="35">
        <v>9813.65</v>
      </c>
      <c r="K888" s="37">
        <v>46037</v>
      </c>
      <c r="L888" s="37">
        <v>46041</v>
      </c>
      <c r="M888" s="35" t="s">
        <v>21</v>
      </c>
      <c r="N888" s="35">
        <v>1</v>
      </c>
      <c r="O888" s="35" t="s">
        <v>551</v>
      </c>
      <c r="P888" s="35">
        <v>7.4</v>
      </c>
    </row>
    <row r="889" spans="1:16" ht="15.75" customHeight="1" x14ac:dyDescent="0.3">
      <c r="A889" s="35" t="s">
        <v>2049</v>
      </c>
      <c r="B889" s="35" t="s">
        <v>2050</v>
      </c>
      <c r="C889" s="35" t="s">
        <v>62</v>
      </c>
      <c r="D889" s="35" t="s">
        <v>31</v>
      </c>
      <c r="E889" s="35" t="s">
        <v>32</v>
      </c>
      <c r="F889" s="35">
        <v>4</v>
      </c>
      <c r="G889" s="35">
        <v>2283.14</v>
      </c>
      <c r="H889" s="35">
        <v>9132.56</v>
      </c>
      <c r="I889" s="35">
        <v>6094.79</v>
      </c>
      <c r="J889" s="35">
        <v>3037.77</v>
      </c>
      <c r="K889" s="37">
        <v>46023</v>
      </c>
      <c r="L889" s="37">
        <v>46028</v>
      </c>
      <c r="M889" s="35" t="s">
        <v>26</v>
      </c>
      <c r="N889" s="35">
        <v>5</v>
      </c>
      <c r="O889" s="35" t="s">
        <v>828</v>
      </c>
      <c r="P889" s="35">
        <v>9.6999999999999993</v>
      </c>
    </row>
    <row r="890" spans="1:16" ht="15.75" customHeight="1" x14ac:dyDescent="0.3">
      <c r="A890" s="35" t="s">
        <v>2051</v>
      </c>
      <c r="B890" s="35" t="s">
        <v>2052</v>
      </c>
      <c r="C890" s="35" t="s">
        <v>195</v>
      </c>
      <c r="D890" s="35" t="s">
        <v>43</v>
      </c>
      <c r="E890" s="35" t="s">
        <v>20</v>
      </c>
      <c r="F890" s="35">
        <v>5</v>
      </c>
      <c r="G890" s="35">
        <v>2197.2399999999998</v>
      </c>
      <c r="H890" s="35">
        <v>10986.2</v>
      </c>
      <c r="I890" s="35">
        <v>7780.3</v>
      </c>
      <c r="J890" s="35">
        <v>3205.9</v>
      </c>
      <c r="K890" s="37">
        <v>45974</v>
      </c>
      <c r="L890" s="37">
        <v>45982</v>
      </c>
      <c r="M890" s="35" t="s">
        <v>181</v>
      </c>
      <c r="N890" s="35">
        <v>5</v>
      </c>
      <c r="O890" s="35" t="s">
        <v>226</v>
      </c>
      <c r="P890" s="35">
        <v>6.6</v>
      </c>
    </row>
    <row r="891" spans="1:16" ht="15.75" customHeight="1" x14ac:dyDescent="0.3">
      <c r="A891" s="35" t="s">
        <v>2053</v>
      </c>
      <c r="B891" s="35" t="s">
        <v>2054</v>
      </c>
      <c r="C891" s="35" t="s">
        <v>139</v>
      </c>
      <c r="D891" s="35" t="s">
        <v>31</v>
      </c>
      <c r="E891" s="35" t="s">
        <v>20</v>
      </c>
      <c r="F891" s="35">
        <v>7</v>
      </c>
      <c r="G891" s="35">
        <v>4042.94</v>
      </c>
      <c r="H891" s="35">
        <v>28300.58</v>
      </c>
      <c r="I891" s="35">
        <v>25214.95</v>
      </c>
      <c r="J891" s="35">
        <v>3085.63</v>
      </c>
      <c r="K891" s="37">
        <v>45535</v>
      </c>
      <c r="L891" s="37">
        <v>45538</v>
      </c>
      <c r="M891" s="35" t="s">
        <v>21</v>
      </c>
      <c r="N891" s="35">
        <v>3</v>
      </c>
      <c r="O891" s="35" t="s">
        <v>159</v>
      </c>
      <c r="P891" s="35">
        <v>8.3000000000000007</v>
      </c>
    </row>
    <row r="892" spans="1:16" ht="15.75" customHeight="1" x14ac:dyDescent="0.3">
      <c r="A892" s="35" t="s">
        <v>2055</v>
      </c>
      <c r="B892" s="35" t="s">
        <v>2056</v>
      </c>
      <c r="C892" s="35" t="s">
        <v>18</v>
      </c>
      <c r="D892" s="35" t="s">
        <v>19</v>
      </c>
      <c r="E892" s="35" t="s">
        <v>20</v>
      </c>
      <c r="F892" s="35">
        <v>8</v>
      </c>
      <c r="G892" s="35">
        <v>3608.79</v>
      </c>
      <c r="H892" s="35">
        <v>28870.32</v>
      </c>
      <c r="I892" s="35">
        <v>18802.98</v>
      </c>
      <c r="J892" s="35">
        <v>10067.34</v>
      </c>
      <c r="K892" s="37">
        <v>45482</v>
      </c>
      <c r="L892" s="37">
        <v>45485</v>
      </c>
      <c r="M892" s="35" t="s">
        <v>45</v>
      </c>
      <c r="N892" s="35">
        <v>3</v>
      </c>
      <c r="O892" s="35" t="s">
        <v>692</v>
      </c>
      <c r="P892" s="35">
        <v>6.1</v>
      </c>
    </row>
    <row r="893" spans="1:16" ht="15.75" customHeight="1" x14ac:dyDescent="0.3">
      <c r="A893" s="35" t="s">
        <v>2057</v>
      </c>
      <c r="B893" s="35" t="s">
        <v>2058</v>
      </c>
      <c r="C893" s="35" t="s">
        <v>72</v>
      </c>
      <c r="D893" s="35" t="s">
        <v>31</v>
      </c>
      <c r="E893" s="35" t="s">
        <v>32</v>
      </c>
      <c r="F893" s="35">
        <v>5</v>
      </c>
      <c r="G893" s="35">
        <v>2821</v>
      </c>
      <c r="H893" s="35">
        <v>14105</v>
      </c>
      <c r="I893" s="35">
        <v>8958.56</v>
      </c>
      <c r="J893" s="35">
        <v>5146.4399999999996</v>
      </c>
      <c r="K893" s="37">
        <v>45603</v>
      </c>
      <c r="L893" s="37">
        <v>45612</v>
      </c>
      <c r="M893" s="35" t="s">
        <v>21</v>
      </c>
      <c r="N893" s="35">
        <v>3</v>
      </c>
      <c r="O893" s="35" t="s">
        <v>470</v>
      </c>
      <c r="P893" s="35">
        <v>7.7</v>
      </c>
    </row>
    <row r="894" spans="1:16" ht="15.75" customHeight="1" x14ac:dyDescent="0.3">
      <c r="A894" s="35" t="s">
        <v>2059</v>
      </c>
      <c r="B894" s="35" t="s">
        <v>2060</v>
      </c>
      <c r="C894" s="35" t="s">
        <v>49</v>
      </c>
      <c r="D894" s="35" t="s">
        <v>43</v>
      </c>
      <c r="E894" s="35" t="s">
        <v>44</v>
      </c>
      <c r="F894" s="35">
        <v>10</v>
      </c>
      <c r="G894" s="35">
        <v>1512.4</v>
      </c>
      <c r="H894" s="35">
        <v>15124</v>
      </c>
      <c r="I894" s="35">
        <v>9434.61</v>
      </c>
      <c r="J894" s="35">
        <v>5689.39</v>
      </c>
      <c r="K894" s="37">
        <v>45732</v>
      </c>
      <c r="L894" s="37">
        <v>45736</v>
      </c>
      <c r="M894" s="35" t="s">
        <v>33</v>
      </c>
      <c r="N894" s="35">
        <v>2</v>
      </c>
      <c r="O894" s="35" t="s">
        <v>651</v>
      </c>
      <c r="P894" s="35">
        <v>8.9</v>
      </c>
    </row>
    <row r="895" spans="1:16" ht="15.75" customHeight="1" x14ac:dyDescent="0.3">
      <c r="A895" s="35" t="s">
        <v>2061</v>
      </c>
      <c r="B895" s="35" t="s">
        <v>2062</v>
      </c>
      <c r="C895" s="35" t="s">
        <v>95</v>
      </c>
      <c r="D895" s="35" t="s">
        <v>19</v>
      </c>
      <c r="E895" s="35" t="s">
        <v>32</v>
      </c>
      <c r="F895" s="35">
        <v>13</v>
      </c>
      <c r="G895" s="35">
        <v>4867.68</v>
      </c>
      <c r="H895" s="35">
        <v>63279.839999999997</v>
      </c>
      <c r="I895" s="35">
        <v>40189.910000000003</v>
      </c>
      <c r="J895" s="35">
        <v>23089.93</v>
      </c>
      <c r="K895" s="37">
        <v>46014</v>
      </c>
      <c r="L895" s="37">
        <v>46022</v>
      </c>
      <c r="M895" s="35" t="s">
        <v>45</v>
      </c>
      <c r="N895" s="35">
        <v>5</v>
      </c>
      <c r="O895" s="35" t="s">
        <v>1377</v>
      </c>
      <c r="P895" s="35">
        <v>7.6</v>
      </c>
    </row>
    <row r="896" spans="1:16" ht="15.75" customHeight="1" x14ac:dyDescent="0.3">
      <c r="A896" s="35" t="s">
        <v>2063</v>
      </c>
      <c r="B896" s="35" t="s">
        <v>2064</v>
      </c>
      <c r="C896" s="35" t="s">
        <v>37</v>
      </c>
      <c r="D896" s="35" t="s">
        <v>19</v>
      </c>
      <c r="E896" s="35" t="s">
        <v>32</v>
      </c>
      <c r="F896" s="35">
        <v>8</v>
      </c>
      <c r="G896" s="35">
        <v>4769.2299999999996</v>
      </c>
      <c r="H896" s="35">
        <v>38153.839999999997</v>
      </c>
      <c r="I896" s="35">
        <v>23372.89</v>
      </c>
      <c r="J896" s="35">
        <v>14780.95</v>
      </c>
      <c r="K896" s="37">
        <v>45790</v>
      </c>
      <c r="L896" s="37">
        <v>45800</v>
      </c>
      <c r="M896" s="35" t="s">
        <v>26</v>
      </c>
      <c r="N896" s="35">
        <v>1</v>
      </c>
      <c r="O896" s="35" t="s">
        <v>436</v>
      </c>
      <c r="P896" s="35">
        <v>7.3</v>
      </c>
    </row>
    <row r="897" spans="1:16" ht="15.75" customHeight="1" x14ac:dyDescent="0.3">
      <c r="A897" s="35" t="s">
        <v>2065</v>
      </c>
      <c r="B897" s="35" t="s">
        <v>2066</v>
      </c>
      <c r="C897" s="35" t="s">
        <v>49</v>
      </c>
      <c r="D897" s="35" t="s">
        <v>43</v>
      </c>
      <c r="E897" s="35" t="s">
        <v>32</v>
      </c>
      <c r="F897" s="35">
        <v>8</v>
      </c>
      <c r="G897" s="35">
        <v>373.37</v>
      </c>
      <c r="H897" s="35">
        <v>2986.96</v>
      </c>
      <c r="I897" s="35">
        <v>1912.76</v>
      </c>
      <c r="J897" s="35">
        <v>1074.2</v>
      </c>
      <c r="K897" s="37">
        <v>45676</v>
      </c>
      <c r="L897" s="37">
        <v>45680</v>
      </c>
      <c r="M897" s="35" t="s">
        <v>21</v>
      </c>
      <c r="N897" s="35">
        <v>2</v>
      </c>
      <c r="O897" s="35" t="s">
        <v>34</v>
      </c>
      <c r="P897" s="35">
        <v>7.9</v>
      </c>
    </row>
    <row r="898" spans="1:16" ht="15.75" customHeight="1" x14ac:dyDescent="0.3">
      <c r="A898" s="35" t="s">
        <v>2067</v>
      </c>
      <c r="B898" s="35" t="s">
        <v>2068</v>
      </c>
      <c r="C898" s="35" t="s">
        <v>49</v>
      </c>
      <c r="D898" s="35" t="s">
        <v>43</v>
      </c>
      <c r="E898" s="35" t="s">
        <v>44</v>
      </c>
      <c r="F898" s="35">
        <v>1</v>
      </c>
      <c r="G898" s="35">
        <v>1058.6500000000001</v>
      </c>
      <c r="H898" s="35">
        <v>1058.6500000000001</v>
      </c>
      <c r="I898" s="35">
        <v>609.35</v>
      </c>
      <c r="J898" s="35">
        <v>449.3</v>
      </c>
      <c r="K898" s="37">
        <v>46029</v>
      </c>
      <c r="L898" s="37">
        <v>46030</v>
      </c>
      <c r="M898" s="35" t="s">
        <v>38</v>
      </c>
      <c r="N898" s="35">
        <v>1</v>
      </c>
      <c r="O898" s="35" t="s">
        <v>1268</v>
      </c>
      <c r="P898" s="35">
        <v>9.6999999999999993</v>
      </c>
    </row>
    <row r="899" spans="1:16" ht="15.75" customHeight="1" x14ac:dyDescent="0.3">
      <c r="A899" s="35" t="s">
        <v>2069</v>
      </c>
      <c r="B899" s="35" t="s">
        <v>2070</v>
      </c>
      <c r="C899" s="35" t="s">
        <v>95</v>
      </c>
      <c r="D899" s="35" t="s">
        <v>19</v>
      </c>
      <c r="E899" s="35" t="s">
        <v>32</v>
      </c>
      <c r="F899" s="35">
        <v>18</v>
      </c>
      <c r="G899" s="35">
        <v>4790.92</v>
      </c>
      <c r="H899" s="35">
        <v>86236.56</v>
      </c>
      <c r="I899" s="35">
        <v>45601.54</v>
      </c>
      <c r="J899" s="35">
        <v>40635.019999999997</v>
      </c>
      <c r="K899" s="37">
        <v>45761</v>
      </c>
      <c r="L899" s="37">
        <v>45769</v>
      </c>
      <c r="M899" s="35" t="s">
        <v>58</v>
      </c>
      <c r="N899" s="35">
        <v>4</v>
      </c>
      <c r="O899" s="35" t="s">
        <v>548</v>
      </c>
      <c r="P899" s="35">
        <v>9.6999999999999993</v>
      </c>
    </row>
    <row r="900" spans="1:16" ht="15.75" customHeight="1" x14ac:dyDescent="0.3">
      <c r="A900" s="35" t="s">
        <v>2071</v>
      </c>
      <c r="B900" s="35" t="s">
        <v>2072</v>
      </c>
      <c r="C900" s="35" t="s">
        <v>62</v>
      </c>
      <c r="D900" s="35" t="s">
        <v>31</v>
      </c>
      <c r="E900" s="35" t="s">
        <v>25</v>
      </c>
      <c r="F900" s="35">
        <v>12</v>
      </c>
      <c r="G900" s="35">
        <v>1588.71</v>
      </c>
      <c r="H900" s="35">
        <v>19064.52</v>
      </c>
      <c r="I900" s="35">
        <v>15637.88</v>
      </c>
      <c r="J900" s="35">
        <v>3426.64</v>
      </c>
      <c r="K900" s="37">
        <v>45921</v>
      </c>
      <c r="L900" s="37">
        <v>45929</v>
      </c>
      <c r="M900" s="35" t="s">
        <v>50</v>
      </c>
      <c r="N900" s="35">
        <v>3</v>
      </c>
      <c r="O900" s="35" t="s">
        <v>187</v>
      </c>
      <c r="P900" s="35">
        <v>9.6999999999999993</v>
      </c>
    </row>
    <row r="901" spans="1:16" ht="15.75" customHeight="1" x14ac:dyDescent="0.3">
      <c r="A901" s="35" t="s">
        <v>2073</v>
      </c>
      <c r="B901" s="35" t="s">
        <v>2074</v>
      </c>
      <c r="C901" s="35" t="s">
        <v>144</v>
      </c>
      <c r="D901" s="35" t="s">
        <v>19</v>
      </c>
      <c r="E901" s="35" t="s">
        <v>32</v>
      </c>
      <c r="F901" s="35">
        <v>18</v>
      </c>
      <c r="G901" s="35">
        <v>3281.26</v>
      </c>
      <c r="H901" s="35">
        <v>59062.68</v>
      </c>
      <c r="I901" s="35">
        <v>38019.5</v>
      </c>
      <c r="J901" s="35">
        <v>21043.18</v>
      </c>
      <c r="K901" s="37">
        <v>45838</v>
      </c>
      <c r="L901" s="37">
        <v>45848</v>
      </c>
      <c r="M901" s="35" t="s">
        <v>69</v>
      </c>
      <c r="N901" s="35">
        <v>2</v>
      </c>
      <c r="O901" s="35" t="s">
        <v>567</v>
      </c>
      <c r="P901" s="35">
        <v>9.9</v>
      </c>
    </row>
    <row r="902" spans="1:16" ht="15.75" customHeight="1" x14ac:dyDescent="0.3">
      <c r="A902" s="35" t="s">
        <v>2075</v>
      </c>
      <c r="B902" s="35" t="s">
        <v>2076</v>
      </c>
      <c r="C902" s="35" t="s">
        <v>144</v>
      </c>
      <c r="D902" s="35" t="s">
        <v>19</v>
      </c>
      <c r="E902" s="35" t="s">
        <v>25</v>
      </c>
      <c r="F902" s="35">
        <v>6</v>
      </c>
      <c r="G902" s="35">
        <v>4146.29</v>
      </c>
      <c r="H902" s="35">
        <v>24877.74</v>
      </c>
      <c r="I902" s="35">
        <v>15476.63</v>
      </c>
      <c r="J902" s="35">
        <v>9401.11</v>
      </c>
      <c r="K902" s="37">
        <v>45490</v>
      </c>
      <c r="L902" s="37">
        <v>45495</v>
      </c>
      <c r="M902" s="35" t="s">
        <v>123</v>
      </c>
      <c r="N902" s="35">
        <v>1</v>
      </c>
      <c r="O902" s="35" t="s">
        <v>367</v>
      </c>
      <c r="P902" s="35">
        <v>8.8000000000000007</v>
      </c>
    </row>
    <row r="903" spans="1:16" ht="15.75" customHeight="1" x14ac:dyDescent="0.3">
      <c r="A903" s="35" t="s">
        <v>2077</v>
      </c>
      <c r="B903" s="35" t="s">
        <v>2078</v>
      </c>
      <c r="C903" s="35" t="s">
        <v>49</v>
      </c>
      <c r="D903" s="35" t="s">
        <v>43</v>
      </c>
      <c r="E903" s="35" t="s">
        <v>25</v>
      </c>
      <c r="F903" s="35">
        <v>17</v>
      </c>
      <c r="G903" s="35">
        <v>2823.86</v>
      </c>
      <c r="H903" s="35">
        <v>48005.62</v>
      </c>
      <c r="I903" s="35">
        <v>41780.07</v>
      </c>
      <c r="J903" s="35">
        <v>6225.55</v>
      </c>
      <c r="K903" s="37">
        <v>45666</v>
      </c>
      <c r="L903" s="37">
        <v>45675</v>
      </c>
      <c r="M903" s="35" t="s">
        <v>45</v>
      </c>
      <c r="N903" s="35">
        <v>3</v>
      </c>
      <c r="O903" s="35" t="s">
        <v>480</v>
      </c>
      <c r="P903" s="35">
        <v>6</v>
      </c>
    </row>
    <row r="904" spans="1:16" ht="15.75" customHeight="1" x14ac:dyDescent="0.3">
      <c r="A904" s="35" t="s">
        <v>2079</v>
      </c>
      <c r="B904" s="35" t="s">
        <v>2080</v>
      </c>
      <c r="C904" s="35" t="s">
        <v>30</v>
      </c>
      <c r="D904" s="35" t="s">
        <v>31</v>
      </c>
      <c r="E904" s="35" t="s">
        <v>20</v>
      </c>
      <c r="F904" s="35">
        <v>11</v>
      </c>
      <c r="G904" s="35">
        <v>1570.59</v>
      </c>
      <c r="H904" s="35">
        <v>17276.490000000002</v>
      </c>
      <c r="I904" s="35">
        <v>12185.08</v>
      </c>
      <c r="J904" s="35">
        <v>5091.41</v>
      </c>
      <c r="K904" s="37">
        <v>45865</v>
      </c>
      <c r="L904" s="37">
        <v>45866</v>
      </c>
      <c r="M904" s="35" t="s">
        <v>45</v>
      </c>
      <c r="N904" s="35">
        <v>3</v>
      </c>
      <c r="O904" s="35" t="s">
        <v>362</v>
      </c>
      <c r="P904" s="35">
        <v>9.1</v>
      </c>
    </row>
    <row r="905" spans="1:16" ht="15.75" customHeight="1" x14ac:dyDescent="0.3">
      <c r="A905" s="35" t="s">
        <v>2081</v>
      </c>
      <c r="B905" s="35" t="s">
        <v>2082</v>
      </c>
      <c r="C905" s="35" t="s">
        <v>195</v>
      </c>
      <c r="D905" s="35" t="s">
        <v>43</v>
      </c>
      <c r="E905" s="35" t="s">
        <v>25</v>
      </c>
      <c r="F905" s="35">
        <v>12</v>
      </c>
      <c r="G905" s="35">
        <v>154.02000000000001</v>
      </c>
      <c r="H905" s="35">
        <v>1848.24</v>
      </c>
      <c r="I905" s="35">
        <v>966.05</v>
      </c>
      <c r="J905" s="35">
        <v>882.19</v>
      </c>
      <c r="K905" s="37">
        <v>45755</v>
      </c>
      <c r="L905" s="37">
        <v>45756</v>
      </c>
      <c r="M905" s="35" t="s">
        <v>181</v>
      </c>
      <c r="N905" s="35">
        <v>1</v>
      </c>
      <c r="O905" s="35" t="s">
        <v>709</v>
      </c>
      <c r="P905" s="35">
        <v>9.8000000000000007</v>
      </c>
    </row>
    <row r="906" spans="1:16" ht="15.75" customHeight="1" x14ac:dyDescent="0.3">
      <c r="A906" s="35" t="s">
        <v>2083</v>
      </c>
      <c r="B906" s="35" t="s">
        <v>2084</v>
      </c>
      <c r="C906" s="35" t="s">
        <v>144</v>
      </c>
      <c r="D906" s="35" t="s">
        <v>19</v>
      </c>
      <c r="E906" s="35" t="s">
        <v>32</v>
      </c>
      <c r="F906" s="35">
        <v>6</v>
      </c>
      <c r="G906" s="35">
        <v>3795.95</v>
      </c>
      <c r="H906" s="35">
        <v>22775.7</v>
      </c>
      <c r="I906" s="35">
        <v>12722.81</v>
      </c>
      <c r="J906" s="35">
        <v>10052.89</v>
      </c>
      <c r="K906" s="37">
        <v>45703</v>
      </c>
      <c r="L906" s="37">
        <v>45706</v>
      </c>
      <c r="M906" s="35" t="s">
        <v>58</v>
      </c>
      <c r="N906" s="35">
        <v>4</v>
      </c>
      <c r="O906" s="35" t="s">
        <v>548</v>
      </c>
      <c r="P906" s="35">
        <v>6.2</v>
      </c>
    </row>
    <row r="907" spans="1:16" ht="15.75" customHeight="1" x14ac:dyDescent="0.3">
      <c r="A907" s="35" t="s">
        <v>2085</v>
      </c>
      <c r="B907" s="35" t="s">
        <v>2086</v>
      </c>
      <c r="C907" s="35" t="s">
        <v>62</v>
      </c>
      <c r="D907" s="35" t="s">
        <v>31</v>
      </c>
      <c r="E907" s="35" t="s">
        <v>25</v>
      </c>
      <c r="F907" s="35">
        <v>3</v>
      </c>
      <c r="G907" s="35">
        <v>894.14</v>
      </c>
      <c r="H907" s="35">
        <v>2682.42</v>
      </c>
      <c r="I907" s="35">
        <v>2022.28</v>
      </c>
      <c r="J907" s="35">
        <v>660.14</v>
      </c>
      <c r="K907" s="37">
        <v>45660</v>
      </c>
      <c r="L907" s="37">
        <v>45665</v>
      </c>
      <c r="M907" s="35" t="s">
        <v>69</v>
      </c>
      <c r="N907" s="35">
        <v>1</v>
      </c>
      <c r="O907" s="35" t="s">
        <v>2087</v>
      </c>
      <c r="P907" s="35">
        <v>7.6</v>
      </c>
    </row>
    <row r="908" spans="1:16" ht="15.75" customHeight="1" x14ac:dyDescent="0.3">
      <c r="A908" s="35" t="s">
        <v>2088</v>
      </c>
      <c r="B908" s="35" t="s">
        <v>2089</v>
      </c>
      <c r="C908" s="35" t="s">
        <v>144</v>
      </c>
      <c r="D908" s="35" t="s">
        <v>19</v>
      </c>
      <c r="E908" s="35" t="s">
        <v>25</v>
      </c>
      <c r="F908" s="35">
        <v>20</v>
      </c>
      <c r="G908" s="35">
        <v>1942.27</v>
      </c>
      <c r="H908" s="35">
        <v>38845.4</v>
      </c>
      <c r="I908" s="35">
        <v>30487.75</v>
      </c>
      <c r="J908" s="35">
        <v>8357.65</v>
      </c>
      <c r="K908" s="37">
        <v>45551</v>
      </c>
      <c r="L908" s="37">
        <v>45552</v>
      </c>
      <c r="M908" s="35" t="s">
        <v>181</v>
      </c>
      <c r="N908" s="35">
        <v>3</v>
      </c>
      <c r="O908" s="35" t="s">
        <v>1103</v>
      </c>
      <c r="P908" s="35">
        <v>10</v>
      </c>
    </row>
    <row r="909" spans="1:16" ht="15.75" customHeight="1" x14ac:dyDescent="0.3">
      <c r="A909" s="35" t="s">
        <v>2090</v>
      </c>
      <c r="B909" s="35" t="s">
        <v>2091</v>
      </c>
      <c r="C909" s="35" t="s">
        <v>30</v>
      </c>
      <c r="D909" s="35" t="s">
        <v>31</v>
      </c>
      <c r="E909" s="35" t="s">
        <v>20</v>
      </c>
      <c r="F909" s="35">
        <v>18</v>
      </c>
      <c r="G909" s="35">
        <v>2525.35</v>
      </c>
      <c r="H909" s="35">
        <v>45456.3</v>
      </c>
      <c r="I909" s="35">
        <v>38976.870000000003</v>
      </c>
      <c r="J909" s="35">
        <v>6479.43</v>
      </c>
      <c r="K909" s="37">
        <v>46022</v>
      </c>
      <c r="L909" s="37">
        <v>46031</v>
      </c>
      <c r="M909" s="35" t="s">
        <v>69</v>
      </c>
      <c r="N909" s="35">
        <v>1</v>
      </c>
      <c r="O909" s="35" t="s">
        <v>108</v>
      </c>
      <c r="P909" s="35">
        <v>6.6</v>
      </c>
    </row>
    <row r="910" spans="1:16" ht="15.75" customHeight="1" x14ac:dyDescent="0.3">
      <c r="A910" s="35" t="s">
        <v>2092</v>
      </c>
      <c r="B910" s="35" t="s">
        <v>2093</v>
      </c>
      <c r="C910" s="35" t="s">
        <v>88</v>
      </c>
      <c r="D910" s="35" t="s">
        <v>31</v>
      </c>
      <c r="E910" s="35" t="s">
        <v>20</v>
      </c>
      <c r="F910" s="35">
        <v>14</v>
      </c>
      <c r="G910" s="35">
        <v>3636.09</v>
      </c>
      <c r="H910" s="35">
        <v>50905.26</v>
      </c>
      <c r="I910" s="35">
        <v>35945.199999999997</v>
      </c>
      <c r="J910" s="35">
        <v>14960.06</v>
      </c>
      <c r="K910" s="37">
        <v>45705</v>
      </c>
      <c r="L910" s="37">
        <v>45706</v>
      </c>
      <c r="M910" s="35" t="s">
        <v>50</v>
      </c>
      <c r="N910" s="35">
        <v>1</v>
      </c>
      <c r="O910" s="35" t="s">
        <v>362</v>
      </c>
      <c r="P910" s="35">
        <v>8.9</v>
      </c>
    </row>
    <row r="911" spans="1:16" ht="15.75" customHeight="1" x14ac:dyDescent="0.3">
      <c r="A911" s="35" t="s">
        <v>2094</v>
      </c>
      <c r="B911" s="35" t="s">
        <v>2095</v>
      </c>
      <c r="C911" s="35" t="s">
        <v>88</v>
      </c>
      <c r="D911" s="35" t="s">
        <v>31</v>
      </c>
      <c r="E911" s="35" t="s">
        <v>32</v>
      </c>
      <c r="F911" s="35">
        <v>11</v>
      </c>
      <c r="G911" s="35">
        <v>4551.93</v>
      </c>
      <c r="H911" s="35">
        <v>50071.23</v>
      </c>
      <c r="I911" s="35">
        <v>44377.87</v>
      </c>
      <c r="J911" s="35">
        <v>5693.36</v>
      </c>
      <c r="K911" s="37">
        <v>45584</v>
      </c>
      <c r="L911" s="37">
        <v>45589</v>
      </c>
      <c r="M911" s="35" t="s">
        <v>58</v>
      </c>
      <c r="N911" s="35">
        <v>3</v>
      </c>
      <c r="O911" s="35" t="s">
        <v>548</v>
      </c>
      <c r="P911" s="35">
        <v>8.6999999999999993</v>
      </c>
    </row>
    <row r="912" spans="1:16" ht="15.75" customHeight="1" x14ac:dyDescent="0.3">
      <c r="A912" s="35" t="s">
        <v>2096</v>
      </c>
      <c r="B912" s="35" t="s">
        <v>2097</v>
      </c>
      <c r="C912" s="35" t="s">
        <v>195</v>
      </c>
      <c r="D912" s="35" t="s">
        <v>43</v>
      </c>
      <c r="E912" s="35" t="s">
        <v>20</v>
      </c>
      <c r="F912" s="35">
        <v>16</v>
      </c>
      <c r="G912" s="35">
        <v>1851.23</v>
      </c>
      <c r="H912" s="35">
        <v>29619.68</v>
      </c>
      <c r="I912" s="35">
        <v>24783.98</v>
      </c>
      <c r="J912" s="35">
        <v>4835.7</v>
      </c>
      <c r="K912" s="37">
        <v>45545</v>
      </c>
      <c r="L912" s="37">
        <v>45552</v>
      </c>
      <c r="M912" s="35" t="s">
        <v>45</v>
      </c>
      <c r="N912" s="35">
        <v>2</v>
      </c>
      <c r="O912" s="35" t="s">
        <v>620</v>
      </c>
      <c r="P912" s="35">
        <v>8</v>
      </c>
    </row>
    <row r="913" spans="1:16" ht="15.75" customHeight="1" x14ac:dyDescent="0.3">
      <c r="A913" s="35" t="s">
        <v>2098</v>
      </c>
      <c r="B913" s="35" t="s">
        <v>2099</v>
      </c>
      <c r="C913" s="35" t="s">
        <v>49</v>
      </c>
      <c r="D913" s="35" t="s">
        <v>43</v>
      </c>
      <c r="E913" s="35" t="s">
        <v>25</v>
      </c>
      <c r="F913" s="35">
        <v>13</v>
      </c>
      <c r="G913" s="35">
        <v>4021.92</v>
      </c>
      <c r="H913" s="35">
        <v>52284.959999999999</v>
      </c>
      <c r="I913" s="35">
        <v>34902.400000000001</v>
      </c>
      <c r="J913" s="35">
        <v>17382.560000000001</v>
      </c>
      <c r="K913" s="37">
        <v>45863</v>
      </c>
      <c r="L913" s="37">
        <v>45867</v>
      </c>
      <c r="M913" s="35" t="s">
        <v>181</v>
      </c>
      <c r="N913" s="35">
        <v>5</v>
      </c>
      <c r="O913" s="35" t="s">
        <v>220</v>
      </c>
      <c r="P913" s="35">
        <v>7.7</v>
      </c>
    </row>
    <row r="914" spans="1:16" ht="15.75" customHeight="1" x14ac:dyDescent="0.3">
      <c r="A914" s="35" t="s">
        <v>2100</v>
      </c>
      <c r="B914" s="35" t="s">
        <v>2101</v>
      </c>
      <c r="C914" s="35" t="s">
        <v>139</v>
      </c>
      <c r="D914" s="35" t="s">
        <v>31</v>
      </c>
      <c r="E914" s="35" t="s">
        <v>44</v>
      </c>
      <c r="F914" s="35">
        <v>12</v>
      </c>
      <c r="G914" s="35">
        <v>3431.95</v>
      </c>
      <c r="H914" s="35">
        <v>41183.4</v>
      </c>
      <c r="I914" s="35">
        <v>25649.14</v>
      </c>
      <c r="J914" s="35">
        <v>15534.26</v>
      </c>
      <c r="K914" s="37">
        <v>46006</v>
      </c>
      <c r="L914" s="37">
        <v>46016</v>
      </c>
      <c r="M914" s="35" t="s">
        <v>123</v>
      </c>
      <c r="N914" s="35">
        <v>1</v>
      </c>
      <c r="O914" s="35" t="s">
        <v>627</v>
      </c>
      <c r="P914" s="35">
        <v>7.6</v>
      </c>
    </row>
    <row r="915" spans="1:16" ht="15.75" customHeight="1" x14ac:dyDescent="0.3">
      <c r="A915" s="35" t="s">
        <v>2102</v>
      </c>
      <c r="B915" s="35" t="s">
        <v>2103</v>
      </c>
      <c r="C915" s="35" t="s">
        <v>42</v>
      </c>
      <c r="D915" s="35" t="s">
        <v>43</v>
      </c>
      <c r="E915" s="35" t="s">
        <v>20</v>
      </c>
      <c r="F915" s="35">
        <v>10</v>
      </c>
      <c r="G915" s="35">
        <v>4913.2700000000004</v>
      </c>
      <c r="H915" s="35">
        <v>49132.7</v>
      </c>
      <c r="I915" s="35">
        <v>30708.17</v>
      </c>
      <c r="J915" s="35">
        <v>18424.53</v>
      </c>
      <c r="K915" s="37">
        <v>45952</v>
      </c>
      <c r="L915" s="37">
        <v>45958</v>
      </c>
      <c r="M915" s="35" t="s">
        <v>38</v>
      </c>
      <c r="N915" s="35">
        <v>3</v>
      </c>
      <c r="O915" s="35" t="s">
        <v>120</v>
      </c>
      <c r="P915" s="35">
        <v>8.1999999999999993</v>
      </c>
    </row>
    <row r="916" spans="1:16" ht="15.75" customHeight="1" x14ac:dyDescent="0.3">
      <c r="A916" s="35" t="s">
        <v>2104</v>
      </c>
      <c r="B916" s="35" t="s">
        <v>2105</v>
      </c>
      <c r="C916" s="35" t="s">
        <v>49</v>
      </c>
      <c r="D916" s="35" t="s">
        <v>43</v>
      </c>
      <c r="E916" s="35" t="s">
        <v>32</v>
      </c>
      <c r="F916" s="35">
        <v>11</v>
      </c>
      <c r="G916" s="35">
        <v>3229.93</v>
      </c>
      <c r="H916" s="35">
        <v>35529.230000000003</v>
      </c>
      <c r="I916" s="35">
        <v>26935.38</v>
      </c>
      <c r="J916" s="35">
        <v>8593.85</v>
      </c>
      <c r="K916" s="37">
        <v>46037</v>
      </c>
      <c r="L916" s="37">
        <v>46046</v>
      </c>
      <c r="M916" s="35" t="s">
        <v>38</v>
      </c>
      <c r="N916" s="35">
        <v>5</v>
      </c>
      <c r="O916" s="35" t="s">
        <v>270</v>
      </c>
      <c r="P916" s="35">
        <v>9.9</v>
      </c>
    </row>
    <row r="917" spans="1:16" ht="15.75" customHeight="1" x14ac:dyDescent="0.3">
      <c r="A917" s="35" t="s">
        <v>2106</v>
      </c>
      <c r="B917" s="35" t="s">
        <v>2107</v>
      </c>
      <c r="C917" s="35" t="s">
        <v>195</v>
      </c>
      <c r="D917" s="35" t="s">
        <v>43</v>
      </c>
      <c r="E917" s="35" t="s">
        <v>25</v>
      </c>
      <c r="F917" s="35">
        <v>5</v>
      </c>
      <c r="G917" s="35">
        <v>430.74</v>
      </c>
      <c r="H917" s="35">
        <v>2153.6999999999998</v>
      </c>
      <c r="I917" s="35">
        <v>1865.32</v>
      </c>
      <c r="J917" s="35">
        <v>288.38</v>
      </c>
      <c r="K917" s="37">
        <v>45836</v>
      </c>
      <c r="L917" s="37">
        <v>45839</v>
      </c>
      <c r="M917" s="35" t="s">
        <v>38</v>
      </c>
      <c r="N917" s="35">
        <v>2</v>
      </c>
      <c r="O917" s="35" t="s">
        <v>1191</v>
      </c>
      <c r="P917" s="35">
        <v>7.5</v>
      </c>
    </row>
    <row r="918" spans="1:16" ht="15.75" customHeight="1" x14ac:dyDescent="0.3">
      <c r="A918" s="35" t="s">
        <v>2108</v>
      </c>
      <c r="B918" s="35" t="s">
        <v>2109</v>
      </c>
      <c r="C918" s="35" t="s">
        <v>88</v>
      </c>
      <c r="D918" s="35" t="s">
        <v>31</v>
      </c>
      <c r="E918" s="35" t="s">
        <v>44</v>
      </c>
      <c r="F918" s="35">
        <v>5</v>
      </c>
      <c r="G918" s="35">
        <v>3815.44</v>
      </c>
      <c r="H918" s="35">
        <v>19077.2</v>
      </c>
      <c r="I918" s="35">
        <v>16315.96</v>
      </c>
      <c r="J918" s="35">
        <v>2761.24</v>
      </c>
      <c r="K918" s="37">
        <v>45828</v>
      </c>
      <c r="L918" s="37">
        <v>45830</v>
      </c>
      <c r="M918" s="35" t="s">
        <v>33</v>
      </c>
      <c r="N918" s="35">
        <v>1</v>
      </c>
      <c r="O918" s="35" t="s">
        <v>2110</v>
      </c>
      <c r="P918" s="35">
        <v>7.2</v>
      </c>
    </row>
    <row r="919" spans="1:16" ht="15.75" customHeight="1" x14ac:dyDescent="0.3">
      <c r="A919" s="35" t="s">
        <v>2111</v>
      </c>
      <c r="B919" s="35" t="s">
        <v>2112</v>
      </c>
      <c r="C919" s="35" t="s">
        <v>95</v>
      </c>
      <c r="D919" s="35" t="s">
        <v>19</v>
      </c>
      <c r="E919" s="35" t="s">
        <v>20</v>
      </c>
      <c r="F919" s="35">
        <v>2</v>
      </c>
      <c r="G919" s="35">
        <v>1650.59</v>
      </c>
      <c r="H919" s="35">
        <v>3301.18</v>
      </c>
      <c r="I919" s="35">
        <v>2174.58</v>
      </c>
      <c r="J919" s="35">
        <v>1126.5999999999999</v>
      </c>
      <c r="K919" s="37">
        <v>45511</v>
      </c>
      <c r="L919" s="37">
        <v>45519</v>
      </c>
      <c r="M919" s="35" t="s">
        <v>21</v>
      </c>
      <c r="N919" s="35">
        <v>5</v>
      </c>
      <c r="O919" s="35" t="s">
        <v>894</v>
      </c>
      <c r="P919" s="35">
        <v>7.4</v>
      </c>
    </row>
    <row r="920" spans="1:16" ht="15.75" customHeight="1" x14ac:dyDescent="0.3">
      <c r="A920" s="35" t="s">
        <v>2113</v>
      </c>
      <c r="B920" s="35" t="s">
        <v>2114</v>
      </c>
      <c r="C920" s="35" t="s">
        <v>219</v>
      </c>
      <c r="D920" s="35" t="s">
        <v>43</v>
      </c>
      <c r="E920" s="35" t="s">
        <v>44</v>
      </c>
      <c r="F920" s="35">
        <v>10</v>
      </c>
      <c r="G920" s="35">
        <v>4444.0600000000004</v>
      </c>
      <c r="H920" s="35">
        <v>44440.6</v>
      </c>
      <c r="I920" s="35">
        <v>23517.64</v>
      </c>
      <c r="J920" s="35">
        <v>20922.96</v>
      </c>
      <c r="K920" s="37">
        <v>46052</v>
      </c>
      <c r="L920" s="37">
        <v>46055</v>
      </c>
      <c r="M920" s="35" t="s">
        <v>123</v>
      </c>
      <c r="N920" s="35">
        <v>5</v>
      </c>
      <c r="O920" s="35" t="s">
        <v>63</v>
      </c>
      <c r="P920" s="35">
        <v>9.5</v>
      </c>
    </row>
    <row r="921" spans="1:16" ht="15.75" customHeight="1" x14ac:dyDescent="0.3">
      <c r="A921" s="35" t="s">
        <v>2115</v>
      </c>
      <c r="B921" s="35" t="s">
        <v>2116</v>
      </c>
      <c r="C921" s="35" t="s">
        <v>168</v>
      </c>
      <c r="D921" s="35" t="s">
        <v>43</v>
      </c>
      <c r="E921" s="35" t="s">
        <v>32</v>
      </c>
      <c r="F921" s="35">
        <v>1</v>
      </c>
      <c r="G921" s="35">
        <v>426.41</v>
      </c>
      <c r="H921" s="35">
        <v>426.41</v>
      </c>
      <c r="I921" s="35">
        <v>294.14999999999998</v>
      </c>
      <c r="J921" s="35">
        <v>132.26</v>
      </c>
      <c r="K921" s="37">
        <v>45641</v>
      </c>
      <c r="L921" s="37">
        <v>45643</v>
      </c>
      <c r="M921" s="35" t="s">
        <v>123</v>
      </c>
      <c r="N921" s="35">
        <v>3</v>
      </c>
      <c r="O921" s="35" t="s">
        <v>136</v>
      </c>
      <c r="P921" s="35">
        <v>8.1</v>
      </c>
    </row>
    <row r="922" spans="1:16" ht="15.75" customHeight="1" x14ac:dyDescent="0.3">
      <c r="A922" s="35" t="s">
        <v>2117</v>
      </c>
      <c r="B922" s="35" t="s">
        <v>2118</v>
      </c>
      <c r="C922" s="35" t="s">
        <v>62</v>
      </c>
      <c r="D922" s="35" t="s">
        <v>31</v>
      </c>
      <c r="E922" s="35" t="s">
        <v>20</v>
      </c>
      <c r="F922" s="35">
        <v>18</v>
      </c>
      <c r="G922" s="35">
        <v>3852.16</v>
      </c>
      <c r="H922" s="35">
        <v>69338.880000000005</v>
      </c>
      <c r="I922" s="35">
        <v>40844.879999999997</v>
      </c>
      <c r="J922" s="35">
        <v>28494</v>
      </c>
      <c r="K922" s="37">
        <v>45854</v>
      </c>
      <c r="L922" s="37">
        <v>45856</v>
      </c>
      <c r="M922" s="35" t="s">
        <v>26</v>
      </c>
      <c r="N922" s="35">
        <v>1</v>
      </c>
      <c r="O922" s="35" t="s">
        <v>297</v>
      </c>
      <c r="P922" s="35">
        <v>8</v>
      </c>
    </row>
    <row r="923" spans="1:16" ht="15.75" customHeight="1" x14ac:dyDescent="0.3">
      <c r="A923" s="35" t="s">
        <v>2119</v>
      </c>
      <c r="B923" s="35" t="s">
        <v>2120</v>
      </c>
      <c r="C923" s="35" t="s">
        <v>219</v>
      </c>
      <c r="D923" s="35" t="s">
        <v>43</v>
      </c>
      <c r="E923" s="35" t="s">
        <v>32</v>
      </c>
      <c r="F923" s="35">
        <v>7</v>
      </c>
      <c r="G923" s="35">
        <v>4931.63</v>
      </c>
      <c r="H923" s="35">
        <v>34521.410000000003</v>
      </c>
      <c r="I923" s="35">
        <v>26140.639999999999</v>
      </c>
      <c r="J923" s="35">
        <v>8380.77</v>
      </c>
      <c r="K923" s="37">
        <v>45825</v>
      </c>
      <c r="L923" s="37">
        <v>45828</v>
      </c>
      <c r="M923" s="35" t="s">
        <v>58</v>
      </c>
      <c r="N923" s="35">
        <v>1</v>
      </c>
      <c r="O923" s="35" t="s">
        <v>692</v>
      </c>
      <c r="P923" s="35">
        <v>6.9</v>
      </c>
    </row>
    <row r="924" spans="1:16" ht="15.75" customHeight="1" x14ac:dyDescent="0.3">
      <c r="A924" s="35" t="s">
        <v>2121</v>
      </c>
      <c r="B924" s="35" t="s">
        <v>2122</v>
      </c>
      <c r="C924" s="35" t="s">
        <v>30</v>
      </c>
      <c r="D924" s="35" t="s">
        <v>31</v>
      </c>
      <c r="E924" s="35" t="s">
        <v>32</v>
      </c>
      <c r="F924" s="35">
        <v>3</v>
      </c>
      <c r="G924" s="35">
        <v>2849.64</v>
      </c>
      <c r="H924" s="35">
        <v>8548.92</v>
      </c>
      <c r="I924" s="35">
        <v>6162.13</v>
      </c>
      <c r="J924" s="35">
        <v>2386.79</v>
      </c>
      <c r="K924" s="37">
        <v>46036</v>
      </c>
      <c r="L924" s="37">
        <v>46043</v>
      </c>
      <c r="M924" s="35" t="s">
        <v>58</v>
      </c>
      <c r="N924" s="35">
        <v>1</v>
      </c>
      <c r="O924" s="35" t="s">
        <v>1242</v>
      </c>
      <c r="P924" s="35">
        <v>9.6999999999999993</v>
      </c>
    </row>
    <row r="925" spans="1:16" ht="15.75" customHeight="1" x14ac:dyDescent="0.3">
      <c r="A925" s="35" t="s">
        <v>2123</v>
      </c>
      <c r="B925" s="35" t="s">
        <v>2124</v>
      </c>
      <c r="C925" s="35" t="s">
        <v>95</v>
      </c>
      <c r="D925" s="35" t="s">
        <v>19</v>
      </c>
      <c r="E925" s="35" t="s">
        <v>32</v>
      </c>
      <c r="F925" s="35">
        <v>18</v>
      </c>
      <c r="G925" s="35">
        <v>2256.09</v>
      </c>
      <c r="H925" s="35">
        <v>40609.620000000003</v>
      </c>
      <c r="I925" s="35">
        <v>35826.76</v>
      </c>
      <c r="J925" s="35">
        <v>4782.8599999999997</v>
      </c>
      <c r="K925" s="37">
        <v>45930</v>
      </c>
      <c r="L925" s="37">
        <v>45936</v>
      </c>
      <c r="M925" s="35" t="s">
        <v>58</v>
      </c>
      <c r="N925" s="35">
        <v>1</v>
      </c>
      <c r="O925" s="35" t="s">
        <v>1086</v>
      </c>
      <c r="P925" s="35">
        <v>6.3</v>
      </c>
    </row>
    <row r="926" spans="1:16" ht="15.75" customHeight="1" x14ac:dyDescent="0.3">
      <c r="A926" s="35" t="s">
        <v>2125</v>
      </c>
      <c r="B926" s="35" t="s">
        <v>2126</v>
      </c>
      <c r="C926" s="35" t="s">
        <v>30</v>
      </c>
      <c r="D926" s="35" t="s">
        <v>31</v>
      </c>
      <c r="E926" s="35" t="s">
        <v>44</v>
      </c>
      <c r="F926" s="35">
        <v>2</v>
      </c>
      <c r="G926" s="35">
        <v>1801.82</v>
      </c>
      <c r="H926" s="35">
        <v>3603.64</v>
      </c>
      <c r="I926" s="35">
        <v>2475.23</v>
      </c>
      <c r="J926" s="35">
        <v>1128.4100000000001</v>
      </c>
      <c r="K926" s="37">
        <v>45912</v>
      </c>
      <c r="L926" s="37">
        <v>45919</v>
      </c>
      <c r="M926" s="35" t="s">
        <v>45</v>
      </c>
      <c r="N926" s="35">
        <v>1</v>
      </c>
      <c r="O926" s="35" t="s">
        <v>2110</v>
      </c>
      <c r="P926" s="35">
        <v>8.1</v>
      </c>
    </row>
    <row r="927" spans="1:16" ht="15.75" customHeight="1" x14ac:dyDescent="0.3">
      <c r="A927" s="35" t="s">
        <v>2127</v>
      </c>
      <c r="B927" s="35" t="s">
        <v>2128</v>
      </c>
      <c r="C927" s="35" t="s">
        <v>168</v>
      </c>
      <c r="D927" s="35" t="s">
        <v>43</v>
      </c>
      <c r="E927" s="35" t="s">
        <v>32</v>
      </c>
      <c r="F927" s="35">
        <v>8</v>
      </c>
      <c r="G927" s="35">
        <v>1565.88</v>
      </c>
      <c r="H927" s="35">
        <v>12527.04</v>
      </c>
      <c r="I927" s="35">
        <v>9412.52</v>
      </c>
      <c r="J927" s="35">
        <v>3114.52</v>
      </c>
      <c r="K927" s="37">
        <v>45626</v>
      </c>
      <c r="L927" s="37">
        <v>45636</v>
      </c>
      <c r="M927" s="35" t="s">
        <v>69</v>
      </c>
      <c r="N927" s="35">
        <v>3</v>
      </c>
      <c r="O927" s="35" t="s">
        <v>406</v>
      </c>
      <c r="P927" s="35">
        <v>6.1</v>
      </c>
    </row>
    <row r="928" spans="1:16" ht="15.75" customHeight="1" x14ac:dyDescent="0.3">
      <c r="A928" s="35" t="s">
        <v>2129</v>
      </c>
      <c r="B928" s="35" t="s">
        <v>2130</v>
      </c>
      <c r="C928" s="35" t="s">
        <v>139</v>
      </c>
      <c r="D928" s="35" t="s">
        <v>31</v>
      </c>
      <c r="E928" s="35" t="s">
        <v>25</v>
      </c>
      <c r="F928" s="35">
        <v>9</v>
      </c>
      <c r="G928" s="35">
        <v>1274.8599999999999</v>
      </c>
      <c r="H928" s="35">
        <v>11473.74</v>
      </c>
      <c r="I928" s="35">
        <v>8033.12</v>
      </c>
      <c r="J928" s="35">
        <v>3440.62</v>
      </c>
      <c r="K928" s="37">
        <v>45888</v>
      </c>
      <c r="L928" s="37">
        <v>45892</v>
      </c>
      <c r="M928" s="35" t="s">
        <v>181</v>
      </c>
      <c r="N928" s="35">
        <v>2</v>
      </c>
      <c r="O928" s="35" t="s">
        <v>594</v>
      </c>
      <c r="P928" s="35">
        <v>7.9</v>
      </c>
    </row>
    <row r="929" spans="1:16" ht="15.75" customHeight="1" x14ac:dyDescent="0.3">
      <c r="A929" s="35" t="s">
        <v>2131</v>
      </c>
      <c r="B929" s="35" t="s">
        <v>2132</v>
      </c>
      <c r="C929" s="35" t="s">
        <v>42</v>
      </c>
      <c r="D929" s="35" t="s">
        <v>43</v>
      </c>
      <c r="E929" s="35" t="s">
        <v>25</v>
      </c>
      <c r="F929" s="35">
        <v>3</v>
      </c>
      <c r="G929" s="35">
        <v>951.57</v>
      </c>
      <c r="H929" s="35">
        <v>2854.71</v>
      </c>
      <c r="I929" s="35">
        <v>2019.16</v>
      </c>
      <c r="J929" s="35">
        <v>835.55</v>
      </c>
      <c r="K929" s="37">
        <v>45854</v>
      </c>
      <c r="L929" s="37">
        <v>45856</v>
      </c>
      <c r="M929" s="35" t="s">
        <v>181</v>
      </c>
      <c r="N929" s="35">
        <v>1</v>
      </c>
      <c r="O929" s="35" t="s">
        <v>76</v>
      </c>
      <c r="P929" s="35">
        <v>6.9</v>
      </c>
    </row>
    <row r="930" spans="1:16" ht="15.75" customHeight="1" x14ac:dyDescent="0.3">
      <c r="A930" s="35" t="s">
        <v>2133</v>
      </c>
      <c r="B930" s="35" t="s">
        <v>2134</v>
      </c>
      <c r="C930" s="35" t="s">
        <v>88</v>
      </c>
      <c r="D930" s="35" t="s">
        <v>31</v>
      </c>
      <c r="E930" s="35" t="s">
        <v>20</v>
      </c>
      <c r="F930" s="35">
        <v>14</v>
      </c>
      <c r="G930" s="35">
        <v>4916.7700000000004</v>
      </c>
      <c r="H930" s="35">
        <v>68834.78</v>
      </c>
      <c r="I930" s="35">
        <v>61604.63</v>
      </c>
      <c r="J930" s="35">
        <v>7230.15</v>
      </c>
      <c r="K930" s="37">
        <v>45618</v>
      </c>
      <c r="L930" s="37">
        <v>45626</v>
      </c>
      <c r="M930" s="35" t="s">
        <v>33</v>
      </c>
      <c r="N930" s="35">
        <v>4</v>
      </c>
      <c r="O930" s="35" t="s">
        <v>208</v>
      </c>
      <c r="P930" s="35">
        <v>8.8000000000000007</v>
      </c>
    </row>
    <row r="931" spans="1:16" ht="15.75" customHeight="1" x14ac:dyDescent="0.3">
      <c r="A931" s="35" t="s">
        <v>2135</v>
      </c>
      <c r="B931" s="35" t="s">
        <v>2136</v>
      </c>
      <c r="C931" s="35" t="s">
        <v>88</v>
      </c>
      <c r="D931" s="35" t="s">
        <v>31</v>
      </c>
      <c r="E931" s="35" t="s">
        <v>44</v>
      </c>
      <c r="F931" s="35">
        <v>3</v>
      </c>
      <c r="G931" s="35">
        <v>1506.43</v>
      </c>
      <c r="H931" s="35">
        <v>4519.29</v>
      </c>
      <c r="I931" s="35">
        <v>2832.57</v>
      </c>
      <c r="J931" s="35">
        <v>1686.72</v>
      </c>
      <c r="K931" s="37">
        <v>45601</v>
      </c>
      <c r="L931" s="37">
        <v>45611</v>
      </c>
      <c r="M931" s="35" t="s">
        <v>26</v>
      </c>
      <c r="N931" s="35">
        <v>4</v>
      </c>
      <c r="O931" s="35" t="s">
        <v>509</v>
      </c>
      <c r="P931" s="35">
        <v>8.1999999999999993</v>
      </c>
    </row>
    <row r="932" spans="1:16" ht="15.75" customHeight="1" x14ac:dyDescent="0.3">
      <c r="A932" s="35" t="s">
        <v>2137</v>
      </c>
      <c r="B932" s="35" t="s">
        <v>2138</v>
      </c>
      <c r="C932" s="35" t="s">
        <v>49</v>
      </c>
      <c r="D932" s="35" t="s">
        <v>43</v>
      </c>
      <c r="E932" s="35" t="s">
        <v>44</v>
      </c>
      <c r="F932" s="35">
        <v>20</v>
      </c>
      <c r="G932" s="35">
        <v>2763.52</v>
      </c>
      <c r="H932" s="35">
        <v>55270.400000000001</v>
      </c>
      <c r="I932" s="35">
        <v>48976.36</v>
      </c>
      <c r="J932" s="35">
        <v>6294.04</v>
      </c>
      <c r="K932" s="37">
        <v>46042</v>
      </c>
      <c r="L932" s="37">
        <v>46046</v>
      </c>
      <c r="M932" s="35" t="s">
        <v>50</v>
      </c>
      <c r="N932" s="35">
        <v>5</v>
      </c>
      <c r="O932" s="35" t="s">
        <v>79</v>
      </c>
      <c r="P932" s="35">
        <v>8</v>
      </c>
    </row>
    <row r="933" spans="1:16" ht="15.75" customHeight="1" x14ac:dyDescent="0.3">
      <c r="A933" s="35" t="s">
        <v>2139</v>
      </c>
      <c r="B933" s="35" t="s">
        <v>2140</v>
      </c>
      <c r="C933" s="35" t="s">
        <v>42</v>
      </c>
      <c r="D933" s="35" t="s">
        <v>43</v>
      </c>
      <c r="E933" s="35" t="s">
        <v>44</v>
      </c>
      <c r="F933" s="35">
        <v>6</v>
      </c>
      <c r="G933" s="35">
        <v>3195.54</v>
      </c>
      <c r="H933" s="35">
        <v>19173.240000000002</v>
      </c>
      <c r="I933" s="35">
        <v>11355.67</v>
      </c>
      <c r="J933" s="35">
        <v>7817.57</v>
      </c>
      <c r="K933" s="37">
        <v>45549</v>
      </c>
      <c r="L933" s="37">
        <v>45557</v>
      </c>
      <c r="M933" s="35" t="s">
        <v>123</v>
      </c>
      <c r="N933" s="35">
        <v>5</v>
      </c>
      <c r="O933" s="35" t="s">
        <v>205</v>
      </c>
      <c r="P933" s="35">
        <v>6.6</v>
      </c>
    </row>
    <row r="934" spans="1:16" ht="15.75" customHeight="1" x14ac:dyDescent="0.3">
      <c r="A934" s="35" t="s">
        <v>2141</v>
      </c>
      <c r="B934" s="35" t="s">
        <v>2142</v>
      </c>
      <c r="C934" s="35" t="s">
        <v>30</v>
      </c>
      <c r="D934" s="35" t="s">
        <v>31</v>
      </c>
      <c r="E934" s="35" t="s">
        <v>20</v>
      </c>
      <c r="F934" s="35">
        <v>5</v>
      </c>
      <c r="G934" s="35">
        <v>4948.1099999999997</v>
      </c>
      <c r="H934" s="35">
        <v>24740.55</v>
      </c>
      <c r="I934" s="35">
        <v>16459.53</v>
      </c>
      <c r="J934" s="35">
        <v>8281.02</v>
      </c>
      <c r="K934" s="37">
        <v>45805</v>
      </c>
      <c r="L934" s="37">
        <v>45815</v>
      </c>
      <c r="M934" s="35" t="s">
        <v>26</v>
      </c>
      <c r="N934" s="35">
        <v>5</v>
      </c>
      <c r="O934" s="35" t="s">
        <v>63</v>
      </c>
      <c r="P934" s="35">
        <v>9.1</v>
      </c>
    </row>
    <row r="935" spans="1:16" ht="15.75" customHeight="1" x14ac:dyDescent="0.3">
      <c r="A935" s="35" t="s">
        <v>2143</v>
      </c>
      <c r="B935" s="35" t="s">
        <v>2144</v>
      </c>
      <c r="C935" s="35" t="s">
        <v>219</v>
      </c>
      <c r="D935" s="35" t="s">
        <v>43</v>
      </c>
      <c r="E935" s="35" t="s">
        <v>44</v>
      </c>
      <c r="F935" s="35">
        <v>11</v>
      </c>
      <c r="G935" s="35">
        <v>2680.18</v>
      </c>
      <c r="H935" s="35">
        <v>29481.98</v>
      </c>
      <c r="I935" s="35">
        <v>21851.82</v>
      </c>
      <c r="J935" s="35">
        <v>7630.16</v>
      </c>
      <c r="K935" s="37">
        <v>45683</v>
      </c>
      <c r="L935" s="37">
        <v>45685</v>
      </c>
      <c r="M935" s="35" t="s">
        <v>45</v>
      </c>
      <c r="N935" s="35">
        <v>3</v>
      </c>
      <c r="O935" s="35" t="s">
        <v>114</v>
      </c>
      <c r="P935" s="35">
        <v>7.5</v>
      </c>
    </row>
    <row r="936" spans="1:16" ht="15.75" customHeight="1" x14ac:dyDescent="0.3">
      <c r="A936" s="35" t="s">
        <v>2145</v>
      </c>
      <c r="B936" s="35" t="s">
        <v>2146</v>
      </c>
      <c r="C936" s="35" t="s">
        <v>88</v>
      </c>
      <c r="D936" s="35" t="s">
        <v>31</v>
      </c>
      <c r="E936" s="35" t="s">
        <v>44</v>
      </c>
      <c r="F936" s="35">
        <v>19</v>
      </c>
      <c r="G936" s="35">
        <v>2631.33</v>
      </c>
      <c r="H936" s="35">
        <v>49995.27</v>
      </c>
      <c r="I936" s="35">
        <v>29079.8</v>
      </c>
      <c r="J936" s="35">
        <v>20915.47</v>
      </c>
      <c r="K936" s="37">
        <v>45485</v>
      </c>
      <c r="L936" s="37">
        <v>45495</v>
      </c>
      <c r="M936" s="35" t="s">
        <v>69</v>
      </c>
      <c r="N936" s="35">
        <v>3</v>
      </c>
      <c r="O936" s="35" t="s">
        <v>764</v>
      </c>
      <c r="P936" s="35">
        <v>8.1999999999999993</v>
      </c>
    </row>
    <row r="937" spans="1:16" ht="15.75" customHeight="1" x14ac:dyDescent="0.3">
      <c r="A937" s="35" t="s">
        <v>2147</v>
      </c>
      <c r="B937" s="35" t="s">
        <v>2148</v>
      </c>
      <c r="C937" s="35" t="s">
        <v>139</v>
      </c>
      <c r="D937" s="35" t="s">
        <v>31</v>
      </c>
      <c r="E937" s="35" t="s">
        <v>32</v>
      </c>
      <c r="F937" s="35">
        <v>2</v>
      </c>
      <c r="G937" s="35">
        <v>568.55999999999995</v>
      </c>
      <c r="H937" s="35">
        <v>1137.1199999999999</v>
      </c>
      <c r="I937" s="35">
        <v>902.48</v>
      </c>
      <c r="J937" s="35">
        <v>234.64</v>
      </c>
      <c r="K937" s="37">
        <v>45865</v>
      </c>
      <c r="L937" s="37">
        <v>45867</v>
      </c>
      <c r="M937" s="35" t="s">
        <v>50</v>
      </c>
      <c r="N937" s="35">
        <v>4</v>
      </c>
      <c r="O937" s="35" t="s">
        <v>96</v>
      </c>
      <c r="P937" s="35">
        <v>9.1</v>
      </c>
    </row>
    <row r="938" spans="1:16" ht="15.75" customHeight="1" x14ac:dyDescent="0.3">
      <c r="A938" s="35" t="s">
        <v>2149</v>
      </c>
      <c r="B938" s="35" t="s">
        <v>2150</v>
      </c>
      <c r="C938" s="35" t="s">
        <v>49</v>
      </c>
      <c r="D938" s="35" t="s">
        <v>43</v>
      </c>
      <c r="E938" s="35" t="s">
        <v>25</v>
      </c>
      <c r="F938" s="35">
        <v>9</v>
      </c>
      <c r="G938" s="35">
        <v>4595.1899999999996</v>
      </c>
      <c r="H938" s="35">
        <v>41356.71</v>
      </c>
      <c r="I938" s="35">
        <v>29786.85</v>
      </c>
      <c r="J938" s="35">
        <v>11569.86</v>
      </c>
      <c r="K938" s="37">
        <v>45551</v>
      </c>
      <c r="L938" s="37">
        <v>45557</v>
      </c>
      <c r="M938" s="35" t="s">
        <v>123</v>
      </c>
      <c r="N938" s="35">
        <v>2</v>
      </c>
      <c r="O938" s="35" t="s">
        <v>754</v>
      </c>
      <c r="P938" s="35">
        <v>8.4</v>
      </c>
    </row>
    <row r="939" spans="1:16" ht="15.75" customHeight="1" x14ac:dyDescent="0.3">
      <c r="A939" s="35" t="s">
        <v>2151</v>
      </c>
      <c r="B939" s="35" t="s">
        <v>2152</v>
      </c>
      <c r="C939" s="35" t="s">
        <v>30</v>
      </c>
      <c r="D939" s="35" t="s">
        <v>31</v>
      </c>
      <c r="E939" s="35" t="s">
        <v>32</v>
      </c>
      <c r="F939" s="35">
        <v>15</v>
      </c>
      <c r="G939" s="35">
        <v>3038.58</v>
      </c>
      <c r="H939" s="35">
        <v>45578.7</v>
      </c>
      <c r="I939" s="35">
        <v>26276.22</v>
      </c>
      <c r="J939" s="35">
        <v>19302.48</v>
      </c>
      <c r="K939" s="37">
        <v>45887</v>
      </c>
      <c r="L939" s="37">
        <v>45889</v>
      </c>
      <c r="M939" s="35" t="s">
        <v>26</v>
      </c>
      <c r="N939" s="35">
        <v>4</v>
      </c>
      <c r="O939" s="35" t="s">
        <v>276</v>
      </c>
      <c r="P939" s="35">
        <v>6.1</v>
      </c>
    </row>
    <row r="940" spans="1:16" ht="15.75" customHeight="1" x14ac:dyDescent="0.3">
      <c r="A940" s="35" t="s">
        <v>2153</v>
      </c>
      <c r="B940" s="35" t="s">
        <v>2154</v>
      </c>
      <c r="C940" s="35" t="s">
        <v>18</v>
      </c>
      <c r="D940" s="35" t="s">
        <v>19</v>
      </c>
      <c r="E940" s="35" t="s">
        <v>32</v>
      </c>
      <c r="F940" s="35">
        <v>5</v>
      </c>
      <c r="G940" s="35">
        <v>2633.22</v>
      </c>
      <c r="H940" s="35">
        <v>13166.1</v>
      </c>
      <c r="I940" s="35">
        <v>10295.61</v>
      </c>
      <c r="J940" s="35">
        <v>2870.49</v>
      </c>
      <c r="K940" s="37">
        <v>45720</v>
      </c>
      <c r="L940" s="37">
        <v>45725</v>
      </c>
      <c r="M940" s="35" t="s">
        <v>181</v>
      </c>
      <c r="N940" s="35">
        <v>5</v>
      </c>
      <c r="O940" s="35" t="s">
        <v>394</v>
      </c>
      <c r="P940" s="35">
        <v>8.6</v>
      </c>
    </row>
    <row r="941" spans="1:16" ht="15.75" customHeight="1" x14ac:dyDescent="0.3">
      <c r="A941" s="35" t="s">
        <v>2155</v>
      </c>
      <c r="B941" s="35" t="s">
        <v>2156</v>
      </c>
      <c r="C941" s="35" t="s">
        <v>88</v>
      </c>
      <c r="D941" s="35" t="s">
        <v>31</v>
      </c>
      <c r="E941" s="35" t="s">
        <v>32</v>
      </c>
      <c r="F941" s="35">
        <v>12</v>
      </c>
      <c r="G941" s="35">
        <v>2303.15</v>
      </c>
      <c r="H941" s="35">
        <v>27637.8</v>
      </c>
      <c r="I941" s="35">
        <v>17596.07</v>
      </c>
      <c r="J941" s="35">
        <v>10041.73</v>
      </c>
      <c r="K941" s="37">
        <v>45782</v>
      </c>
      <c r="L941" s="37">
        <v>45790</v>
      </c>
      <c r="M941" s="35" t="s">
        <v>26</v>
      </c>
      <c r="N941" s="35">
        <v>4</v>
      </c>
      <c r="O941" s="35" t="s">
        <v>2157</v>
      </c>
      <c r="P941" s="35">
        <v>9.8000000000000007</v>
      </c>
    </row>
    <row r="942" spans="1:16" ht="15.75" customHeight="1" x14ac:dyDescent="0.3">
      <c r="A942" s="35" t="s">
        <v>2158</v>
      </c>
      <c r="B942" s="35" t="s">
        <v>2159</v>
      </c>
      <c r="C942" s="35" t="s">
        <v>219</v>
      </c>
      <c r="D942" s="35" t="s">
        <v>43</v>
      </c>
      <c r="E942" s="35" t="s">
        <v>20</v>
      </c>
      <c r="F942" s="35">
        <v>20</v>
      </c>
      <c r="G942" s="35">
        <v>981.67</v>
      </c>
      <c r="H942" s="35">
        <v>19633.400000000001</v>
      </c>
      <c r="I942" s="35">
        <v>15120.95</v>
      </c>
      <c r="J942" s="35">
        <v>4512.45</v>
      </c>
      <c r="K942" s="37">
        <v>45436</v>
      </c>
      <c r="L942" s="37">
        <v>45437</v>
      </c>
      <c r="M942" s="35" t="s">
        <v>69</v>
      </c>
      <c r="N942" s="35">
        <v>2</v>
      </c>
      <c r="O942" s="35" t="s">
        <v>154</v>
      </c>
      <c r="P942" s="35">
        <v>9.4</v>
      </c>
    </row>
    <row r="943" spans="1:16" ht="15.75" customHeight="1" x14ac:dyDescent="0.3">
      <c r="A943" s="35" t="s">
        <v>2160</v>
      </c>
      <c r="B943" s="35" t="s">
        <v>2161</v>
      </c>
      <c r="C943" s="35" t="s">
        <v>57</v>
      </c>
      <c r="D943" s="35" t="s">
        <v>19</v>
      </c>
      <c r="E943" s="35" t="s">
        <v>20</v>
      </c>
      <c r="F943" s="35">
        <v>19</v>
      </c>
      <c r="G943" s="35">
        <v>239.32</v>
      </c>
      <c r="H943" s="35">
        <v>4547.08</v>
      </c>
      <c r="I943" s="35">
        <v>2672.94</v>
      </c>
      <c r="J943" s="35">
        <v>1874.14</v>
      </c>
      <c r="K943" s="37">
        <v>46143</v>
      </c>
      <c r="L943" s="37">
        <v>46152</v>
      </c>
      <c r="M943" s="35" t="s">
        <v>181</v>
      </c>
      <c r="N943" s="35">
        <v>2</v>
      </c>
      <c r="O943" s="35" t="s">
        <v>85</v>
      </c>
      <c r="P943" s="35">
        <v>8.6</v>
      </c>
    </row>
    <row r="944" spans="1:16" ht="15.75" customHeight="1" x14ac:dyDescent="0.3">
      <c r="A944" s="35" t="s">
        <v>2162</v>
      </c>
      <c r="B944" s="35" t="s">
        <v>2163</v>
      </c>
      <c r="C944" s="35" t="s">
        <v>139</v>
      </c>
      <c r="D944" s="35" t="s">
        <v>31</v>
      </c>
      <c r="E944" s="35" t="s">
        <v>25</v>
      </c>
      <c r="F944" s="35">
        <v>15</v>
      </c>
      <c r="G944" s="35">
        <v>4762.1499999999996</v>
      </c>
      <c r="H944" s="35">
        <v>71432.25</v>
      </c>
      <c r="I944" s="35">
        <v>40580.519999999997</v>
      </c>
      <c r="J944" s="35">
        <v>30851.73</v>
      </c>
      <c r="K944" s="37">
        <v>45611</v>
      </c>
      <c r="L944" s="37">
        <v>45614</v>
      </c>
      <c r="M944" s="35" t="s">
        <v>181</v>
      </c>
      <c r="N944" s="35">
        <v>5</v>
      </c>
      <c r="O944" s="35" t="s">
        <v>1508</v>
      </c>
      <c r="P944" s="35">
        <v>8.6</v>
      </c>
    </row>
    <row r="945" spans="1:16" ht="15.75" customHeight="1" x14ac:dyDescent="0.3">
      <c r="A945" s="35" t="s">
        <v>2164</v>
      </c>
      <c r="B945" s="35" t="s">
        <v>2165</v>
      </c>
      <c r="C945" s="35" t="s">
        <v>18</v>
      </c>
      <c r="D945" s="35" t="s">
        <v>19</v>
      </c>
      <c r="E945" s="35" t="s">
        <v>25</v>
      </c>
      <c r="F945" s="35">
        <v>19</v>
      </c>
      <c r="G945" s="35">
        <v>3679.71</v>
      </c>
      <c r="H945" s="35">
        <v>69914.490000000005</v>
      </c>
      <c r="I945" s="35">
        <v>61565.09</v>
      </c>
      <c r="J945" s="35">
        <v>8349.4</v>
      </c>
      <c r="K945" s="37">
        <v>45762</v>
      </c>
      <c r="L945" s="37">
        <v>45765</v>
      </c>
      <c r="M945" s="35" t="s">
        <v>58</v>
      </c>
      <c r="N945" s="35">
        <v>5</v>
      </c>
      <c r="O945" s="35" t="s">
        <v>551</v>
      </c>
      <c r="P945" s="35">
        <v>6.1</v>
      </c>
    </row>
    <row r="946" spans="1:16" ht="15.75" customHeight="1" x14ac:dyDescent="0.3">
      <c r="A946" s="35" t="s">
        <v>2166</v>
      </c>
      <c r="B946" s="35" t="s">
        <v>2167</v>
      </c>
      <c r="C946" s="35" t="s">
        <v>18</v>
      </c>
      <c r="D946" s="35" t="s">
        <v>19</v>
      </c>
      <c r="E946" s="35" t="s">
        <v>32</v>
      </c>
      <c r="F946" s="35">
        <v>9</v>
      </c>
      <c r="G946" s="35">
        <v>173.38</v>
      </c>
      <c r="H946" s="35">
        <v>1560.42</v>
      </c>
      <c r="I946" s="35">
        <v>935.8</v>
      </c>
      <c r="J946" s="35">
        <v>624.62</v>
      </c>
      <c r="K946" s="37">
        <v>45972</v>
      </c>
      <c r="L946" s="37">
        <v>45977</v>
      </c>
      <c r="M946" s="35" t="s">
        <v>33</v>
      </c>
      <c r="N946" s="35">
        <v>3</v>
      </c>
      <c r="O946" s="35" t="s">
        <v>1114</v>
      </c>
      <c r="P946" s="35">
        <v>8</v>
      </c>
    </row>
    <row r="947" spans="1:16" ht="15.75" customHeight="1" x14ac:dyDescent="0.3">
      <c r="A947" s="35" t="s">
        <v>2168</v>
      </c>
      <c r="B947" s="35" t="s">
        <v>2169</v>
      </c>
      <c r="C947" s="35" t="s">
        <v>168</v>
      </c>
      <c r="D947" s="35" t="s">
        <v>43</v>
      </c>
      <c r="E947" s="35" t="s">
        <v>44</v>
      </c>
      <c r="F947" s="35">
        <v>15</v>
      </c>
      <c r="G947" s="35">
        <v>1086.93</v>
      </c>
      <c r="H947" s="35">
        <v>16303.95</v>
      </c>
      <c r="I947" s="35">
        <v>9468.7000000000007</v>
      </c>
      <c r="J947" s="35">
        <v>6835.25</v>
      </c>
      <c r="K947" s="37">
        <v>46146</v>
      </c>
      <c r="L947" s="37">
        <v>46149</v>
      </c>
      <c r="M947" s="35" t="s">
        <v>38</v>
      </c>
      <c r="N947" s="35">
        <v>4</v>
      </c>
      <c r="O947" s="35" t="s">
        <v>383</v>
      </c>
      <c r="P947" s="35">
        <v>8.6999999999999993</v>
      </c>
    </row>
    <row r="948" spans="1:16" ht="15.75" customHeight="1" x14ac:dyDescent="0.3">
      <c r="A948" s="35" t="s">
        <v>2170</v>
      </c>
      <c r="B948" s="35" t="s">
        <v>2171</v>
      </c>
      <c r="C948" s="35" t="s">
        <v>139</v>
      </c>
      <c r="D948" s="35" t="s">
        <v>31</v>
      </c>
      <c r="E948" s="35" t="s">
        <v>20</v>
      </c>
      <c r="F948" s="35">
        <v>2</v>
      </c>
      <c r="G948" s="35">
        <v>1935.98</v>
      </c>
      <c r="H948" s="35">
        <v>3871.96</v>
      </c>
      <c r="I948" s="35">
        <v>2334.92</v>
      </c>
      <c r="J948" s="35">
        <v>1537.04</v>
      </c>
      <c r="K948" s="37">
        <v>45837</v>
      </c>
      <c r="L948" s="37">
        <v>45839</v>
      </c>
      <c r="M948" s="35" t="s">
        <v>50</v>
      </c>
      <c r="N948" s="35">
        <v>2</v>
      </c>
      <c r="O948" s="35" t="s">
        <v>208</v>
      </c>
      <c r="P948" s="35">
        <v>8.9</v>
      </c>
    </row>
    <row r="949" spans="1:16" ht="15.75" customHeight="1" x14ac:dyDescent="0.3">
      <c r="A949" s="35" t="s">
        <v>2172</v>
      </c>
      <c r="B949" s="35" t="s">
        <v>2173</v>
      </c>
      <c r="C949" s="35" t="s">
        <v>62</v>
      </c>
      <c r="D949" s="35" t="s">
        <v>31</v>
      </c>
      <c r="E949" s="35" t="s">
        <v>32</v>
      </c>
      <c r="F949" s="35">
        <v>3</v>
      </c>
      <c r="G949" s="35">
        <v>2256.86</v>
      </c>
      <c r="H949" s="35">
        <v>6770.58</v>
      </c>
      <c r="I949" s="35">
        <v>3506.25</v>
      </c>
      <c r="J949" s="35">
        <v>3264.33</v>
      </c>
      <c r="K949" s="37">
        <v>45959</v>
      </c>
      <c r="L949" s="37">
        <v>45968</v>
      </c>
      <c r="M949" s="35" t="s">
        <v>33</v>
      </c>
      <c r="N949" s="35">
        <v>3</v>
      </c>
      <c r="O949" s="35" t="s">
        <v>1341</v>
      </c>
      <c r="P949" s="35">
        <v>9</v>
      </c>
    </row>
    <row r="950" spans="1:16" ht="15.75" customHeight="1" x14ac:dyDescent="0.3">
      <c r="A950" s="35" t="s">
        <v>2174</v>
      </c>
      <c r="B950" s="35" t="s">
        <v>2175</v>
      </c>
      <c r="C950" s="35" t="s">
        <v>62</v>
      </c>
      <c r="D950" s="35" t="s">
        <v>31</v>
      </c>
      <c r="E950" s="35" t="s">
        <v>25</v>
      </c>
      <c r="F950" s="35">
        <v>1</v>
      </c>
      <c r="G950" s="35">
        <v>3797.15</v>
      </c>
      <c r="H950" s="35">
        <v>3797.15</v>
      </c>
      <c r="I950" s="35">
        <v>2451.2600000000002</v>
      </c>
      <c r="J950" s="35">
        <v>1345.89</v>
      </c>
      <c r="K950" s="37">
        <v>45474</v>
      </c>
      <c r="L950" s="37">
        <v>45481</v>
      </c>
      <c r="M950" s="35" t="s">
        <v>58</v>
      </c>
      <c r="N950" s="35">
        <v>1</v>
      </c>
      <c r="O950" s="35" t="s">
        <v>585</v>
      </c>
      <c r="P950" s="35">
        <v>8.9</v>
      </c>
    </row>
    <row r="951" spans="1:16" ht="15.75" customHeight="1" x14ac:dyDescent="0.3">
      <c r="A951" s="35" t="s">
        <v>2176</v>
      </c>
      <c r="B951" s="35" t="s">
        <v>2177</v>
      </c>
      <c r="C951" s="35" t="s">
        <v>95</v>
      </c>
      <c r="D951" s="35" t="s">
        <v>19</v>
      </c>
      <c r="E951" s="35" t="s">
        <v>25</v>
      </c>
      <c r="F951" s="35">
        <v>17</v>
      </c>
      <c r="G951" s="35">
        <v>3071.9</v>
      </c>
      <c r="H951" s="35">
        <v>52222.3</v>
      </c>
      <c r="I951" s="35">
        <v>38191.199999999997</v>
      </c>
      <c r="J951" s="35">
        <v>14031.1</v>
      </c>
      <c r="K951" s="37">
        <v>46091</v>
      </c>
      <c r="L951" s="37">
        <v>46101</v>
      </c>
      <c r="M951" s="35" t="s">
        <v>181</v>
      </c>
      <c r="N951" s="35">
        <v>4</v>
      </c>
      <c r="O951" s="35" t="s">
        <v>904</v>
      </c>
      <c r="P951" s="35">
        <v>8</v>
      </c>
    </row>
    <row r="952" spans="1:16" ht="15.75" customHeight="1" x14ac:dyDescent="0.3">
      <c r="A952" s="35" t="s">
        <v>2178</v>
      </c>
      <c r="B952" s="35" t="s">
        <v>2179</v>
      </c>
      <c r="C952" s="35" t="s">
        <v>168</v>
      </c>
      <c r="D952" s="35" t="s">
        <v>43</v>
      </c>
      <c r="E952" s="35" t="s">
        <v>20</v>
      </c>
      <c r="F952" s="35">
        <v>2</v>
      </c>
      <c r="G952" s="35">
        <v>725.58</v>
      </c>
      <c r="H952" s="35">
        <v>1451.16</v>
      </c>
      <c r="I952" s="35">
        <v>941.02</v>
      </c>
      <c r="J952" s="35">
        <v>510.14</v>
      </c>
      <c r="K952" s="37">
        <v>45708</v>
      </c>
      <c r="L952" s="37">
        <v>45718</v>
      </c>
      <c r="M952" s="35" t="s">
        <v>50</v>
      </c>
      <c r="N952" s="35">
        <v>4</v>
      </c>
      <c r="O952" s="35" t="s">
        <v>483</v>
      </c>
      <c r="P952" s="35">
        <v>9.4</v>
      </c>
    </row>
    <row r="953" spans="1:16" ht="15.75" customHeight="1" x14ac:dyDescent="0.3">
      <c r="A953" s="35" t="s">
        <v>2180</v>
      </c>
      <c r="B953" s="35" t="s">
        <v>2181</v>
      </c>
      <c r="C953" s="35" t="s">
        <v>144</v>
      </c>
      <c r="D953" s="35" t="s">
        <v>19</v>
      </c>
      <c r="E953" s="35" t="s">
        <v>20</v>
      </c>
      <c r="F953" s="35">
        <v>13</v>
      </c>
      <c r="G953" s="35">
        <v>1623.55</v>
      </c>
      <c r="H953" s="35">
        <v>21106.15</v>
      </c>
      <c r="I953" s="35">
        <v>12133.17</v>
      </c>
      <c r="J953" s="35">
        <v>8972.98</v>
      </c>
      <c r="K953" s="37">
        <v>45871</v>
      </c>
      <c r="L953" s="37">
        <v>45875</v>
      </c>
      <c r="M953" s="35" t="s">
        <v>21</v>
      </c>
      <c r="N953" s="35">
        <v>4</v>
      </c>
      <c r="O953" s="35" t="s">
        <v>1067</v>
      </c>
      <c r="P953" s="35">
        <v>8.4</v>
      </c>
    </row>
    <row r="954" spans="1:16" ht="15.75" customHeight="1" x14ac:dyDescent="0.3">
      <c r="A954" s="35" t="s">
        <v>2182</v>
      </c>
      <c r="B954" s="35" t="s">
        <v>2183</v>
      </c>
      <c r="C954" s="35" t="s">
        <v>168</v>
      </c>
      <c r="D954" s="35" t="s">
        <v>43</v>
      </c>
      <c r="E954" s="35" t="s">
        <v>25</v>
      </c>
      <c r="F954" s="35">
        <v>8</v>
      </c>
      <c r="G954" s="35">
        <v>3777.84</v>
      </c>
      <c r="H954" s="35">
        <v>30222.720000000001</v>
      </c>
      <c r="I954" s="35">
        <v>18849.04</v>
      </c>
      <c r="J954" s="35">
        <v>11373.68</v>
      </c>
      <c r="K954" s="37">
        <v>46097</v>
      </c>
      <c r="L954" s="37">
        <v>46099</v>
      </c>
      <c r="M954" s="35" t="s">
        <v>38</v>
      </c>
      <c r="N954" s="35">
        <v>4</v>
      </c>
      <c r="O954" s="35" t="s">
        <v>1026</v>
      </c>
      <c r="P954" s="35">
        <v>7.6</v>
      </c>
    </row>
    <row r="955" spans="1:16" ht="15.75" customHeight="1" x14ac:dyDescent="0.3">
      <c r="A955" s="35" t="s">
        <v>2184</v>
      </c>
      <c r="B955" s="35" t="s">
        <v>2185</v>
      </c>
      <c r="C955" s="35" t="s">
        <v>57</v>
      </c>
      <c r="D955" s="35" t="s">
        <v>19</v>
      </c>
      <c r="E955" s="35" t="s">
        <v>25</v>
      </c>
      <c r="F955" s="35">
        <v>18</v>
      </c>
      <c r="G955" s="35">
        <v>645.76</v>
      </c>
      <c r="H955" s="35">
        <v>11623.68</v>
      </c>
      <c r="I955" s="35">
        <v>9000.23</v>
      </c>
      <c r="J955" s="35">
        <v>2623.45</v>
      </c>
      <c r="K955" s="37">
        <v>46056</v>
      </c>
      <c r="L955" s="37">
        <v>46062</v>
      </c>
      <c r="M955" s="35" t="s">
        <v>21</v>
      </c>
      <c r="N955" s="35">
        <v>3</v>
      </c>
      <c r="O955" s="35" t="s">
        <v>1508</v>
      </c>
      <c r="P955" s="35">
        <v>8.6</v>
      </c>
    </row>
    <row r="956" spans="1:16" ht="15.75" customHeight="1" x14ac:dyDescent="0.3">
      <c r="A956" s="35" t="s">
        <v>2186</v>
      </c>
      <c r="B956" s="35" t="s">
        <v>2187</v>
      </c>
      <c r="C956" s="35" t="s">
        <v>95</v>
      </c>
      <c r="D956" s="35" t="s">
        <v>19</v>
      </c>
      <c r="E956" s="35" t="s">
        <v>20</v>
      </c>
      <c r="F956" s="35">
        <v>4</v>
      </c>
      <c r="G956" s="35">
        <v>4239.9399999999996</v>
      </c>
      <c r="H956" s="35">
        <v>16959.759999999998</v>
      </c>
      <c r="I956" s="35">
        <v>13622.65</v>
      </c>
      <c r="J956" s="35">
        <v>3337.11</v>
      </c>
      <c r="K956" s="37">
        <v>45611</v>
      </c>
      <c r="L956" s="37">
        <v>45612</v>
      </c>
      <c r="M956" s="35" t="s">
        <v>69</v>
      </c>
      <c r="N956" s="35">
        <v>1</v>
      </c>
      <c r="O956" s="35" t="s">
        <v>1645</v>
      </c>
      <c r="P956" s="35">
        <v>9.3000000000000007</v>
      </c>
    </row>
    <row r="957" spans="1:16" ht="15.75" customHeight="1" x14ac:dyDescent="0.3">
      <c r="A957" s="35" t="s">
        <v>2188</v>
      </c>
      <c r="B957" s="35" t="s">
        <v>2189</v>
      </c>
      <c r="C957" s="35" t="s">
        <v>30</v>
      </c>
      <c r="D957" s="35" t="s">
        <v>31</v>
      </c>
      <c r="E957" s="35" t="s">
        <v>44</v>
      </c>
      <c r="F957" s="35">
        <v>4</v>
      </c>
      <c r="G957" s="35">
        <v>1456.79</v>
      </c>
      <c r="H957" s="35">
        <v>5827.16</v>
      </c>
      <c r="I957" s="35">
        <v>3768.23</v>
      </c>
      <c r="J957" s="35">
        <v>2058.9299999999998</v>
      </c>
      <c r="K957" s="37">
        <v>45680</v>
      </c>
      <c r="L957" s="37">
        <v>45684</v>
      </c>
      <c r="M957" s="35" t="s">
        <v>45</v>
      </c>
      <c r="N957" s="35">
        <v>1</v>
      </c>
      <c r="O957" s="35" t="s">
        <v>124</v>
      </c>
      <c r="P957" s="35">
        <v>6.3</v>
      </c>
    </row>
    <row r="958" spans="1:16" ht="15.75" customHeight="1" x14ac:dyDescent="0.3">
      <c r="A958" s="35" t="s">
        <v>2190</v>
      </c>
      <c r="B958" s="35" t="s">
        <v>2191</v>
      </c>
      <c r="C958" s="35" t="s">
        <v>139</v>
      </c>
      <c r="D958" s="35" t="s">
        <v>31</v>
      </c>
      <c r="E958" s="35" t="s">
        <v>32</v>
      </c>
      <c r="F958" s="35">
        <v>6</v>
      </c>
      <c r="G958" s="35">
        <v>4134.62</v>
      </c>
      <c r="H958" s="35">
        <v>24807.72</v>
      </c>
      <c r="I958" s="35">
        <v>15961.7</v>
      </c>
      <c r="J958" s="35">
        <v>8846.02</v>
      </c>
      <c r="K958" s="37">
        <v>45988</v>
      </c>
      <c r="L958" s="37">
        <v>45994</v>
      </c>
      <c r="M958" s="35" t="s">
        <v>69</v>
      </c>
      <c r="N958" s="35">
        <v>4</v>
      </c>
      <c r="O958" s="35" t="s">
        <v>754</v>
      </c>
      <c r="P958" s="35">
        <v>6.6</v>
      </c>
    </row>
    <row r="959" spans="1:16" ht="15.75" customHeight="1" x14ac:dyDescent="0.3">
      <c r="A959" s="35" t="s">
        <v>2192</v>
      </c>
      <c r="B959" s="35" t="s">
        <v>2193</v>
      </c>
      <c r="C959" s="35" t="s">
        <v>57</v>
      </c>
      <c r="D959" s="35" t="s">
        <v>19</v>
      </c>
      <c r="E959" s="35" t="s">
        <v>25</v>
      </c>
      <c r="F959" s="35">
        <v>5</v>
      </c>
      <c r="G959" s="35">
        <v>2969.21</v>
      </c>
      <c r="H959" s="35">
        <v>14846.05</v>
      </c>
      <c r="I959" s="35">
        <v>9859.5499999999993</v>
      </c>
      <c r="J959" s="35">
        <v>4986.5</v>
      </c>
      <c r="K959" s="37">
        <v>45615</v>
      </c>
      <c r="L959" s="37">
        <v>45623</v>
      </c>
      <c r="M959" s="35" t="s">
        <v>33</v>
      </c>
      <c r="N959" s="35">
        <v>1</v>
      </c>
      <c r="O959" s="35" t="s">
        <v>993</v>
      </c>
      <c r="P959" s="35">
        <v>6.3</v>
      </c>
    </row>
    <row r="960" spans="1:16" ht="15.75" customHeight="1" x14ac:dyDescent="0.3">
      <c r="A960" s="35" t="s">
        <v>2194</v>
      </c>
      <c r="B960" s="35" t="s">
        <v>2195</v>
      </c>
      <c r="C960" s="35" t="s">
        <v>168</v>
      </c>
      <c r="D960" s="35" t="s">
        <v>43</v>
      </c>
      <c r="E960" s="35" t="s">
        <v>20</v>
      </c>
      <c r="F960" s="35">
        <v>11</v>
      </c>
      <c r="G960" s="35">
        <v>2943.2</v>
      </c>
      <c r="H960" s="35">
        <v>32375.200000000001</v>
      </c>
      <c r="I960" s="35">
        <v>19849.919999999998</v>
      </c>
      <c r="J960" s="35">
        <v>12525.28</v>
      </c>
      <c r="K960" s="37">
        <v>46020</v>
      </c>
      <c r="L960" s="37">
        <v>46021</v>
      </c>
      <c r="M960" s="35" t="s">
        <v>45</v>
      </c>
      <c r="N960" s="35">
        <v>4</v>
      </c>
      <c r="O960" s="35" t="s">
        <v>955</v>
      </c>
      <c r="P960" s="35">
        <v>8.1999999999999993</v>
      </c>
    </row>
    <row r="961" spans="1:16" ht="15.75" customHeight="1" x14ac:dyDescent="0.3">
      <c r="A961" s="35" t="s">
        <v>2196</v>
      </c>
      <c r="B961" s="35" t="s">
        <v>2197</v>
      </c>
      <c r="C961" s="35" t="s">
        <v>18</v>
      </c>
      <c r="D961" s="35" t="s">
        <v>19</v>
      </c>
      <c r="E961" s="35" t="s">
        <v>44</v>
      </c>
      <c r="F961" s="35">
        <v>13</v>
      </c>
      <c r="G961" s="35">
        <v>2506.56</v>
      </c>
      <c r="H961" s="35">
        <v>32585.279999999999</v>
      </c>
      <c r="I961" s="35">
        <v>20122.32</v>
      </c>
      <c r="J961" s="35">
        <v>12462.96</v>
      </c>
      <c r="K961" s="37">
        <v>46051</v>
      </c>
      <c r="L961" s="37">
        <v>46053</v>
      </c>
      <c r="M961" s="35" t="s">
        <v>50</v>
      </c>
      <c r="N961" s="35">
        <v>5</v>
      </c>
      <c r="O961" s="35" t="s">
        <v>597</v>
      </c>
      <c r="P961" s="35">
        <v>6.1</v>
      </c>
    </row>
    <row r="962" spans="1:16" ht="15.75" customHeight="1" x14ac:dyDescent="0.3">
      <c r="A962" s="35" t="s">
        <v>2198</v>
      </c>
      <c r="B962" s="35" t="s">
        <v>2199</v>
      </c>
      <c r="C962" s="35" t="s">
        <v>219</v>
      </c>
      <c r="D962" s="35" t="s">
        <v>43</v>
      </c>
      <c r="E962" s="35" t="s">
        <v>25</v>
      </c>
      <c r="F962" s="35">
        <v>5</v>
      </c>
      <c r="G962" s="35">
        <v>2272.5500000000002</v>
      </c>
      <c r="H962" s="35">
        <v>11362.75</v>
      </c>
      <c r="I962" s="35">
        <v>7990.79</v>
      </c>
      <c r="J962" s="35">
        <v>3371.96</v>
      </c>
      <c r="K962" s="37">
        <v>45932</v>
      </c>
      <c r="L962" s="37">
        <v>45937</v>
      </c>
      <c r="M962" s="35" t="s">
        <v>69</v>
      </c>
      <c r="N962" s="35">
        <v>4</v>
      </c>
      <c r="O962" s="35" t="s">
        <v>441</v>
      </c>
      <c r="P962" s="35">
        <v>7</v>
      </c>
    </row>
    <row r="963" spans="1:16" ht="15.75" customHeight="1" x14ac:dyDescent="0.3">
      <c r="A963" s="35" t="s">
        <v>2200</v>
      </c>
      <c r="B963" s="35" t="s">
        <v>2201</v>
      </c>
      <c r="C963" s="35" t="s">
        <v>62</v>
      </c>
      <c r="D963" s="35" t="s">
        <v>31</v>
      </c>
      <c r="E963" s="35" t="s">
        <v>44</v>
      </c>
      <c r="F963" s="35">
        <v>19</v>
      </c>
      <c r="G963" s="35">
        <v>2873.49</v>
      </c>
      <c r="H963" s="35">
        <v>54596.31</v>
      </c>
      <c r="I963" s="35">
        <v>46264.34</v>
      </c>
      <c r="J963" s="35">
        <v>8331.9699999999993</v>
      </c>
      <c r="K963" s="37">
        <v>45750</v>
      </c>
      <c r="L963" s="37">
        <v>45753</v>
      </c>
      <c r="M963" s="35" t="s">
        <v>58</v>
      </c>
      <c r="N963" s="35">
        <v>5</v>
      </c>
      <c r="O963" s="35" t="s">
        <v>828</v>
      </c>
      <c r="P963" s="35">
        <v>9</v>
      </c>
    </row>
    <row r="964" spans="1:16" ht="15.75" customHeight="1" x14ac:dyDescent="0.3">
      <c r="A964" s="35" t="s">
        <v>2202</v>
      </c>
      <c r="B964" s="35" t="s">
        <v>2203</v>
      </c>
      <c r="C964" s="35" t="s">
        <v>42</v>
      </c>
      <c r="D964" s="35" t="s">
        <v>43</v>
      </c>
      <c r="E964" s="35" t="s">
        <v>25</v>
      </c>
      <c r="F964" s="35">
        <v>17</v>
      </c>
      <c r="G964" s="35">
        <v>4477.75</v>
      </c>
      <c r="H964" s="35">
        <v>76121.75</v>
      </c>
      <c r="I964" s="35">
        <v>39151.25</v>
      </c>
      <c r="J964" s="35">
        <v>36970.5</v>
      </c>
      <c r="K964" s="37">
        <v>45437</v>
      </c>
      <c r="L964" s="37">
        <v>45447</v>
      </c>
      <c r="M964" s="35" t="s">
        <v>58</v>
      </c>
      <c r="N964" s="35">
        <v>1</v>
      </c>
      <c r="O964" s="35" t="s">
        <v>1714</v>
      </c>
      <c r="P964" s="35">
        <v>6.1</v>
      </c>
    </row>
    <row r="965" spans="1:16" ht="15.75" customHeight="1" x14ac:dyDescent="0.3">
      <c r="A965" s="35" t="s">
        <v>2204</v>
      </c>
      <c r="B965" s="35" t="s">
        <v>2205</v>
      </c>
      <c r="C965" s="35" t="s">
        <v>57</v>
      </c>
      <c r="D965" s="35" t="s">
        <v>19</v>
      </c>
      <c r="E965" s="35" t="s">
        <v>25</v>
      </c>
      <c r="F965" s="35">
        <v>8</v>
      </c>
      <c r="G965" s="35">
        <v>4483.84</v>
      </c>
      <c r="H965" s="35">
        <v>35870.720000000001</v>
      </c>
      <c r="I965" s="35">
        <v>19647.64</v>
      </c>
      <c r="J965" s="35">
        <v>16223.08</v>
      </c>
      <c r="K965" s="37">
        <v>45875</v>
      </c>
      <c r="L965" s="37">
        <v>45881</v>
      </c>
      <c r="M965" s="35" t="s">
        <v>33</v>
      </c>
      <c r="N965" s="35">
        <v>3</v>
      </c>
      <c r="O965" s="35" t="s">
        <v>63</v>
      </c>
      <c r="P965" s="35">
        <v>8.3000000000000007</v>
      </c>
    </row>
    <row r="966" spans="1:16" ht="15.75" customHeight="1" x14ac:dyDescent="0.3">
      <c r="A966" s="35" t="s">
        <v>2206</v>
      </c>
      <c r="B966" s="35" t="s">
        <v>2207</v>
      </c>
      <c r="C966" s="35" t="s">
        <v>49</v>
      </c>
      <c r="D966" s="35" t="s">
        <v>43</v>
      </c>
      <c r="E966" s="35" t="s">
        <v>44</v>
      </c>
      <c r="F966" s="35">
        <v>6</v>
      </c>
      <c r="G966" s="35">
        <v>1253.23</v>
      </c>
      <c r="H966" s="35">
        <v>7519.38</v>
      </c>
      <c r="I966" s="35">
        <v>4522.6000000000004</v>
      </c>
      <c r="J966" s="35">
        <v>2996.78</v>
      </c>
      <c r="K966" s="37">
        <v>45558</v>
      </c>
      <c r="L966" s="37">
        <v>45564</v>
      </c>
      <c r="M966" s="35" t="s">
        <v>58</v>
      </c>
      <c r="N966" s="35">
        <v>1</v>
      </c>
      <c r="O966" s="35" t="s">
        <v>818</v>
      </c>
      <c r="P966" s="35">
        <v>8.4</v>
      </c>
    </row>
    <row r="967" spans="1:16" ht="15.75" customHeight="1" x14ac:dyDescent="0.3">
      <c r="A967" s="35" t="s">
        <v>2208</v>
      </c>
      <c r="B967" s="35" t="s">
        <v>2209</v>
      </c>
      <c r="C967" s="35" t="s">
        <v>95</v>
      </c>
      <c r="D967" s="35" t="s">
        <v>19</v>
      </c>
      <c r="E967" s="35" t="s">
        <v>44</v>
      </c>
      <c r="F967" s="35">
        <v>4</v>
      </c>
      <c r="G967" s="35">
        <v>1285.43</v>
      </c>
      <c r="H967" s="35">
        <v>5141.72</v>
      </c>
      <c r="I967" s="35">
        <v>2843.6</v>
      </c>
      <c r="J967" s="35">
        <v>2298.12</v>
      </c>
      <c r="K967" s="37">
        <v>46026</v>
      </c>
      <c r="L967" s="37">
        <v>46034</v>
      </c>
      <c r="M967" s="35" t="s">
        <v>181</v>
      </c>
      <c r="N967" s="35">
        <v>3</v>
      </c>
      <c r="O967" s="35" t="s">
        <v>386</v>
      </c>
      <c r="P967" s="35">
        <v>7.7</v>
      </c>
    </row>
    <row r="968" spans="1:16" ht="15.75" customHeight="1" x14ac:dyDescent="0.3">
      <c r="A968" s="35" t="s">
        <v>2210</v>
      </c>
      <c r="B968" s="35" t="s">
        <v>2211</v>
      </c>
      <c r="C968" s="35" t="s">
        <v>168</v>
      </c>
      <c r="D968" s="35" t="s">
        <v>43</v>
      </c>
      <c r="E968" s="35" t="s">
        <v>44</v>
      </c>
      <c r="F968" s="35">
        <v>10</v>
      </c>
      <c r="G968" s="35">
        <v>1629.51</v>
      </c>
      <c r="H968" s="35">
        <v>16295.1</v>
      </c>
      <c r="I968" s="35">
        <v>10537.93</v>
      </c>
      <c r="J968" s="35">
        <v>5757.17</v>
      </c>
      <c r="K968" s="37">
        <v>45990</v>
      </c>
      <c r="L968" s="37">
        <v>45998</v>
      </c>
      <c r="M968" s="35" t="s">
        <v>38</v>
      </c>
      <c r="N968" s="35">
        <v>5</v>
      </c>
      <c r="O968" s="35" t="s">
        <v>175</v>
      </c>
      <c r="P968" s="35">
        <v>8.5</v>
      </c>
    </row>
    <row r="969" spans="1:16" ht="15.75" customHeight="1" x14ac:dyDescent="0.3">
      <c r="A969" s="35" t="s">
        <v>2212</v>
      </c>
      <c r="B969" s="35" t="s">
        <v>2213</v>
      </c>
      <c r="C969" s="35" t="s">
        <v>62</v>
      </c>
      <c r="D969" s="35" t="s">
        <v>31</v>
      </c>
      <c r="E969" s="35" t="s">
        <v>25</v>
      </c>
      <c r="F969" s="35">
        <v>9</v>
      </c>
      <c r="G969" s="35">
        <v>4270.41</v>
      </c>
      <c r="H969" s="35">
        <v>38433.69</v>
      </c>
      <c r="I969" s="35">
        <v>28450.44</v>
      </c>
      <c r="J969" s="35">
        <v>9983.25</v>
      </c>
      <c r="K969" s="37">
        <v>45532</v>
      </c>
      <c r="L969" s="37">
        <v>45534</v>
      </c>
      <c r="M969" s="35" t="s">
        <v>50</v>
      </c>
      <c r="N969" s="35">
        <v>4</v>
      </c>
      <c r="O969" s="35" t="s">
        <v>281</v>
      </c>
      <c r="P969" s="35">
        <v>9.6</v>
      </c>
    </row>
    <row r="970" spans="1:16" ht="15.75" customHeight="1" x14ac:dyDescent="0.3">
      <c r="A970" s="35" t="s">
        <v>2214</v>
      </c>
      <c r="B970" s="35" t="s">
        <v>2215</v>
      </c>
      <c r="C970" s="35" t="s">
        <v>72</v>
      </c>
      <c r="D970" s="35" t="s">
        <v>31</v>
      </c>
      <c r="E970" s="35" t="s">
        <v>32</v>
      </c>
      <c r="F970" s="35">
        <v>17</v>
      </c>
      <c r="G970" s="35">
        <v>4579.26</v>
      </c>
      <c r="H970" s="35">
        <v>77847.42</v>
      </c>
      <c r="I970" s="35">
        <v>41617.589999999997</v>
      </c>
      <c r="J970" s="35">
        <v>36229.83</v>
      </c>
      <c r="K970" s="37">
        <v>45675</v>
      </c>
      <c r="L970" s="37">
        <v>45678</v>
      </c>
      <c r="M970" s="35" t="s">
        <v>50</v>
      </c>
      <c r="N970" s="35">
        <v>3</v>
      </c>
      <c r="O970" s="35" t="s">
        <v>235</v>
      </c>
      <c r="P970" s="35">
        <v>9.1</v>
      </c>
    </row>
    <row r="971" spans="1:16" ht="15.75" customHeight="1" x14ac:dyDescent="0.3">
      <c r="A971" s="35" t="s">
        <v>2216</v>
      </c>
      <c r="B971" s="35" t="s">
        <v>2217</v>
      </c>
      <c r="C971" s="35" t="s">
        <v>88</v>
      </c>
      <c r="D971" s="35" t="s">
        <v>31</v>
      </c>
      <c r="E971" s="35" t="s">
        <v>25</v>
      </c>
      <c r="F971" s="35">
        <v>8</v>
      </c>
      <c r="G971" s="35">
        <v>4732.07</v>
      </c>
      <c r="H971" s="35">
        <v>37856.559999999998</v>
      </c>
      <c r="I971" s="35">
        <v>19472.169999999998</v>
      </c>
      <c r="J971" s="35">
        <v>18384.39</v>
      </c>
      <c r="K971" s="37">
        <v>46048</v>
      </c>
      <c r="L971" s="37">
        <v>46056</v>
      </c>
      <c r="M971" s="35" t="s">
        <v>45</v>
      </c>
      <c r="N971" s="35">
        <v>5</v>
      </c>
      <c r="O971" s="35" t="s">
        <v>1542</v>
      </c>
      <c r="P971" s="35">
        <v>7.8</v>
      </c>
    </row>
    <row r="972" spans="1:16" ht="15.75" customHeight="1" x14ac:dyDescent="0.3">
      <c r="A972" s="35" t="s">
        <v>2218</v>
      </c>
      <c r="B972" s="35" t="s">
        <v>2219</v>
      </c>
      <c r="C972" s="35" t="s">
        <v>195</v>
      </c>
      <c r="D972" s="35" t="s">
        <v>43</v>
      </c>
      <c r="E972" s="35" t="s">
        <v>32</v>
      </c>
      <c r="F972" s="35">
        <v>14</v>
      </c>
      <c r="G972" s="35">
        <v>2794.06</v>
      </c>
      <c r="H972" s="35">
        <v>39116.839999999997</v>
      </c>
      <c r="I972" s="35">
        <v>22490.77</v>
      </c>
      <c r="J972" s="35">
        <v>16626.07</v>
      </c>
      <c r="K972" s="37">
        <v>45984</v>
      </c>
      <c r="L972" s="37">
        <v>45994</v>
      </c>
      <c r="M972" s="35" t="s">
        <v>123</v>
      </c>
      <c r="N972" s="35">
        <v>4</v>
      </c>
      <c r="O972" s="35" t="s">
        <v>354</v>
      </c>
      <c r="P972" s="35">
        <v>8.6999999999999993</v>
      </c>
    </row>
    <row r="973" spans="1:16" ht="15.75" customHeight="1" x14ac:dyDescent="0.3">
      <c r="A973" s="35" t="s">
        <v>2220</v>
      </c>
      <c r="B973" s="35" t="s">
        <v>2221</v>
      </c>
      <c r="C973" s="35" t="s">
        <v>42</v>
      </c>
      <c r="D973" s="35" t="s">
        <v>43</v>
      </c>
      <c r="E973" s="35" t="s">
        <v>25</v>
      </c>
      <c r="F973" s="35">
        <v>11</v>
      </c>
      <c r="G973" s="35">
        <v>1098.53</v>
      </c>
      <c r="H973" s="35">
        <v>12083.83</v>
      </c>
      <c r="I973" s="35">
        <v>10432.15</v>
      </c>
      <c r="J973" s="35">
        <v>1651.68</v>
      </c>
      <c r="K973" s="37">
        <v>46002</v>
      </c>
      <c r="L973" s="37">
        <v>46009</v>
      </c>
      <c r="M973" s="35" t="s">
        <v>21</v>
      </c>
      <c r="N973" s="35">
        <v>3</v>
      </c>
      <c r="O973" s="35" t="s">
        <v>187</v>
      </c>
      <c r="P973" s="35">
        <v>6.2</v>
      </c>
    </row>
    <row r="974" spans="1:16" ht="15.75" customHeight="1" x14ac:dyDescent="0.3">
      <c r="A974" s="35" t="s">
        <v>2222</v>
      </c>
      <c r="B974" s="35" t="s">
        <v>2223</v>
      </c>
      <c r="C974" s="35" t="s">
        <v>139</v>
      </c>
      <c r="D974" s="35" t="s">
        <v>31</v>
      </c>
      <c r="E974" s="35" t="s">
        <v>44</v>
      </c>
      <c r="F974" s="35">
        <v>2</v>
      </c>
      <c r="G974" s="35">
        <v>539.51</v>
      </c>
      <c r="H974" s="35">
        <v>1079.02</v>
      </c>
      <c r="I974" s="35">
        <v>889.46</v>
      </c>
      <c r="J974" s="35">
        <v>189.56</v>
      </c>
      <c r="K974" s="37">
        <v>45944</v>
      </c>
      <c r="L974" s="37">
        <v>45947</v>
      </c>
      <c r="M974" s="35" t="s">
        <v>38</v>
      </c>
      <c r="N974" s="35">
        <v>2</v>
      </c>
      <c r="O974" s="35" t="s">
        <v>260</v>
      </c>
      <c r="P974" s="35">
        <v>6.4</v>
      </c>
    </row>
    <row r="975" spans="1:16" ht="15.75" customHeight="1" x14ac:dyDescent="0.3">
      <c r="A975" s="35" t="s">
        <v>2224</v>
      </c>
      <c r="B975" s="35" t="s">
        <v>2225</v>
      </c>
      <c r="C975" s="35" t="s">
        <v>18</v>
      </c>
      <c r="D975" s="35" t="s">
        <v>19</v>
      </c>
      <c r="E975" s="35" t="s">
        <v>32</v>
      </c>
      <c r="F975" s="35">
        <v>8</v>
      </c>
      <c r="G975" s="35">
        <v>3345.13</v>
      </c>
      <c r="H975" s="35">
        <v>26761.040000000001</v>
      </c>
      <c r="I975" s="35">
        <v>21430.720000000001</v>
      </c>
      <c r="J975" s="35">
        <v>5330.32</v>
      </c>
      <c r="K975" s="37">
        <v>46003</v>
      </c>
      <c r="L975" s="37">
        <v>46007</v>
      </c>
      <c r="M975" s="35" t="s">
        <v>21</v>
      </c>
      <c r="N975" s="35">
        <v>2</v>
      </c>
      <c r="O975" s="35" t="s">
        <v>483</v>
      </c>
      <c r="P975" s="35">
        <v>6.8</v>
      </c>
    </row>
    <row r="976" spans="1:16" ht="15.75" customHeight="1" x14ac:dyDescent="0.3">
      <c r="A976" s="35" t="s">
        <v>2226</v>
      </c>
      <c r="B976" s="35" t="s">
        <v>2227</v>
      </c>
      <c r="C976" s="35" t="s">
        <v>30</v>
      </c>
      <c r="D976" s="35" t="s">
        <v>31</v>
      </c>
      <c r="E976" s="35" t="s">
        <v>25</v>
      </c>
      <c r="F976" s="35">
        <v>5</v>
      </c>
      <c r="G976" s="35">
        <v>3035.32</v>
      </c>
      <c r="H976" s="35">
        <v>15176.6</v>
      </c>
      <c r="I976" s="35">
        <v>10033.64</v>
      </c>
      <c r="J976" s="35">
        <v>5142.96</v>
      </c>
      <c r="K976" s="37">
        <v>45944</v>
      </c>
      <c r="L976" s="37">
        <v>45947</v>
      </c>
      <c r="M976" s="35" t="s">
        <v>50</v>
      </c>
      <c r="N976" s="35">
        <v>1</v>
      </c>
      <c r="O976" s="35" t="s">
        <v>202</v>
      </c>
      <c r="P976" s="35">
        <v>6.2</v>
      </c>
    </row>
    <row r="977" spans="1:16" ht="15.75" customHeight="1" x14ac:dyDescent="0.3">
      <c r="A977" s="35" t="s">
        <v>2228</v>
      </c>
      <c r="B977" s="35" t="s">
        <v>2229</v>
      </c>
      <c r="C977" s="35" t="s">
        <v>18</v>
      </c>
      <c r="D977" s="35" t="s">
        <v>19</v>
      </c>
      <c r="E977" s="35" t="s">
        <v>44</v>
      </c>
      <c r="F977" s="35">
        <v>19</v>
      </c>
      <c r="G977" s="35">
        <v>3551.08</v>
      </c>
      <c r="H977" s="35">
        <v>67470.52</v>
      </c>
      <c r="I977" s="35">
        <v>54994.22</v>
      </c>
      <c r="J977" s="35">
        <v>12476.3</v>
      </c>
      <c r="K977" s="37">
        <v>45678</v>
      </c>
      <c r="L977" s="37">
        <v>45686</v>
      </c>
      <c r="M977" s="35" t="s">
        <v>123</v>
      </c>
      <c r="N977" s="35">
        <v>3</v>
      </c>
      <c r="O977" s="35" t="s">
        <v>839</v>
      </c>
      <c r="P977" s="35">
        <v>9</v>
      </c>
    </row>
    <row r="978" spans="1:16" ht="15.75" customHeight="1" x14ac:dyDescent="0.3">
      <c r="A978" s="35" t="s">
        <v>2230</v>
      </c>
      <c r="B978" s="35" t="s">
        <v>2231</v>
      </c>
      <c r="C978" s="35" t="s">
        <v>168</v>
      </c>
      <c r="D978" s="35" t="s">
        <v>43</v>
      </c>
      <c r="E978" s="35" t="s">
        <v>32</v>
      </c>
      <c r="F978" s="35">
        <v>5</v>
      </c>
      <c r="G978" s="35">
        <v>2314.14</v>
      </c>
      <c r="H978" s="35">
        <v>11570.7</v>
      </c>
      <c r="I978" s="35">
        <v>10386.82</v>
      </c>
      <c r="J978" s="35">
        <v>1183.8800000000001</v>
      </c>
      <c r="K978" s="37">
        <v>46025</v>
      </c>
      <c r="L978" s="37">
        <v>46035</v>
      </c>
      <c r="M978" s="35" t="s">
        <v>69</v>
      </c>
      <c r="N978" s="35">
        <v>1</v>
      </c>
      <c r="O978" s="35" t="s">
        <v>1268</v>
      </c>
      <c r="P978" s="35">
        <v>7.3</v>
      </c>
    </row>
    <row r="979" spans="1:16" ht="15.75" customHeight="1" x14ac:dyDescent="0.3">
      <c r="A979" s="35" t="s">
        <v>2232</v>
      </c>
      <c r="B979" s="35" t="s">
        <v>2233</v>
      </c>
      <c r="C979" s="35" t="s">
        <v>168</v>
      </c>
      <c r="D979" s="35" t="s">
        <v>43</v>
      </c>
      <c r="E979" s="35" t="s">
        <v>25</v>
      </c>
      <c r="F979" s="35">
        <v>15</v>
      </c>
      <c r="G979" s="35">
        <v>3500.17</v>
      </c>
      <c r="H979" s="35">
        <v>52502.55</v>
      </c>
      <c r="I979" s="35">
        <v>44022.32</v>
      </c>
      <c r="J979" s="35">
        <v>8480.23</v>
      </c>
      <c r="K979" s="37">
        <v>45956</v>
      </c>
      <c r="L979" s="37">
        <v>45964</v>
      </c>
      <c r="M979" s="35" t="s">
        <v>21</v>
      </c>
      <c r="N979" s="35">
        <v>2</v>
      </c>
      <c r="O979" s="35" t="s">
        <v>441</v>
      </c>
      <c r="P979" s="35">
        <v>9.8000000000000007</v>
      </c>
    </row>
    <row r="980" spans="1:16" ht="15.75" customHeight="1" x14ac:dyDescent="0.3">
      <c r="A980" s="35" t="s">
        <v>2234</v>
      </c>
      <c r="B980" s="35" t="s">
        <v>2235</v>
      </c>
      <c r="C980" s="35" t="s">
        <v>95</v>
      </c>
      <c r="D980" s="35" t="s">
        <v>19</v>
      </c>
      <c r="E980" s="35" t="s">
        <v>44</v>
      </c>
      <c r="F980" s="35">
        <v>20</v>
      </c>
      <c r="G980" s="35">
        <v>3306.71</v>
      </c>
      <c r="H980" s="35">
        <v>66134.2</v>
      </c>
      <c r="I980" s="35">
        <v>42136.49</v>
      </c>
      <c r="J980" s="35">
        <v>23997.71</v>
      </c>
      <c r="K980" s="37">
        <v>45721</v>
      </c>
      <c r="L980" s="37">
        <v>45726</v>
      </c>
      <c r="M980" s="35" t="s">
        <v>21</v>
      </c>
      <c r="N980" s="35">
        <v>3</v>
      </c>
      <c r="O980" s="35" t="s">
        <v>767</v>
      </c>
      <c r="P980" s="35">
        <v>6.9</v>
      </c>
    </row>
    <row r="981" spans="1:16" ht="15.75" customHeight="1" x14ac:dyDescent="0.3">
      <c r="A981" s="35" t="s">
        <v>2236</v>
      </c>
      <c r="B981" s="35" t="s">
        <v>2237</v>
      </c>
      <c r="C981" s="35" t="s">
        <v>49</v>
      </c>
      <c r="D981" s="35" t="s">
        <v>43</v>
      </c>
      <c r="E981" s="35" t="s">
        <v>25</v>
      </c>
      <c r="F981" s="35">
        <v>5</v>
      </c>
      <c r="G981" s="35">
        <v>3739.15</v>
      </c>
      <c r="H981" s="35">
        <v>18695.75</v>
      </c>
      <c r="I981" s="35">
        <v>9990.15</v>
      </c>
      <c r="J981" s="35">
        <v>8705.6</v>
      </c>
      <c r="K981" s="37">
        <v>46075</v>
      </c>
      <c r="L981" s="37">
        <v>46082</v>
      </c>
      <c r="M981" s="35" t="s">
        <v>45</v>
      </c>
      <c r="N981" s="35">
        <v>4</v>
      </c>
      <c r="O981" s="35" t="s">
        <v>270</v>
      </c>
      <c r="P981" s="35">
        <v>9.6999999999999993</v>
      </c>
    </row>
    <row r="982" spans="1:16" ht="15.75" customHeight="1" x14ac:dyDescent="0.3">
      <c r="A982" s="35" t="s">
        <v>2238</v>
      </c>
      <c r="B982" s="35" t="s">
        <v>2239</v>
      </c>
      <c r="C982" s="35" t="s">
        <v>195</v>
      </c>
      <c r="D982" s="35" t="s">
        <v>43</v>
      </c>
      <c r="E982" s="35" t="s">
        <v>20</v>
      </c>
      <c r="F982" s="35">
        <v>8</v>
      </c>
      <c r="G982" s="35">
        <v>2916.68</v>
      </c>
      <c r="H982" s="35">
        <v>23333.439999999999</v>
      </c>
      <c r="I982" s="35">
        <v>15207.54</v>
      </c>
      <c r="J982" s="35">
        <v>8125.9</v>
      </c>
      <c r="K982" s="37">
        <v>46147</v>
      </c>
      <c r="L982" s="37">
        <v>46155</v>
      </c>
      <c r="M982" s="35" t="s">
        <v>45</v>
      </c>
      <c r="N982" s="35">
        <v>3</v>
      </c>
      <c r="O982" s="35" t="s">
        <v>936</v>
      </c>
      <c r="P982" s="35">
        <v>6.8</v>
      </c>
    </row>
    <row r="983" spans="1:16" ht="15.75" customHeight="1" x14ac:dyDescent="0.3">
      <c r="A983" s="35" t="s">
        <v>2240</v>
      </c>
      <c r="B983" s="35" t="s">
        <v>2241</v>
      </c>
      <c r="C983" s="35" t="s">
        <v>168</v>
      </c>
      <c r="D983" s="35" t="s">
        <v>43</v>
      </c>
      <c r="E983" s="35" t="s">
        <v>44</v>
      </c>
      <c r="F983" s="35">
        <v>1</v>
      </c>
      <c r="G983" s="35">
        <v>2090.0100000000002</v>
      </c>
      <c r="H983" s="35">
        <v>2090.0100000000002</v>
      </c>
      <c r="I983" s="35">
        <v>1252.3</v>
      </c>
      <c r="J983" s="35">
        <v>837.71</v>
      </c>
      <c r="K983" s="37">
        <v>46134</v>
      </c>
      <c r="L983" s="37">
        <v>46136</v>
      </c>
      <c r="M983" s="35" t="s">
        <v>26</v>
      </c>
      <c r="N983" s="35">
        <v>4</v>
      </c>
      <c r="O983" s="35" t="s">
        <v>426</v>
      </c>
      <c r="P983" s="35">
        <v>8.5</v>
      </c>
    </row>
    <row r="984" spans="1:16" ht="15.75" customHeight="1" x14ac:dyDescent="0.3">
      <c r="A984" s="35" t="s">
        <v>2242</v>
      </c>
      <c r="B984" s="35" t="s">
        <v>2243</v>
      </c>
      <c r="C984" s="35" t="s">
        <v>30</v>
      </c>
      <c r="D984" s="35" t="s">
        <v>31</v>
      </c>
      <c r="E984" s="35" t="s">
        <v>32</v>
      </c>
      <c r="F984" s="35">
        <v>18</v>
      </c>
      <c r="G984" s="35">
        <v>3405.24</v>
      </c>
      <c r="H984" s="35">
        <v>61294.32</v>
      </c>
      <c r="I984" s="35">
        <v>38755.449999999997</v>
      </c>
      <c r="J984" s="35">
        <v>22538.87</v>
      </c>
      <c r="K984" s="37">
        <v>45584</v>
      </c>
      <c r="L984" s="37">
        <v>45594</v>
      </c>
      <c r="M984" s="35" t="s">
        <v>38</v>
      </c>
      <c r="N984" s="35">
        <v>3</v>
      </c>
      <c r="O984" s="35" t="s">
        <v>436</v>
      </c>
      <c r="P984" s="35">
        <v>7.3</v>
      </c>
    </row>
    <row r="985" spans="1:16" ht="15.75" customHeight="1" x14ac:dyDescent="0.3">
      <c r="A985" s="35" t="s">
        <v>2244</v>
      </c>
      <c r="B985" s="35" t="s">
        <v>2245</v>
      </c>
      <c r="C985" s="35" t="s">
        <v>49</v>
      </c>
      <c r="D985" s="35" t="s">
        <v>43</v>
      </c>
      <c r="E985" s="35" t="s">
        <v>44</v>
      </c>
      <c r="F985" s="35">
        <v>10</v>
      </c>
      <c r="G985" s="35">
        <v>3653.68</v>
      </c>
      <c r="H985" s="35">
        <v>36536.800000000003</v>
      </c>
      <c r="I985" s="35">
        <v>24098.49</v>
      </c>
      <c r="J985" s="35">
        <v>12438.31</v>
      </c>
      <c r="K985" s="37">
        <v>46036</v>
      </c>
      <c r="L985" s="37">
        <v>46045</v>
      </c>
      <c r="M985" s="35" t="s">
        <v>181</v>
      </c>
      <c r="N985" s="35">
        <v>4</v>
      </c>
      <c r="O985" s="35" t="s">
        <v>604</v>
      </c>
      <c r="P985" s="35">
        <v>8.1</v>
      </c>
    </row>
    <row r="986" spans="1:16" ht="15.75" customHeight="1" x14ac:dyDescent="0.3">
      <c r="A986" s="35" t="s">
        <v>2246</v>
      </c>
      <c r="B986" s="35" t="s">
        <v>2247</v>
      </c>
      <c r="C986" s="35" t="s">
        <v>57</v>
      </c>
      <c r="D986" s="35" t="s">
        <v>19</v>
      </c>
      <c r="E986" s="35" t="s">
        <v>25</v>
      </c>
      <c r="F986" s="35">
        <v>12</v>
      </c>
      <c r="G986" s="35">
        <v>3479.62</v>
      </c>
      <c r="H986" s="35">
        <v>41755.440000000002</v>
      </c>
      <c r="I986" s="35">
        <v>33214.83</v>
      </c>
      <c r="J986" s="35">
        <v>8540.61</v>
      </c>
      <c r="K986" s="37">
        <v>45885</v>
      </c>
      <c r="L986" s="37">
        <v>45894</v>
      </c>
      <c r="M986" s="35" t="s">
        <v>50</v>
      </c>
      <c r="N986" s="35">
        <v>2</v>
      </c>
      <c r="O986" s="35" t="s">
        <v>1390</v>
      </c>
      <c r="P986" s="35">
        <v>6.7</v>
      </c>
    </row>
    <row r="987" spans="1:16" ht="15.75" customHeight="1" x14ac:dyDescent="0.3">
      <c r="A987" s="35" t="s">
        <v>2248</v>
      </c>
      <c r="B987" s="35" t="s">
        <v>2249</v>
      </c>
      <c r="C987" s="35" t="s">
        <v>72</v>
      </c>
      <c r="D987" s="35" t="s">
        <v>31</v>
      </c>
      <c r="E987" s="35" t="s">
        <v>32</v>
      </c>
      <c r="F987" s="35">
        <v>19</v>
      </c>
      <c r="G987" s="35">
        <v>4406.07</v>
      </c>
      <c r="H987" s="35">
        <v>83715.33</v>
      </c>
      <c r="I987" s="35">
        <v>44752.480000000003</v>
      </c>
      <c r="J987" s="35">
        <v>38962.85</v>
      </c>
      <c r="K987" s="37">
        <v>45929</v>
      </c>
      <c r="L987" s="37">
        <v>45930</v>
      </c>
      <c r="M987" s="35" t="s">
        <v>69</v>
      </c>
      <c r="N987" s="35">
        <v>4</v>
      </c>
      <c r="O987" s="35" t="s">
        <v>530</v>
      </c>
      <c r="P987" s="35">
        <v>6.5</v>
      </c>
    </row>
    <row r="988" spans="1:16" ht="15.75" customHeight="1" x14ac:dyDescent="0.3">
      <c r="A988" s="35" t="s">
        <v>2250</v>
      </c>
      <c r="B988" s="35" t="s">
        <v>2251</v>
      </c>
      <c r="C988" s="35" t="s">
        <v>72</v>
      </c>
      <c r="D988" s="35" t="s">
        <v>31</v>
      </c>
      <c r="E988" s="35" t="s">
        <v>20</v>
      </c>
      <c r="F988" s="35">
        <v>8</v>
      </c>
      <c r="G988" s="35">
        <v>1572.32</v>
      </c>
      <c r="H988" s="35">
        <v>12578.56</v>
      </c>
      <c r="I988" s="35">
        <v>6513.63</v>
      </c>
      <c r="J988" s="35">
        <v>6064.93</v>
      </c>
      <c r="K988" s="37">
        <v>45943</v>
      </c>
      <c r="L988" s="37">
        <v>45948</v>
      </c>
      <c r="M988" s="35" t="s">
        <v>50</v>
      </c>
      <c r="N988" s="35">
        <v>3</v>
      </c>
      <c r="O988" s="35" t="s">
        <v>936</v>
      </c>
      <c r="P988" s="35">
        <v>6.5</v>
      </c>
    </row>
    <row r="989" spans="1:16" ht="15.75" customHeight="1" x14ac:dyDescent="0.3">
      <c r="A989" s="35" t="s">
        <v>2252</v>
      </c>
      <c r="B989" s="35" t="s">
        <v>2253</v>
      </c>
      <c r="C989" s="35" t="s">
        <v>49</v>
      </c>
      <c r="D989" s="35" t="s">
        <v>43</v>
      </c>
      <c r="E989" s="35" t="s">
        <v>25</v>
      </c>
      <c r="F989" s="35">
        <v>4</v>
      </c>
      <c r="G989" s="35">
        <v>4578.84</v>
      </c>
      <c r="H989" s="35">
        <v>18315.36</v>
      </c>
      <c r="I989" s="35">
        <v>15707.67</v>
      </c>
      <c r="J989" s="35">
        <v>2607.69</v>
      </c>
      <c r="K989" s="37">
        <v>46129</v>
      </c>
      <c r="L989" s="37">
        <v>46136</v>
      </c>
      <c r="M989" s="35" t="s">
        <v>69</v>
      </c>
      <c r="N989" s="35">
        <v>4</v>
      </c>
      <c r="O989" s="35" t="s">
        <v>257</v>
      </c>
      <c r="P989" s="35">
        <v>6.7</v>
      </c>
    </row>
    <row r="990" spans="1:16" ht="15.75" customHeight="1" x14ac:dyDescent="0.3">
      <c r="A990" s="35" t="s">
        <v>2254</v>
      </c>
      <c r="B990" s="35" t="s">
        <v>2255</v>
      </c>
      <c r="C990" s="35" t="s">
        <v>195</v>
      </c>
      <c r="D990" s="35" t="s">
        <v>43</v>
      </c>
      <c r="E990" s="35" t="s">
        <v>25</v>
      </c>
      <c r="F990" s="35">
        <v>6</v>
      </c>
      <c r="G990" s="35">
        <v>550.74</v>
      </c>
      <c r="H990" s="35">
        <v>3304.44</v>
      </c>
      <c r="I990" s="35">
        <v>2325.65</v>
      </c>
      <c r="J990" s="35">
        <v>978.79</v>
      </c>
      <c r="K990" s="37">
        <v>45485</v>
      </c>
      <c r="L990" s="37">
        <v>45494</v>
      </c>
      <c r="M990" s="35" t="s">
        <v>50</v>
      </c>
      <c r="N990" s="35">
        <v>4</v>
      </c>
      <c r="O990" s="35" t="s">
        <v>1060</v>
      </c>
      <c r="P990" s="35">
        <v>8.8000000000000007</v>
      </c>
    </row>
    <row r="991" spans="1:16" ht="15.75" customHeight="1" x14ac:dyDescent="0.3">
      <c r="A991" s="35" t="s">
        <v>2256</v>
      </c>
      <c r="B991" s="35" t="s">
        <v>2257</v>
      </c>
      <c r="C991" s="35" t="s">
        <v>139</v>
      </c>
      <c r="D991" s="35" t="s">
        <v>31</v>
      </c>
      <c r="E991" s="35" t="s">
        <v>25</v>
      </c>
      <c r="F991" s="35">
        <v>18</v>
      </c>
      <c r="G991" s="35">
        <v>4364.8900000000003</v>
      </c>
      <c r="H991" s="35">
        <v>78568.02</v>
      </c>
      <c r="I991" s="35">
        <v>61741.79</v>
      </c>
      <c r="J991" s="35">
        <v>16826.23</v>
      </c>
      <c r="K991" s="37">
        <v>45504</v>
      </c>
      <c r="L991" s="37">
        <v>45508</v>
      </c>
      <c r="M991" s="35" t="s">
        <v>123</v>
      </c>
      <c r="N991" s="35">
        <v>4</v>
      </c>
      <c r="O991" s="35" t="s">
        <v>276</v>
      </c>
      <c r="P991" s="35">
        <v>9.3000000000000007</v>
      </c>
    </row>
    <row r="992" spans="1:16" ht="15.75" customHeight="1" x14ac:dyDescent="0.3">
      <c r="A992" s="35" t="s">
        <v>2258</v>
      </c>
      <c r="B992" s="35" t="s">
        <v>2259</v>
      </c>
      <c r="C992" s="35" t="s">
        <v>18</v>
      </c>
      <c r="D992" s="35" t="s">
        <v>19</v>
      </c>
      <c r="E992" s="35" t="s">
        <v>32</v>
      </c>
      <c r="F992" s="35">
        <v>10</v>
      </c>
      <c r="G992" s="35">
        <v>4355.87</v>
      </c>
      <c r="H992" s="35">
        <v>43558.7</v>
      </c>
      <c r="I992" s="35">
        <v>23775.87</v>
      </c>
      <c r="J992" s="35">
        <v>19782.830000000002</v>
      </c>
      <c r="K992" s="37">
        <v>45728</v>
      </c>
      <c r="L992" s="37">
        <v>45738</v>
      </c>
      <c r="M992" s="35" t="s">
        <v>21</v>
      </c>
      <c r="N992" s="35">
        <v>3</v>
      </c>
      <c r="O992" s="35" t="s">
        <v>340</v>
      </c>
      <c r="P992" s="35">
        <v>6</v>
      </c>
    </row>
    <row r="993" spans="1:16" ht="15.75" customHeight="1" x14ac:dyDescent="0.3">
      <c r="A993" s="35" t="s">
        <v>2260</v>
      </c>
      <c r="B993" s="35" t="s">
        <v>2261</v>
      </c>
      <c r="C993" s="35" t="s">
        <v>195</v>
      </c>
      <c r="D993" s="35" t="s">
        <v>43</v>
      </c>
      <c r="E993" s="35" t="s">
        <v>20</v>
      </c>
      <c r="F993" s="35">
        <v>10</v>
      </c>
      <c r="G993" s="35">
        <v>3972.18</v>
      </c>
      <c r="H993" s="35">
        <v>39721.800000000003</v>
      </c>
      <c r="I993" s="35">
        <v>32617.759999999998</v>
      </c>
      <c r="J993" s="35">
        <v>7104.04</v>
      </c>
      <c r="K993" s="37">
        <v>46006</v>
      </c>
      <c r="L993" s="37">
        <v>46014</v>
      </c>
      <c r="M993" s="35" t="s">
        <v>69</v>
      </c>
      <c r="N993" s="35">
        <v>4</v>
      </c>
      <c r="O993" s="35" t="s">
        <v>858</v>
      </c>
      <c r="P993" s="35">
        <v>7.2</v>
      </c>
    </row>
    <row r="994" spans="1:16" ht="15.75" customHeight="1" x14ac:dyDescent="0.3">
      <c r="A994" s="35" t="s">
        <v>2262</v>
      </c>
      <c r="B994" s="35" t="s">
        <v>2263</v>
      </c>
      <c r="C994" s="35" t="s">
        <v>88</v>
      </c>
      <c r="D994" s="35" t="s">
        <v>31</v>
      </c>
      <c r="E994" s="35" t="s">
        <v>20</v>
      </c>
      <c r="F994" s="35">
        <v>4</v>
      </c>
      <c r="G994" s="35">
        <v>3087.66</v>
      </c>
      <c r="H994" s="35">
        <v>12350.64</v>
      </c>
      <c r="I994" s="35">
        <v>7077.18</v>
      </c>
      <c r="J994" s="35">
        <v>5273.46</v>
      </c>
      <c r="K994" s="37">
        <v>45861</v>
      </c>
      <c r="L994" s="37">
        <v>45871</v>
      </c>
      <c r="M994" s="35" t="s">
        <v>26</v>
      </c>
      <c r="N994" s="35">
        <v>5</v>
      </c>
      <c r="O994" s="35" t="s">
        <v>151</v>
      </c>
      <c r="P994" s="35">
        <v>8.6999999999999993</v>
      </c>
    </row>
    <row r="995" spans="1:16" ht="15.75" customHeight="1" x14ac:dyDescent="0.3">
      <c r="A995" s="35" t="s">
        <v>2264</v>
      </c>
      <c r="B995" s="35" t="s">
        <v>2265</v>
      </c>
      <c r="C995" s="35" t="s">
        <v>18</v>
      </c>
      <c r="D995" s="35" t="s">
        <v>19</v>
      </c>
      <c r="E995" s="35" t="s">
        <v>25</v>
      </c>
      <c r="F995" s="35">
        <v>15</v>
      </c>
      <c r="G995" s="35">
        <v>1409.72</v>
      </c>
      <c r="H995" s="35">
        <v>21145.8</v>
      </c>
      <c r="I995" s="35">
        <v>14732.55</v>
      </c>
      <c r="J995" s="35">
        <v>6413.25</v>
      </c>
      <c r="K995" s="37">
        <v>46065</v>
      </c>
      <c r="L995" s="37">
        <v>46074</v>
      </c>
      <c r="M995" s="35" t="s">
        <v>58</v>
      </c>
      <c r="N995" s="35">
        <v>1</v>
      </c>
      <c r="O995" s="35" t="s">
        <v>455</v>
      </c>
      <c r="P995" s="35">
        <v>6.6</v>
      </c>
    </row>
    <row r="996" spans="1:16" ht="15.75" customHeight="1" x14ac:dyDescent="0.3">
      <c r="A996" s="35" t="s">
        <v>2266</v>
      </c>
      <c r="B996" s="35" t="s">
        <v>2267</v>
      </c>
      <c r="C996" s="35" t="s">
        <v>168</v>
      </c>
      <c r="D996" s="35" t="s">
        <v>43</v>
      </c>
      <c r="E996" s="35" t="s">
        <v>44</v>
      </c>
      <c r="F996" s="35">
        <v>11</v>
      </c>
      <c r="G996" s="35">
        <v>4684.12</v>
      </c>
      <c r="H996" s="35">
        <v>51525.32</v>
      </c>
      <c r="I996" s="35">
        <v>38936.71</v>
      </c>
      <c r="J996" s="35">
        <v>12588.61</v>
      </c>
      <c r="K996" s="37">
        <v>45833</v>
      </c>
      <c r="L996" s="37">
        <v>45843</v>
      </c>
      <c r="M996" s="35" t="s">
        <v>26</v>
      </c>
      <c r="N996" s="35">
        <v>1</v>
      </c>
      <c r="O996" s="35" t="s">
        <v>1017</v>
      </c>
      <c r="P996" s="35">
        <v>7.8</v>
      </c>
    </row>
    <row r="997" spans="1:16" ht="15.75" customHeight="1" x14ac:dyDescent="0.3">
      <c r="A997" s="35" t="s">
        <v>2268</v>
      </c>
      <c r="B997" s="35" t="s">
        <v>2269</v>
      </c>
      <c r="C997" s="35" t="s">
        <v>72</v>
      </c>
      <c r="D997" s="35" t="s">
        <v>31</v>
      </c>
      <c r="E997" s="35" t="s">
        <v>32</v>
      </c>
      <c r="F997" s="35">
        <v>17</v>
      </c>
      <c r="G997" s="35">
        <v>2927.41</v>
      </c>
      <c r="H997" s="35">
        <v>49765.97</v>
      </c>
      <c r="I997" s="35">
        <v>26765.69</v>
      </c>
      <c r="J997" s="35">
        <v>23000.28</v>
      </c>
      <c r="K997" s="37">
        <v>45707</v>
      </c>
      <c r="L997" s="37">
        <v>45717</v>
      </c>
      <c r="M997" s="35" t="s">
        <v>181</v>
      </c>
      <c r="N997" s="35">
        <v>4</v>
      </c>
      <c r="O997" s="35" t="s">
        <v>512</v>
      </c>
      <c r="P997" s="35">
        <v>8.6</v>
      </c>
    </row>
    <row r="998" spans="1:16" ht="15.75" customHeight="1" x14ac:dyDescent="0.3">
      <c r="A998" s="35" t="s">
        <v>2270</v>
      </c>
      <c r="B998" s="35" t="s">
        <v>2271</v>
      </c>
      <c r="C998" s="35" t="s">
        <v>18</v>
      </c>
      <c r="D998" s="35" t="s">
        <v>19</v>
      </c>
      <c r="E998" s="35" t="s">
        <v>44</v>
      </c>
      <c r="F998" s="35">
        <v>19</v>
      </c>
      <c r="G998" s="35">
        <v>285.72000000000003</v>
      </c>
      <c r="H998" s="35">
        <v>5428.68</v>
      </c>
      <c r="I998" s="35">
        <v>2882.01</v>
      </c>
      <c r="J998" s="35">
        <v>2546.67</v>
      </c>
      <c r="K998" s="37">
        <v>45891</v>
      </c>
      <c r="L998" s="37">
        <v>45893</v>
      </c>
      <c r="M998" s="35" t="s">
        <v>45</v>
      </c>
      <c r="N998" s="35">
        <v>5</v>
      </c>
      <c r="O998" s="35" t="s">
        <v>446</v>
      </c>
      <c r="P998" s="35">
        <v>6.3</v>
      </c>
    </row>
    <row r="999" spans="1:16" ht="15.75" customHeight="1" x14ac:dyDescent="0.3">
      <c r="A999" s="35" t="s">
        <v>2272</v>
      </c>
      <c r="B999" s="35" t="s">
        <v>2273</v>
      </c>
      <c r="C999" s="35" t="s">
        <v>30</v>
      </c>
      <c r="D999" s="35" t="s">
        <v>31</v>
      </c>
      <c r="E999" s="35" t="s">
        <v>32</v>
      </c>
      <c r="F999" s="35">
        <v>3</v>
      </c>
      <c r="G999" s="35">
        <v>3368.58</v>
      </c>
      <c r="H999" s="35">
        <v>10105.74</v>
      </c>
      <c r="I999" s="35">
        <v>7113.95</v>
      </c>
      <c r="J999" s="35">
        <v>2991.79</v>
      </c>
      <c r="K999" s="37">
        <v>45843</v>
      </c>
      <c r="L999" s="37">
        <v>45848</v>
      </c>
      <c r="M999" s="35" t="s">
        <v>181</v>
      </c>
      <c r="N999" s="35">
        <v>2</v>
      </c>
      <c r="O999" s="35" t="s">
        <v>923</v>
      </c>
      <c r="P999" s="35">
        <v>6.3</v>
      </c>
    </row>
    <row r="1000" spans="1:16" ht="15.75" customHeight="1" x14ac:dyDescent="0.3">
      <c r="A1000" s="35" t="s">
        <v>2274</v>
      </c>
      <c r="B1000" s="35" t="s">
        <v>2275</v>
      </c>
      <c r="C1000" s="35" t="s">
        <v>88</v>
      </c>
      <c r="D1000" s="35" t="s">
        <v>31</v>
      </c>
      <c r="E1000" s="35" t="s">
        <v>32</v>
      </c>
      <c r="F1000" s="35">
        <v>17</v>
      </c>
      <c r="G1000" s="35">
        <v>1622.6</v>
      </c>
      <c r="H1000" s="35">
        <v>27584.2</v>
      </c>
      <c r="I1000" s="35">
        <v>20341.689999999999</v>
      </c>
      <c r="J1000" s="35">
        <v>7242.51</v>
      </c>
      <c r="K1000" s="37">
        <v>46058</v>
      </c>
      <c r="L1000" s="37">
        <v>46064</v>
      </c>
      <c r="M1000" s="35" t="s">
        <v>21</v>
      </c>
      <c r="N1000" s="35">
        <v>4</v>
      </c>
      <c r="O1000" s="35" t="s">
        <v>683</v>
      </c>
      <c r="P1000" s="35">
        <v>7</v>
      </c>
    </row>
    <row r="1001" spans="1:16" ht="15.75" customHeight="1" x14ac:dyDescent="0.3">
      <c r="A1001" s="35" t="s">
        <v>2276</v>
      </c>
      <c r="B1001" s="35" t="s">
        <v>2277</v>
      </c>
      <c r="C1001" s="35" t="s">
        <v>88</v>
      </c>
      <c r="D1001" s="35" t="s">
        <v>31</v>
      </c>
      <c r="E1001" s="35" t="s">
        <v>32</v>
      </c>
      <c r="F1001" s="35">
        <v>16</v>
      </c>
      <c r="G1001" s="35">
        <v>3752.49</v>
      </c>
      <c r="H1001" s="35">
        <v>60039.839999999997</v>
      </c>
      <c r="I1001" s="35">
        <v>36366.230000000003</v>
      </c>
      <c r="J1001" s="35">
        <v>23673.61</v>
      </c>
      <c r="K1001" s="37">
        <v>45821</v>
      </c>
      <c r="L1001" s="37">
        <v>45827</v>
      </c>
      <c r="M1001" s="35" t="s">
        <v>45</v>
      </c>
      <c r="N1001" s="35">
        <v>4</v>
      </c>
      <c r="O1001" s="35" t="s">
        <v>343</v>
      </c>
      <c r="P1001" s="35">
        <v>6.4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39B6-9AEB-410C-B7F0-20C168E9EE4C}">
  <dimension ref="B1:G994"/>
  <sheetViews>
    <sheetView zoomScale="60" zoomScaleNormal="60" workbookViewId="0">
      <selection activeCell="J14" sqref="J14"/>
    </sheetView>
  </sheetViews>
  <sheetFormatPr defaultRowHeight="14.4" x14ac:dyDescent="0.3"/>
  <cols>
    <col min="2" max="2" width="31" bestFit="1" customWidth="1"/>
    <col min="3" max="3" width="25.109375" customWidth="1"/>
    <col min="4" max="4" width="34.21875" customWidth="1"/>
    <col min="5" max="5" width="20.33203125" customWidth="1"/>
    <col min="6" max="6" width="21.21875" customWidth="1"/>
    <col min="13" max="13" width="8.88671875" customWidth="1"/>
  </cols>
  <sheetData>
    <row r="1" spans="2:7" x14ac:dyDescent="0.3">
      <c r="B1" s="10">
        <f>COUNTA(_xlfn.ANCHORARRAY(B3))</f>
        <v>992</v>
      </c>
      <c r="C1" s="10">
        <f>COUNTA(_xlfn.ANCHORARRAY(C3))</f>
        <v>15</v>
      </c>
      <c r="D1" s="10">
        <f>COUNTA(_xlfn.ANCHORARRAY(D3))</f>
        <v>3</v>
      </c>
      <c r="E1" s="10">
        <f>COUNTA(_xlfn.ANCHORARRAY(E3))</f>
        <v>4</v>
      </c>
      <c r="F1" s="10">
        <f>COUNTA(_xlfn.ANCHORARRAY(F3))</f>
        <v>10</v>
      </c>
    </row>
    <row r="2" spans="2:7" x14ac:dyDescent="0.3">
      <c r="B2" s="34" t="s">
        <v>2278</v>
      </c>
      <c r="C2" s="34" t="s">
        <v>2279</v>
      </c>
      <c r="D2" s="34" t="s">
        <v>2280</v>
      </c>
      <c r="E2" s="60" t="s">
        <v>2281</v>
      </c>
      <c r="F2" s="34" t="s">
        <v>2282</v>
      </c>
      <c r="G2" s="2"/>
    </row>
    <row r="3" spans="2:7" x14ac:dyDescent="0.3">
      <c r="B3" s="13" t="str" cm="1">
        <f t="array" ref="B3:B994">_xlfn.UNIQUE('RETAIL SALES DATA.'!$B$2:$B$1001)</f>
        <v>Michael Winters</v>
      </c>
      <c r="C3" s="13" t="str" cm="1">
        <f t="array" ref="C3:C17">_xlfn.UNIQUE('RETAIL SALES DATA.'!$C$2:$C$1001)</f>
        <v>Pen</v>
      </c>
      <c r="D3" s="13" t="str" cm="1">
        <f t="array" ref="D3:D5">_xlfn.UNIQUE('RETAIL SALES DATA.'!$D$2:$D$1001)</f>
        <v>Office Supplies</v>
      </c>
      <c r="E3" s="42" t="str" cm="1">
        <f t="array" ref="E3:E6">_xlfn.UNIQUE('RETAIL SALES DATA.'!$E$2:$E$1001)</f>
        <v>South</v>
      </c>
      <c r="F3" s="13" t="str" cm="1">
        <f t="array" ref="F3:F12">_xlfn.UNIQUE('RETAIL SALES DATA.'!$M$2:$M$1001)</f>
        <v>Rahul</v>
      </c>
    </row>
    <row r="4" spans="2:7" x14ac:dyDescent="0.3">
      <c r="B4" s="13" t="str">
        <v>James Olson</v>
      </c>
      <c r="C4" s="13" t="str">
        <v>Desk</v>
      </c>
      <c r="D4" s="13" t="str">
        <v>Furniture</v>
      </c>
      <c r="E4" s="42" t="str">
        <v>North</v>
      </c>
      <c r="F4" s="13" t="str">
        <v>Megha</v>
      </c>
    </row>
    <row r="5" spans="2:7" x14ac:dyDescent="0.3">
      <c r="B5" s="13" t="str">
        <v>Brittney Simmons</v>
      </c>
      <c r="C5" s="13" t="str">
        <v>Marker</v>
      </c>
      <c r="D5" s="13" t="str">
        <v>Electronics</v>
      </c>
      <c r="E5" s="42" t="str">
        <v>West</v>
      </c>
      <c r="F5" s="13" t="str">
        <v>Arun</v>
      </c>
    </row>
    <row r="6" spans="2:7" x14ac:dyDescent="0.3">
      <c r="B6" s="13" t="str">
        <v>Courtney Park</v>
      </c>
      <c r="C6" s="13" t="str">
        <v>Laptop</v>
      </c>
      <c r="D6" s="13"/>
      <c r="E6" s="42" t="str">
        <v>East</v>
      </c>
      <c r="F6" s="13" t="str">
        <v>Vivek</v>
      </c>
    </row>
    <row r="7" spans="2:7" x14ac:dyDescent="0.3">
      <c r="B7" s="13" t="str">
        <v>Chloe Villa</v>
      </c>
      <c r="C7" s="13" t="str">
        <v>Mouse</v>
      </c>
      <c r="D7" s="13"/>
      <c r="E7" s="42"/>
      <c r="F7" s="13" t="str">
        <v>Diya</v>
      </c>
    </row>
    <row r="8" spans="2:7" x14ac:dyDescent="0.3">
      <c r="B8" s="13" t="str">
        <v>Erin Ross</v>
      </c>
      <c r="C8" s="13" t="str">
        <v>Notebook</v>
      </c>
      <c r="D8" s="13"/>
      <c r="E8" s="42"/>
      <c r="F8" s="13" t="str">
        <v>Fathima</v>
      </c>
    </row>
    <row r="9" spans="2:7" x14ac:dyDescent="0.3">
      <c r="B9" s="13" t="str">
        <v>Ryan Brown</v>
      </c>
      <c r="C9" s="13" t="str">
        <v>Table</v>
      </c>
      <c r="D9" s="13"/>
      <c r="E9" s="42"/>
      <c r="F9" s="13" t="str">
        <v>Sneha</v>
      </c>
    </row>
    <row r="10" spans="2:7" x14ac:dyDescent="0.3">
      <c r="B10" s="13" t="str">
        <v>Keith Winters</v>
      </c>
      <c r="C10" s="13" t="str">
        <v>Chair</v>
      </c>
      <c r="D10" s="13"/>
      <c r="E10" s="42"/>
      <c r="F10" s="13" t="str">
        <v>Akhil</v>
      </c>
    </row>
    <row r="11" spans="2:7" x14ac:dyDescent="0.3">
      <c r="B11" s="13" t="str">
        <v>Richard Payne</v>
      </c>
      <c r="C11" s="13" t="str">
        <v>Cupboard</v>
      </c>
      <c r="D11" s="13"/>
      <c r="E11" s="42"/>
      <c r="F11" s="13" t="str">
        <v>Nikhil</v>
      </c>
    </row>
    <row r="12" spans="2:7" x14ac:dyDescent="0.3">
      <c r="B12" s="13" t="str">
        <v>Cory Roberson</v>
      </c>
      <c r="C12" s="13" t="str">
        <v>Printer</v>
      </c>
      <c r="D12" s="13"/>
      <c r="E12" s="42"/>
      <c r="F12" s="13" t="str">
        <v>Anjali</v>
      </c>
    </row>
    <row r="13" spans="2:7" x14ac:dyDescent="0.3">
      <c r="B13" s="13" t="str">
        <v>Amanda Cox</v>
      </c>
      <c r="C13" s="13" t="str">
        <v>Sofa</v>
      </c>
      <c r="D13" s="13"/>
      <c r="E13" s="42"/>
      <c r="F13" s="13"/>
    </row>
    <row r="14" spans="2:7" x14ac:dyDescent="0.3">
      <c r="B14" s="13" t="str">
        <v>Joseph Allison</v>
      </c>
      <c r="C14" s="13" t="str">
        <v>File</v>
      </c>
      <c r="D14" s="13"/>
      <c r="E14" s="42"/>
      <c r="F14" s="13"/>
    </row>
    <row r="15" spans="2:7" x14ac:dyDescent="0.3">
      <c r="B15" s="13" t="str">
        <v>Sarah Hernandez</v>
      </c>
      <c r="C15" s="13" t="str">
        <v>Keyboard</v>
      </c>
      <c r="D15" s="13"/>
      <c r="E15" s="42"/>
      <c r="F15" s="13"/>
    </row>
    <row r="16" spans="2:7" x14ac:dyDescent="0.3">
      <c r="B16" s="13" t="str">
        <v>John Dixon</v>
      </c>
      <c r="C16" s="13" t="str">
        <v>Monitor</v>
      </c>
      <c r="D16" s="13"/>
      <c r="E16" s="42"/>
      <c r="F16" s="13"/>
    </row>
    <row r="17" spans="2:6" x14ac:dyDescent="0.3">
      <c r="B17" s="13" t="str">
        <v>Javier Cole</v>
      </c>
      <c r="C17" s="13" t="str">
        <v>Smartphone</v>
      </c>
      <c r="D17" s="13"/>
      <c r="E17" s="42"/>
      <c r="F17" s="13"/>
    </row>
    <row r="18" spans="2:6" x14ac:dyDescent="0.3">
      <c r="B18" s="13" t="str">
        <v>Nathan Kline</v>
      </c>
      <c r="C18" s="13"/>
      <c r="D18" s="13"/>
      <c r="E18" s="42"/>
      <c r="F18" s="13"/>
    </row>
    <row r="19" spans="2:6" x14ac:dyDescent="0.3">
      <c r="B19" s="13" t="str">
        <v>Miss Christina Taylor</v>
      </c>
      <c r="C19" s="13"/>
      <c r="D19" s="13"/>
      <c r="E19" s="42"/>
      <c r="F19" s="13"/>
    </row>
    <row r="20" spans="2:6" x14ac:dyDescent="0.3">
      <c r="B20" s="13" t="str">
        <v>Martin Morton</v>
      </c>
      <c r="C20" s="13"/>
      <c r="D20" s="13"/>
      <c r="E20" s="42"/>
      <c r="F20" s="13"/>
    </row>
    <row r="21" spans="2:6" x14ac:dyDescent="0.3">
      <c r="B21" s="13" t="str">
        <v>Adam Mullins</v>
      </c>
      <c r="C21" s="13"/>
      <c r="D21" s="13"/>
      <c r="E21" s="42"/>
      <c r="F21" s="13"/>
    </row>
    <row r="22" spans="2:6" x14ac:dyDescent="0.3">
      <c r="B22" s="13" t="str">
        <v>Sean Rodriguez</v>
      </c>
      <c r="C22" s="13"/>
      <c r="D22" s="13"/>
      <c r="E22" s="42"/>
      <c r="F22" s="13"/>
    </row>
    <row r="23" spans="2:6" x14ac:dyDescent="0.3">
      <c r="B23" s="13" t="str">
        <v>Joseph Mora</v>
      </c>
      <c r="C23" s="13"/>
      <c r="D23" s="13"/>
      <c r="E23" s="42"/>
      <c r="F23" s="13"/>
    </row>
    <row r="24" spans="2:6" x14ac:dyDescent="0.3">
      <c r="B24" s="13" t="str">
        <v>Deborah Hernandez</v>
      </c>
      <c r="C24" s="13"/>
      <c r="D24" s="13"/>
      <c r="E24" s="42"/>
      <c r="F24" s="13"/>
    </row>
    <row r="25" spans="2:6" x14ac:dyDescent="0.3">
      <c r="B25" s="13" t="str">
        <v>Elizabeth Moore</v>
      </c>
      <c r="C25" s="13"/>
      <c r="D25" s="13"/>
      <c r="E25" s="42"/>
      <c r="F25" s="13"/>
    </row>
    <row r="26" spans="2:6" x14ac:dyDescent="0.3">
      <c r="B26" s="13" t="str">
        <v>Melissa Davis</v>
      </c>
      <c r="C26" s="13"/>
      <c r="D26" s="13"/>
      <c r="E26" s="42"/>
      <c r="F26" s="13"/>
    </row>
    <row r="27" spans="2:6" x14ac:dyDescent="0.3">
      <c r="B27" s="13" t="str">
        <v>Andrew Gould</v>
      </c>
      <c r="C27" s="13"/>
      <c r="D27" s="13"/>
      <c r="E27" s="42"/>
      <c r="F27" s="13"/>
    </row>
    <row r="28" spans="2:6" x14ac:dyDescent="0.3">
      <c r="B28" s="13" t="str">
        <v>Glen Scott</v>
      </c>
      <c r="C28" s="13"/>
      <c r="D28" s="13"/>
      <c r="E28" s="42"/>
      <c r="F28" s="13"/>
    </row>
    <row r="29" spans="2:6" x14ac:dyDescent="0.3">
      <c r="B29" s="13" t="str">
        <v>Isaac Fisher</v>
      </c>
      <c r="C29" s="13"/>
      <c r="D29" s="13"/>
      <c r="E29" s="42"/>
      <c r="F29" s="13"/>
    </row>
    <row r="30" spans="2:6" x14ac:dyDescent="0.3">
      <c r="B30" s="13" t="str">
        <v>Matthew Hanson</v>
      </c>
      <c r="C30" s="13"/>
      <c r="D30" s="13"/>
      <c r="E30" s="42"/>
      <c r="F30" s="13"/>
    </row>
    <row r="31" spans="2:6" x14ac:dyDescent="0.3">
      <c r="B31" s="13" t="str">
        <v>Jamie Benton</v>
      </c>
      <c r="C31" s="13"/>
      <c r="D31" s="13"/>
      <c r="E31" s="42"/>
      <c r="F31" s="13"/>
    </row>
    <row r="32" spans="2:6" x14ac:dyDescent="0.3">
      <c r="B32" s="13" t="str">
        <v>Kristy Sullivan</v>
      </c>
      <c r="C32" s="13"/>
      <c r="D32" s="13"/>
      <c r="E32" s="42"/>
      <c r="F32" s="13"/>
    </row>
    <row r="33" spans="2:6" x14ac:dyDescent="0.3">
      <c r="B33" s="13" t="str">
        <v>Carolyn Scott</v>
      </c>
      <c r="C33" s="13"/>
      <c r="D33" s="13"/>
      <c r="E33" s="42"/>
      <c r="F33" s="13"/>
    </row>
    <row r="34" spans="2:6" x14ac:dyDescent="0.3">
      <c r="B34" s="13" t="str">
        <v>Mary Day</v>
      </c>
      <c r="C34" s="13"/>
      <c r="D34" s="13"/>
      <c r="E34" s="42"/>
      <c r="F34" s="13"/>
    </row>
    <row r="35" spans="2:6" x14ac:dyDescent="0.3">
      <c r="B35" s="13" t="str">
        <v>Matthew Fernandez</v>
      </c>
      <c r="C35" s="13"/>
      <c r="D35" s="13"/>
      <c r="E35" s="42"/>
      <c r="F35" s="13"/>
    </row>
    <row r="36" spans="2:6" x14ac:dyDescent="0.3">
      <c r="B36" s="13" t="str">
        <v>Tonya Gallegos</v>
      </c>
      <c r="C36" s="13"/>
      <c r="D36" s="13"/>
      <c r="E36" s="42"/>
      <c r="F36" s="13"/>
    </row>
    <row r="37" spans="2:6" x14ac:dyDescent="0.3">
      <c r="B37" s="13" t="str">
        <v>Jody Black</v>
      </c>
      <c r="C37" s="13"/>
      <c r="D37" s="13"/>
      <c r="E37" s="42"/>
      <c r="F37" s="13"/>
    </row>
    <row r="38" spans="2:6" x14ac:dyDescent="0.3">
      <c r="B38" s="13" t="str">
        <v>Laurie Flores</v>
      </c>
      <c r="C38" s="13"/>
      <c r="D38" s="13"/>
      <c r="E38" s="42"/>
      <c r="F38" s="13"/>
    </row>
    <row r="39" spans="2:6" x14ac:dyDescent="0.3">
      <c r="B39" s="13" t="str">
        <v>Charles Logan</v>
      </c>
      <c r="C39" s="13"/>
      <c r="D39" s="13"/>
      <c r="E39" s="42"/>
      <c r="F39" s="13"/>
    </row>
    <row r="40" spans="2:6" x14ac:dyDescent="0.3">
      <c r="B40" s="13" t="str">
        <v>Lori Petersen</v>
      </c>
      <c r="C40" s="13"/>
      <c r="D40" s="13"/>
      <c r="E40" s="42"/>
      <c r="F40" s="13"/>
    </row>
    <row r="41" spans="2:6" x14ac:dyDescent="0.3">
      <c r="B41" s="13" t="str">
        <v>Roger Gutierrez</v>
      </c>
      <c r="C41" s="13"/>
      <c r="D41" s="13"/>
      <c r="E41" s="42"/>
      <c r="F41" s="13"/>
    </row>
    <row r="42" spans="2:6" x14ac:dyDescent="0.3">
      <c r="B42" s="13" t="str">
        <v>Arthur Anderson</v>
      </c>
      <c r="C42" s="13"/>
      <c r="D42" s="13"/>
      <c r="E42" s="42"/>
      <c r="F42" s="13"/>
    </row>
    <row r="43" spans="2:6" x14ac:dyDescent="0.3">
      <c r="B43" s="13" t="str">
        <v>April Schmidt</v>
      </c>
      <c r="C43" s="13"/>
      <c r="D43" s="13"/>
      <c r="E43" s="42"/>
      <c r="F43" s="13"/>
    </row>
    <row r="44" spans="2:6" x14ac:dyDescent="0.3">
      <c r="B44" s="13" t="str">
        <v>Amanda Holmes</v>
      </c>
      <c r="C44" s="13"/>
      <c r="D44" s="13"/>
      <c r="E44" s="42"/>
      <c r="F44" s="13"/>
    </row>
    <row r="45" spans="2:6" x14ac:dyDescent="0.3">
      <c r="B45" s="13" t="str">
        <v>Emily Norton</v>
      </c>
      <c r="C45" s="13"/>
      <c r="D45" s="13"/>
      <c r="E45" s="42"/>
      <c r="F45" s="13"/>
    </row>
    <row r="46" spans="2:6" x14ac:dyDescent="0.3">
      <c r="B46" s="13" t="str">
        <v>Rachel Hooper</v>
      </c>
      <c r="C46" s="13"/>
      <c r="D46" s="13"/>
      <c r="E46" s="42"/>
      <c r="F46" s="13"/>
    </row>
    <row r="47" spans="2:6" x14ac:dyDescent="0.3">
      <c r="B47" s="13" t="str">
        <v>Douglas Herman</v>
      </c>
      <c r="C47" s="13"/>
      <c r="D47" s="13"/>
      <c r="E47" s="42"/>
      <c r="F47" s="13"/>
    </row>
    <row r="48" spans="2:6" x14ac:dyDescent="0.3">
      <c r="B48" s="13" t="str">
        <v>Rebecca Hawkins</v>
      </c>
      <c r="C48" s="13"/>
      <c r="D48" s="13"/>
      <c r="E48" s="42"/>
      <c r="F48" s="13"/>
    </row>
    <row r="49" spans="2:6" x14ac:dyDescent="0.3">
      <c r="B49" s="13" t="str">
        <v>Shannon Harris</v>
      </c>
      <c r="C49" s="13"/>
      <c r="D49" s="13"/>
      <c r="E49" s="42"/>
      <c r="F49" s="13"/>
    </row>
    <row r="50" spans="2:6" x14ac:dyDescent="0.3">
      <c r="B50" s="13" t="str">
        <v>Jennifer Maxwell</v>
      </c>
      <c r="C50" s="13"/>
      <c r="D50" s="13"/>
      <c r="E50" s="42"/>
      <c r="F50" s="13"/>
    </row>
    <row r="51" spans="2:6" x14ac:dyDescent="0.3">
      <c r="B51" s="13" t="str">
        <v>Melissa Edwards</v>
      </c>
      <c r="C51" s="13"/>
      <c r="D51" s="13"/>
      <c r="E51" s="42"/>
      <c r="F51" s="13"/>
    </row>
    <row r="52" spans="2:6" x14ac:dyDescent="0.3">
      <c r="B52" s="13" t="str">
        <v>Heather Campbell</v>
      </c>
      <c r="C52" s="13"/>
      <c r="D52" s="13"/>
      <c r="E52" s="42"/>
      <c r="F52" s="13"/>
    </row>
    <row r="53" spans="2:6" x14ac:dyDescent="0.3">
      <c r="B53" s="13" t="str">
        <v>James Green</v>
      </c>
      <c r="C53" s="13"/>
      <c r="D53" s="13"/>
      <c r="E53" s="42"/>
      <c r="F53" s="13"/>
    </row>
    <row r="54" spans="2:6" x14ac:dyDescent="0.3">
      <c r="B54" s="13" t="str">
        <v>Ashley Bowman</v>
      </c>
      <c r="C54" s="13"/>
      <c r="D54" s="13"/>
      <c r="E54" s="42"/>
      <c r="F54" s="13"/>
    </row>
    <row r="55" spans="2:6" x14ac:dyDescent="0.3">
      <c r="B55" s="13" t="str">
        <v>William Allen</v>
      </c>
      <c r="C55" s="13"/>
      <c r="D55" s="13"/>
      <c r="E55" s="42"/>
      <c r="F55" s="13"/>
    </row>
    <row r="56" spans="2:6" x14ac:dyDescent="0.3">
      <c r="B56" s="13" t="str">
        <v>Christina Henderson</v>
      </c>
      <c r="C56" s="13"/>
      <c r="D56" s="13"/>
      <c r="E56" s="42"/>
      <c r="F56" s="13"/>
    </row>
    <row r="57" spans="2:6" x14ac:dyDescent="0.3">
      <c r="B57" s="13" t="str">
        <v>Brian Simon</v>
      </c>
      <c r="C57" s="13"/>
      <c r="D57" s="13"/>
      <c r="E57" s="42"/>
      <c r="F57" s="13"/>
    </row>
    <row r="58" spans="2:6" x14ac:dyDescent="0.3">
      <c r="B58" s="13" t="str">
        <v>Marc Martinez</v>
      </c>
      <c r="C58" s="13"/>
      <c r="D58" s="13"/>
      <c r="E58" s="42"/>
      <c r="F58" s="13"/>
    </row>
    <row r="59" spans="2:6" x14ac:dyDescent="0.3">
      <c r="B59" s="13" t="str">
        <v>Rose Garcia</v>
      </c>
      <c r="C59" s="13"/>
      <c r="D59" s="13"/>
      <c r="E59" s="42"/>
      <c r="F59" s="13"/>
    </row>
    <row r="60" spans="2:6" x14ac:dyDescent="0.3">
      <c r="B60" s="13" t="str">
        <v>Christopher Richardson</v>
      </c>
      <c r="C60" s="13"/>
      <c r="D60" s="13"/>
      <c r="E60" s="42"/>
      <c r="F60" s="13"/>
    </row>
    <row r="61" spans="2:6" x14ac:dyDescent="0.3">
      <c r="B61" s="13" t="str">
        <v>Larry Johnson</v>
      </c>
      <c r="C61" s="13"/>
      <c r="D61" s="13"/>
      <c r="E61" s="42"/>
      <c r="F61" s="13"/>
    </row>
    <row r="62" spans="2:6" x14ac:dyDescent="0.3">
      <c r="B62" s="13" t="str">
        <v>Mark Yang</v>
      </c>
      <c r="C62" s="13"/>
      <c r="D62" s="13"/>
      <c r="E62" s="42"/>
      <c r="F62" s="13"/>
    </row>
    <row r="63" spans="2:6" x14ac:dyDescent="0.3">
      <c r="B63" s="13" t="str">
        <v>Jill Garcia</v>
      </c>
      <c r="C63" s="13"/>
      <c r="D63" s="13"/>
      <c r="E63" s="42"/>
      <c r="F63" s="13"/>
    </row>
    <row r="64" spans="2:6" x14ac:dyDescent="0.3">
      <c r="B64" s="13" t="str">
        <v>Anne Rodriguez</v>
      </c>
      <c r="C64" s="13"/>
      <c r="D64" s="13"/>
      <c r="E64" s="42"/>
      <c r="F64" s="13"/>
    </row>
    <row r="65" spans="2:6" x14ac:dyDescent="0.3">
      <c r="B65" s="13" t="str">
        <v>Christopher Daniels</v>
      </c>
      <c r="C65" s="13"/>
      <c r="D65" s="13"/>
      <c r="E65" s="42"/>
      <c r="F65" s="13"/>
    </row>
    <row r="66" spans="2:6" x14ac:dyDescent="0.3">
      <c r="B66" s="13" t="str">
        <v>Joshua Stevenson</v>
      </c>
      <c r="C66" s="13"/>
      <c r="D66" s="13"/>
      <c r="E66" s="42"/>
      <c r="F66" s="13"/>
    </row>
    <row r="67" spans="2:6" x14ac:dyDescent="0.3">
      <c r="B67" s="13" t="str">
        <v>Caleb Schneider</v>
      </c>
      <c r="C67" s="13"/>
      <c r="D67" s="13"/>
      <c r="E67" s="42"/>
      <c r="F67" s="13"/>
    </row>
    <row r="68" spans="2:6" x14ac:dyDescent="0.3">
      <c r="B68" s="13" t="str">
        <v>Rhonda Stone</v>
      </c>
      <c r="C68" s="13"/>
      <c r="D68" s="13"/>
      <c r="E68" s="42"/>
      <c r="F68" s="13"/>
    </row>
    <row r="69" spans="2:6" x14ac:dyDescent="0.3">
      <c r="B69" s="13" t="str">
        <v>Ricky Conner</v>
      </c>
      <c r="C69" s="13"/>
      <c r="D69" s="13"/>
      <c r="E69" s="42"/>
      <c r="F69" s="13"/>
    </row>
    <row r="70" spans="2:6" x14ac:dyDescent="0.3">
      <c r="B70" s="13" t="str">
        <v>Alyssa Osborne</v>
      </c>
      <c r="C70" s="13"/>
      <c r="D70" s="13"/>
      <c r="E70" s="42"/>
      <c r="F70" s="13"/>
    </row>
    <row r="71" spans="2:6" x14ac:dyDescent="0.3">
      <c r="B71" s="13" t="str">
        <v>Travis Avila</v>
      </c>
      <c r="C71" s="13"/>
      <c r="D71" s="13"/>
      <c r="E71" s="42"/>
      <c r="F71" s="13"/>
    </row>
    <row r="72" spans="2:6" x14ac:dyDescent="0.3">
      <c r="B72" s="13" t="str">
        <v>Anthony Watts</v>
      </c>
      <c r="C72" s="13"/>
      <c r="D72" s="13"/>
      <c r="E72" s="42"/>
      <c r="F72" s="13"/>
    </row>
    <row r="73" spans="2:6" x14ac:dyDescent="0.3">
      <c r="B73" s="13" t="str">
        <v>Brenda Mitchell</v>
      </c>
      <c r="C73" s="13"/>
      <c r="D73" s="13"/>
      <c r="E73" s="42"/>
      <c r="F73" s="13"/>
    </row>
    <row r="74" spans="2:6" x14ac:dyDescent="0.3">
      <c r="B74" s="13" t="str">
        <v>Elizabeth Warren</v>
      </c>
      <c r="C74" s="13"/>
      <c r="D74" s="13"/>
      <c r="E74" s="42"/>
      <c r="F74" s="13"/>
    </row>
    <row r="75" spans="2:6" x14ac:dyDescent="0.3">
      <c r="B75" s="13" t="str">
        <v>Mrs. Annette Phillips</v>
      </c>
      <c r="C75" s="13"/>
      <c r="D75" s="13"/>
      <c r="E75" s="42"/>
      <c r="F75" s="13"/>
    </row>
    <row r="76" spans="2:6" x14ac:dyDescent="0.3">
      <c r="B76" s="13" t="str">
        <v>Brandon Ford</v>
      </c>
      <c r="C76" s="13"/>
      <c r="D76" s="13"/>
      <c r="E76" s="42"/>
      <c r="F76" s="13"/>
    </row>
    <row r="77" spans="2:6" x14ac:dyDescent="0.3">
      <c r="B77" s="13" t="str">
        <v>Shelia Hayes</v>
      </c>
      <c r="C77" s="13"/>
      <c r="D77" s="13"/>
      <c r="E77" s="42"/>
      <c r="F77" s="13"/>
    </row>
    <row r="78" spans="2:6" x14ac:dyDescent="0.3">
      <c r="B78" s="13" t="str">
        <v>John Williams</v>
      </c>
      <c r="C78" s="13"/>
      <c r="D78" s="13"/>
      <c r="E78" s="42"/>
      <c r="F78" s="13"/>
    </row>
    <row r="79" spans="2:6" x14ac:dyDescent="0.3">
      <c r="B79" s="13" t="str">
        <v>Stacy Davis</v>
      </c>
      <c r="C79" s="13"/>
      <c r="D79" s="13"/>
      <c r="E79" s="42"/>
      <c r="F79" s="13"/>
    </row>
    <row r="80" spans="2:6" x14ac:dyDescent="0.3">
      <c r="B80" s="13" t="str">
        <v>Deborah Fields</v>
      </c>
      <c r="C80" s="13"/>
      <c r="D80" s="13"/>
      <c r="E80" s="42"/>
      <c r="F80" s="13"/>
    </row>
    <row r="81" spans="2:6" x14ac:dyDescent="0.3">
      <c r="B81" s="13" t="str">
        <v>Shane Singleton</v>
      </c>
      <c r="C81" s="13"/>
      <c r="D81" s="13"/>
      <c r="E81" s="42"/>
      <c r="F81" s="13"/>
    </row>
    <row r="82" spans="2:6" x14ac:dyDescent="0.3">
      <c r="B82" s="13" t="str">
        <v>Robin Moore</v>
      </c>
      <c r="C82" s="13"/>
      <c r="D82" s="13"/>
      <c r="E82" s="42"/>
      <c r="F82" s="13"/>
    </row>
    <row r="83" spans="2:6" x14ac:dyDescent="0.3">
      <c r="B83" s="13" t="str">
        <v>Michael Rodriguez</v>
      </c>
      <c r="C83" s="13"/>
      <c r="D83" s="13"/>
      <c r="E83" s="42"/>
      <c r="F83" s="13"/>
    </row>
    <row r="84" spans="2:6" x14ac:dyDescent="0.3">
      <c r="B84" s="13" t="str">
        <v>Benjamin Cummings</v>
      </c>
      <c r="C84" s="13"/>
      <c r="D84" s="13"/>
      <c r="E84" s="42"/>
      <c r="F84" s="13"/>
    </row>
    <row r="85" spans="2:6" x14ac:dyDescent="0.3">
      <c r="B85" s="13" t="str">
        <v>Dale Cook</v>
      </c>
      <c r="C85" s="13"/>
      <c r="D85" s="13"/>
      <c r="E85" s="42"/>
      <c r="F85" s="13"/>
    </row>
    <row r="86" spans="2:6" x14ac:dyDescent="0.3">
      <c r="B86" s="13" t="str">
        <v>Nancy Scott</v>
      </c>
      <c r="C86" s="13"/>
      <c r="D86" s="13"/>
      <c r="E86" s="42"/>
      <c r="F86" s="13"/>
    </row>
    <row r="87" spans="2:6" x14ac:dyDescent="0.3">
      <c r="B87" s="13" t="str">
        <v>Juan Perry</v>
      </c>
      <c r="C87" s="13"/>
      <c r="D87" s="13"/>
      <c r="E87" s="42"/>
      <c r="F87" s="13"/>
    </row>
    <row r="88" spans="2:6" x14ac:dyDescent="0.3">
      <c r="B88" s="13" t="str">
        <v>Christopher Johnson</v>
      </c>
      <c r="C88" s="13"/>
      <c r="D88" s="13"/>
      <c r="E88" s="42"/>
      <c r="F88" s="13"/>
    </row>
    <row r="89" spans="2:6" x14ac:dyDescent="0.3">
      <c r="B89" s="13" t="str">
        <v>Christopher Noble</v>
      </c>
      <c r="C89" s="13"/>
      <c r="D89" s="13"/>
      <c r="E89" s="42"/>
      <c r="F89" s="13"/>
    </row>
    <row r="90" spans="2:6" x14ac:dyDescent="0.3">
      <c r="B90" s="13" t="str">
        <v>Alejandro Wilson</v>
      </c>
      <c r="C90" s="13"/>
      <c r="D90" s="13"/>
      <c r="E90" s="42"/>
      <c r="F90" s="13"/>
    </row>
    <row r="91" spans="2:6" x14ac:dyDescent="0.3">
      <c r="B91" s="13" t="str">
        <v>Raymond Perez</v>
      </c>
      <c r="C91" s="13"/>
      <c r="D91" s="13"/>
      <c r="E91" s="42"/>
      <c r="F91" s="13"/>
    </row>
    <row r="92" spans="2:6" x14ac:dyDescent="0.3">
      <c r="B92" s="13" t="str">
        <v>Tracy Parker</v>
      </c>
      <c r="C92" s="13"/>
      <c r="D92" s="13"/>
      <c r="E92" s="42"/>
      <c r="F92" s="13"/>
    </row>
    <row r="93" spans="2:6" x14ac:dyDescent="0.3">
      <c r="B93" s="13" t="str">
        <v>Katelyn Woods</v>
      </c>
      <c r="C93" s="13"/>
      <c r="D93" s="13"/>
      <c r="E93" s="42"/>
      <c r="F93" s="13"/>
    </row>
    <row r="94" spans="2:6" x14ac:dyDescent="0.3">
      <c r="B94" s="13" t="str">
        <v>Michael Lindsey</v>
      </c>
      <c r="C94" s="13"/>
      <c r="D94" s="13"/>
      <c r="E94" s="42"/>
      <c r="F94" s="13"/>
    </row>
    <row r="95" spans="2:6" x14ac:dyDescent="0.3">
      <c r="B95" s="13" t="str">
        <v>Jesse Davis</v>
      </c>
      <c r="C95" s="13"/>
      <c r="D95" s="13"/>
      <c r="E95" s="42"/>
      <c r="F95" s="13"/>
    </row>
    <row r="96" spans="2:6" x14ac:dyDescent="0.3">
      <c r="B96" s="13" t="str">
        <v>Katrina Hayes</v>
      </c>
      <c r="C96" s="13"/>
      <c r="D96" s="13"/>
      <c r="E96" s="42"/>
      <c r="F96" s="13"/>
    </row>
    <row r="97" spans="2:6" x14ac:dyDescent="0.3">
      <c r="B97" s="13" t="str">
        <v>Jason Weber</v>
      </c>
      <c r="C97" s="13"/>
      <c r="D97" s="13"/>
      <c r="E97" s="42"/>
      <c r="F97" s="13"/>
    </row>
    <row r="98" spans="2:6" x14ac:dyDescent="0.3">
      <c r="B98" s="13" t="str">
        <v>John Pope</v>
      </c>
      <c r="C98" s="13"/>
      <c r="D98" s="13"/>
      <c r="E98" s="42"/>
      <c r="F98" s="13"/>
    </row>
    <row r="99" spans="2:6" x14ac:dyDescent="0.3">
      <c r="B99" s="13" t="str">
        <v>Dean Herman</v>
      </c>
      <c r="C99" s="13"/>
      <c r="D99" s="13"/>
      <c r="E99" s="42"/>
      <c r="F99" s="13"/>
    </row>
    <row r="100" spans="2:6" x14ac:dyDescent="0.3">
      <c r="B100" s="13" t="str">
        <v>David Mendez</v>
      </c>
      <c r="C100" s="13"/>
      <c r="D100" s="13"/>
      <c r="E100" s="42"/>
      <c r="F100" s="13"/>
    </row>
    <row r="101" spans="2:6" x14ac:dyDescent="0.3">
      <c r="B101" s="13" t="str">
        <v>Joshua Carter</v>
      </c>
      <c r="C101" s="13"/>
      <c r="D101" s="13"/>
      <c r="E101" s="42"/>
      <c r="F101" s="13"/>
    </row>
    <row r="102" spans="2:6" x14ac:dyDescent="0.3">
      <c r="B102" s="13" t="str">
        <v>Lauren Alvarez</v>
      </c>
      <c r="C102" s="13"/>
      <c r="D102" s="13"/>
      <c r="E102" s="42"/>
      <c r="F102" s="13"/>
    </row>
    <row r="103" spans="2:6" x14ac:dyDescent="0.3">
      <c r="B103" s="13" t="str">
        <v>Mr. Roy Walton</v>
      </c>
      <c r="C103" s="13"/>
      <c r="D103" s="13"/>
      <c r="E103" s="42"/>
      <c r="F103" s="13"/>
    </row>
    <row r="104" spans="2:6" x14ac:dyDescent="0.3">
      <c r="B104" s="13" t="str">
        <v>Kaylee Cordova</v>
      </c>
      <c r="C104" s="13"/>
      <c r="D104" s="13"/>
      <c r="E104" s="42"/>
      <c r="F104" s="13"/>
    </row>
    <row r="105" spans="2:6" x14ac:dyDescent="0.3">
      <c r="B105" s="13" t="str">
        <v>Tyler Conner</v>
      </c>
      <c r="C105" s="13"/>
      <c r="D105" s="13"/>
      <c r="E105" s="42"/>
      <c r="F105" s="13"/>
    </row>
    <row r="106" spans="2:6" x14ac:dyDescent="0.3">
      <c r="B106" s="13" t="str">
        <v>Douglas Johnson</v>
      </c>
      <c r="C106" s="13"/>
      <c r="D106" s="13"/>
      <c r="E106" s="42"/>
      <c r="F106" s="13"/>
    </row>
    <row r="107" spans="2:6" x14ac:dyDescent="0.3">
      <c r="B107" s="13" t="str">
        <v>Todd Brock</v>
      </c>
      <c r="C107" s="13"/>
      <c r="D107" s="13"/>
      <c r="E107" s="42"/>
      <c r="F107" s="13"/>
    </row>
    <row r="108" spans="2:6" x14ac:dyDescent="0.3">
      <c r="B108" s="13" t="str">
        <v>Derek Bennett</v>
      </c>
      <c r="C108" s="13"/>
      <c r="D108" s="13"/>
      <c r="E108" s="42"/>
      <c r="F108" s="13"/>
    </row>
    <row r="109" spans="2:6" x14ac:dyDescent="0.3">
      <c r="B109" s="13" t="str">
        <v>Rachel Maldonado</v>
      </c>
      <c r="C109" s="13"/>
      <c r="D109" s="13"/>
      <c r="E109" s="42"/>
      <c r="F109" s="13"/>
    </row>
    <row r="110" spans="2:6" x14ac:dyDescent="0.3">
      <c r="B110" s="13" t="str">
        <v>Shelly Jones</v>
      </c>
      <c r="C110" s="13"/>
      <c r="D110" s="13"/>
      <c r="E110" s="42"/>
      <c r="F110" s="13"/>
    </row>
    <row r="111" spans="2:6" x14ac:dyDescent="0.3">
      <c r="B111" s="13" t="str">
        <v>Cindy Owens</v>
      </c>
      <c r="C111" s="13"/>
      <c r="D111" s="13"/>
      <c r="E111" s="42"/>
      <c r="F111" s="13"/>
    </row>
    <row r="112" spans="2:6" x14ac:dyDescent="0.3">
      <c r="B112" s="13" t="str">
        <v>Barbara Burgess</v>
      </c>
      <c r="C112" s="13"/>
      <c r="D112" s="13"/>
      <c r="E112" s="42"/>
      <c r="F112" s="13"/>
    </row>
    <row r="113" spans="2:6" x14ac:dyDescent="0.3">
      <c r="B113" s="13" t="str">
        <v>Kathleen Jones</v>
      </c>
      <c r="C113" s="13"/>
      <c r="D113" s="13"/>
      <c r="E113" s="42"/>
      <c r="F113" s="13"/>
    </row>
    <row r="114" spans="2:6" x14ac:dyDescent="0.3">
      <c r="B114" s="13" t="str">
        <v>Cole Li</v>
      </c>
      <c r="C114" s="13"/>
      <c r="D114" s="13"/>
      <c r="E114" s="42"/>
      <c r="F114" s="13"/>
    </row>
    <row r="115" spans="2:6" x14ac:dyDescent="0.3">
      <c r="B115" s="13" t="str">
        <v>Erika Rodriguez</v>
      </c>
      <c r="C115" s="13"/>
      <c r="D115" s="13"/>
      <c r="E115" s="42"/>
      <c r="F115" s="13"/>
    </row>
    <row r="116" spans="2:6" x14ac:dyDescent="0.3">
      <c r="B116" s="13" t="str">
        <v>Brooke Wright</v>
      </c>
      <c r="C116" s="13"/>
      <c r="D116" s="13"/>
      <c r="E116" s="42"/>
      <c r="F116" s="13"/>
    </row>
    <row r="117" spans="2:6" x14ac:dyDescent="0.3">
      <c r="B117" s="13" t="str">
        <v>James Lam</v>
      </c>
      <c r="C117" s="13"/>
      <c r="D117" s="13"/>
      <c r="E117" s="42"/>
      <c r="F117" s="13"/>
    </row>
    <row r="118" spans="2:6" x14ac:dyDescent="0.3">
      <c r="B118" s="13" t="str">
        <v>Blake Hicks</v>
      </c>
      <c r="C118" s="13"/>
      <c r="D118" s="13"/>
      <c r="E118" s="42"/>
      <c r="F118" s="13"/>
    </row>
    <row r="119" spans="2:6" x14ac:dyDescent="0.3">
      <c r="B119" s="13" t="str">
        <v>Elizabeth Garner</v>
      </c>
      <c r="C119" s="13"/>
      <c r="D119" s="13"/>
      <c r="E119" s="42"/>
      <c r="F119" s="13"/>
    </row>
    <row r="120" spans="2:6" x14ac:dyDescent="0.3">
      <c r="B120" s="13" t="str">
        <v>Nicole Rodriguez</v>
      </c>
      <c r="C120" s="13"/>
      <c r="D120" s="13"/>
      <c r="E120" s="42"/>
      <c r="F120" s="13"/>
    </row>
    <row r="121" spans="2:6" x14ac:dyDescent="0.3">
      <c r="B121" s="13" t="str">
        <v>Jennifer Henderson</v>
      </c>
      <c r="C121" s="13"/>
      <c r="D121" s="13"/>
      <c r="E121" s="42"/>
      <c r="F121" s="13"/>
    </row>
    <row r="122" spans="2:6" x14ac:dyDescent="0.3">
      <c r="B122" s="13" t="str">
        <v>Kevin Quinn</v>
      </c>
      <c r="C122" s="13"/>
      <c r="D122" s="13"/>
      <c r="E122" s="42"/>
      <c r="F122" s="13"/>
    </row>
    <row r="123" spans="2:6" x14ac:dyDescent="0.3">
      <c r="B123" s="13" t="str">
        <v>Robert Williams</v>
      </c>
      <c r="C123" s="13"/>
      <c r="D123" s="13"/>
      <c r="E123" s="42"/>
      <c r="F123" s="13"/>
    </row>
    <row r="124" spans="2:6" x14ac:dyDescent="0.3">
      <c r="B124" s="13" t="str">
        <v>Lawrence Jackson</v>
      </c>
      <c r="C124" s="13"/>
      <c r="D124" s="13"/>
      <c r="E124" s="42"/>
      <c r="F124" s="13"/>
    </row>
    <row r="125" spans="2:6" x14ac:dyDescent="0.3">
      <c r="B125" s="13" t="str">
        <v>Linda Campbell</v>
      </c>
      <c r="C125" s="13"/>
      <c r="D125" s="13"/>
      <c r="E125" s="42"/>
      <c r="F125" s="13"/>
    </row>
    <row r="126" spans="2:6" x14ac:dyDescent="0.3">
      <c r="B126" s="13" t="str">
        <v>Ashley Robinson</v>
      </c>
      <c r="C126" s="13"/>
      <c r="D126" s="13"/>
      <c r="E126" s="42"/>
      <c r="F126" s="13"/>
    </row>
    <row r="127" spans="2:6" x14ac:dyDescent="0.3">
      <c r="B127" s="13" t="str">
        <v>Joyce Davis</v>
      </c>
      <c r="C127" s="13"/>
      <c r="D127" s="13"/>
      <c r="E127" s="42"/>
      <c r="F127" s="13"/>
    </row>
    <row r="128" spans="2:6" x14ac:dyDescent="0.3">
      <c r="B128" s="13" t="str">
        <v>Richard Brown</v>
      </c>
      <c r="C128" s="13"/>
      <c r="D128" s="13"/>
      <c r="E128" s="42"/>
      <c r="F128" s="13"/>
    </row>
    <row r="129" spans="2:6" x14ac:dyDescent="0.3">
      <c r="B129" s="13" t="str">
        <v>Cheryl Hoover</v>
      </c>
      <c r="C129" s="13"/>
      <c r="D129" s="13"/>
      <c r="E129" s="42"/>
      <c r="F129" s="13"/>
    </row>
    <row r="130" spans="2:6" x14ac:dyDescent="0.3">
      <c r="B130" s="13" t="str">
        <v>Sarah Jones</v>
      </c>
      <c r="C130" s="13"/>
      <c r="D130" s="13"/>
      <c r="E130" s="42"/>
      <c r="F130" s="13"/>
    </row>
    <row r="131" spans="2:6" x14ac:dyDescent="0.3">
      <c r="B131" s="13" t="str">
        <v>Thomas Boone</v>
      </c>
      <c r="C131" s="13"/>
      <c r="D131" s="13"/>
      <c r="E131" s="42"/>
      <c r="F131" s="13"/>
    </row>
    <row r="132" spans="2:6" x14ac:dyDescent="0.3">
      <c r="B132" s="13" t="str">
        <v>Daniel Ryan</v>
      </c>
      <c r="C132" s="13"/>
      <c r="D132" s="13"/>
      <c r="E132" s="42"/>
      <c r="F132" s="13"/>
    </row>
    <row r="133" spans="2:6" x14ac:dyDescent="0.3">
      <c r="B133" s="13" t="str">
        <v>Willie Stewart</v>
      </c>
      <c r="C133" s="13"/>
      <c r="D133" s="13"/>
      <c r="E133" s="42"/>
      <c r="F133" s="13"/>
    </row>
    <row r="134" spans="2:6" x14ac:dyDescent="0.3">
      <c r="B134" s="13" t="str">
        <v>Michelle Brown</v>
      </c>
      <c r="C134" s="13"/>
      <c r="D134" s="13"/>
      <c r="E134" s="42"/>
      <c r="F134" s="13"/>
    </row>
    <row r="135" spans="2:6" x14ac:dyDescent="0.3">
      <c r="B135" s="13" t="str">
        <v>Theresa Robinson MD</v>
      </c>
      <c r="C135" s="13"/>
      <c r="D135" s="13"/>
      <c r="E135" s="42"/>
      <c r="F135" s="13"/>
    </row>
    <row r="136" spans="2:6" x14ac:dyDescent="0.3">
      <c r="B136" s="13" t="str">
        <v>Timothy Giles</v>
      </c>
      <c r="C136" s="13"/>
      <c r="D136" s="13"/>
      <c r="E136" s="42"/>
      <c r="F136" s="13"/>
    </row>
    <row r="137" spans="2:6" x14ac:dyDescent="0.3">
      <c r="B137" s="13" t="str">
        <v>Donna Barron</v>
      </c>
      <c r="C137" s="13"/>
      <c r="D137" s="13"/>
      <c r="E137" s="42"/>
      <c r="F137" s="13"/>
    </row>
    <row r="138" spans="2:6" x14ac:dyDescent="0.3">
      <c r="B138" s="13" t="str">
        <v>James Moss</v>
      </c>
      <c r="C138" s="13"/>
      <c r="D138" s="13"/>
      <c r="E138" s="42"/>
      <c r="F138" s="13"/>
    </row>
    <row r="139" spans="2:6" x14ac:dyDescent="0.3">
      <c r="B139" s="13" t="str">
        <v>Christopher Smith</v>
      </c>
      <c r="C139" s="13"/>
      <c r="D139" s="13"/>
      <c r="E139" s="42"/>
      <c r="F139" s="13"/>
    </row>
    <row r="140" spans="2:6" x14ac:dyDescent="0.3">
      <c r="B140" s="13" t="str">
        <v>Nathan Ford</v>
      </c>
      <c r="C140" s="13"/>
      <c r="D140" s="13"/>
      <c r="E140" s="42"/>
      <c r="F140" s="13"/>
    </row>
    <row r="141" spans="2:6" x14ac:dyDescent="0.3">
      <c r="B141" s="13" t="str">
        <v>Jennifer Hill</v>
      </c>
      <c r="C141" s="13"/>
      <c r="D141" s="13"/>
      <c r="E141" s="42"/>
      <c r="F141" s="13"/>
    </row>
    <row r="142" spans="2:6" x14ac:dyDescent="0.3">
      <c r="B142" s="13" t="str">
        <v>Adrian Coleman</v>
      </c>
      <c r="C142" s="13"/>
      <c r="D142" s="13"/>
      <c r="E142" s="42"/>
      <c r="F142" s="13"/>
    </row>
    <row r="143" spans="2:6" x14ac:dyDescent="0.3">
      <c r="B143" s="13" t="str">
        <v>Aaron Wilson</v>
      </c>
      <c r="C143" s="13"/>
      <c r="D143" s="13"/>
      <c r="E143" s="42"/>
      <c r="F143" s="13"/>
    </row>
    <row r="144" spans="2:6" x14ac:dyDescent="0.3">
      <c r="B144" s="13" t="str">
        <v>Matthew Stevens</v>
      </c>
      <c r="C144" s="13"/>
      <c r="D144" s="13"/>
      <c r="E144" s="42"/>
      <c r="F144" s="13"/>
    </row>
    <row r="145" spans="2:6" x14ac:dyDescent="0.3">
      <c r="B145" s="13" t="str">
        <v>Jamie Stewart</v>
      </c>
      <c r="C145" s="13"/>
      <c r="D145" s="13"/>
      <c r="E145" s="42"/>
      <c r="F145" s="13"/>
    </row>
    <row r="146" spans="2:6" x14ac:dyDescent="0.3">
      <c r="B146" s="13" t="str">
        <v>Mrs. Kimberly Murphy DVM</v>
      </c>
      <c r="C146" s="13"/>
      <c r="D146" s="13"/>
      <c r="E146" s="42"/>
      <c r="F146" s="13"/>
    </row>
    <row r="147" spans="2:6" x14ac:dyDescent="0.3">
      <c r="B147" s="13" t="str">
        <v>Kathleen Davis</v>
      </c>
      <c r="C147" s="13"/>
      <c r="D147" s="13"/>
      <c r="E147" s="42"/>
      <c r="F147" s="13"/>
    </row>
    <row r="148" spans="2:6" x14ac:dyDescent="0.3">
      <c r="B148" s="13" t="str">
        <v>Courtney Hanson</v>
      </c>
      <c r="C148" s="13"/>
      <c r="D148" s="13"/>
      <c r="E148" s="42"/>
      <c r="F148" s="13"/>
    </row>
    <row r="149" spans="2:6" x14ac:dyDescent="0.3">
      <c r="B149" s="13" t="str">
        <v>John Smith</v>
      </c>
      <c r="C149" s="13"/>
      <c r="D149" s="13"/>
      <c r="E149" s="42"/>
      <c r="F149" s="13"/>
    </row>
    <row r="150" spans="2:6" x14ac:dyDescent="0.3">
      <c r="B150" s="13" t="str">
        <v>Robert Smith</v>
      </c>
      <c r="C150" s="13"/>
      <c r="D150" s="13"/>
      <c r="E150" s="42"/>
      <c r="F150" s="13"/>
    </row>
    <row r="151" spans="2:6" x14ac:dyDescent="0.3">
      <c r="B151" s="13" t="str">
        <v>Alicia Sheppard</v>
      </c>
      <c r="C151" s="13"/>
      <c r="D151" s="13"/>
      <c r="E151" s="42"/>
      <c r="F151" s="13"/>
    </row>
    <row r="152" spans="2:6" x14ac:dyDescent="0.3">
      <c r="B152" s="13" t="str">
        <v>Eric Graham MD</v>
      </c>
      <c r="C152" s="13"/>
      <c r="D152" s="13"/>
      <c r="E152" s="42"/>
      <c r="F152" s="13"/>
    </row>
    <row r="153" spans="2:6" x14ac:dyDescent="0.3">
      <c r="B153" s="13" t="str">
        <v>Helen Ashley</v>
      </c>
      <c r="C153" s="13"/>
      <c r="D153" s="13"/>
      <c r="E153" s="42"/>
      <c r="F153" s="13"/>
    </row>
    <row r="154" spans="2:6" x14ac:dyDescent="0.3">
      <c r="B154" s="13" t="str">
        <v>Michael Harding</v>
      </c>
      <c r="C154" s="13"/>
      <c r="D154" s="13"/>
      <c r="E154" s="42"/>
      <c r="F154" s="13"/>
    </row>
    <row r="155" spans="2:6" x14ac:dyDescent="0.3">
      <c r="B155" s="13" t="str">
        <v>Anthony Mcmahon</v>
      </c>
      <c r="C155" s="13"/>
      <c r="D155" s="13"/>
      <c r="E155" s="42"/>
      <c r="F155" s="13"/>
    </row>
    <row r="156" spans="2:6" x14ac:dyDescent="0.3">
      <c r="B156" s="13" t="str">
        <v>Janice Sullivan</v>
      </c>
      <c r="C156" s="13"/>
      <c r="D156" s="13"/>
      <c r="E156" s="42"/>
      <c r="F156" s="13"/>
    </row>
    <row r="157" spans="2:6" x14ac:dyDescent="0.3">
      <c r="B157" s="13" t="str">
        <v>Eric Hall</v>
      </c>
      <c r="C157" s="13"/>
      <c r="D157" s="13"/>
      <c r="E157" s="42"/>
      <c r="F157" s="13"/>
    </row>
    <row r="158" spans="2:6" x14ac:dyDescent="0.3">
      <c r="B158" s="13" t="str">
        <v>Megan Watson</v>
      </c>
      <c r="C158" s="13"/>
      <c r="D158" s="13"/>
      <c r="E158" s="42"/>
      <c r="F158" s="13"/>
    </row>
    <row r="159" spans="2:6" x14ac:dyDescent="0.3">
      <c r="B159" s="13" t="str">
        <v>Sherri Pena</v>
      </c>
      <c r="C159" s="13"/>
      <c r="D159" s="13"/>
      <c r="E159" s="42"/>
      <c r="F159" s="13"/>
    </row>
    <row r="160" spans="2:6" x14ac:dyDescent="0.3">
      <c r="B160" s="13" t="str">
        <v>Sandy Smith</v>
      </c>
      <c r="C160" s="13"/>
      <c r="D160" s="13"/>
      <c r="E160" s="42"/>
      <c r="F160" s="13"/>
    </row>
    <row r="161" spans="2:6" x14ac:dyDescent="0.3">
      <c r="B161" s="13" t="str">
        <v>Scott Todd</v>
      </c>
      <c r="C161" s="13"/>
      <c r="D161" s="13"/>
      <c r="E161" s="42"/>
      <c r="F161" s="13"/>
    </row>
    <row r="162" spans="2:6" x14ac:dyDescent="0.3">
      <c r="B162" s="13" t="str">
        <v>Angela Henderson</v>
      </c>
      <c r="C162" s="13"/>
      <c r="D162" s="13"/>
      <c r="E162" s="42"/>
      <c r="F162" s="13"/>
    </row>
    <row r="163" spans="2:6" x14ac:dyDescent="0.3">
      <c r="B163" s="13" t="str">
        <v>Blake Ayala</v>
      </c>
      <c r="C163" s="13"/>
      <c r="D163" s="13"/>
      <c r="E163" s="42"/>
      <c r="F163" s="13"/>
    </row>
    <row r="164" spans="2:6" x14ac:dyDescent="0.3">
      <c r="B164" s="13" t="str">
        <v>Troy Todd</v>
      </c>
      <c r="C164" s="13"/>
      <c r="D164" s="13"/>
      <c r="E164" s="42"/>
      <c r="F164" s="13"/>
    </row>
    <row r="165" spans="2:6" x14ac:dyDescent="0.3">
      <c r="B165" s="13" t="str">
        <v>Joseph Clark</v>
      </c>
      <c r="C165" s="13"/>
      <c r="D165" s="13"/>
      <c r="E165" s="42"/>
      <c r="F165" s="13"/>
    </row>
    <row r="166" spans="2:6" x14ac:dyDescent="0.3">
      <c r="B166" s="13" t="str">
        <v>Miranda Hill</v>
      </c>
      <c r="C166" s="13"/>
      <c r="D166" s="13"/>
      <c r="E166" s="42"/>
      <c r="F166" s="13"/>
    </row>
    <row r="167" spans="2:6" x14ac:dyDescent="0.3">
      <c r="B167" s="13" t="str">
        <v>Donald Harris</v>
      </c>
      <c r="C167" s="13"/>
      <c r="D167" s="13"/>
      <c r="E167" s="42"/>
      <c r="F167" s="13"/>
    </row>
    <row r="168" spans="2:6" x14ac:dyDescent="0.3">
      <c r="B168" s="13" t="str">
        <v>Joanna Woodward</v>
      </c>
      <c r="C168" s="13"/>
      <c r="D168" s="13"/>
      <c r="E168" s="42"/>
      <c r="F168" s="13"/>
    </row>
    <row r="169" spans="2:6" x14ac:dyDescent="0.3">
      <c r="B169" s="13" t="str">
        <v>Oscar Blake</v>
      </c>
      <c r="C169" s="13"/>
      <c r="D169" s="13"/>
      <c r="E169" s="42"/>
      <c r="F169" s="13"/>
    </row>
    <row r="170" spans="2:6" x14ac:dyDescent="0.3">
      <c r="B170" s="13" t="str">
        <v>Carl Torres</v>
      </c>
      <c r="C170" s="13"/>
      <c r="D170" s="13"/>
      <c r="E170" s="42"/>
      <c r="F170" s="13"/>
    </row>
    <row r="171" spans="2:6" x14ac:dyDescent="0.3">
      <c r="B171" s="13" t="str">
        <v>Danielle Rush</v>
      </c>
      <c r="C171" s="13"/>
      <c r="D171" s="13"/>
      <c r="E171" s="42"/>
      <c r="F171" s="13"/>
    </row>
    <row r="172" spans="2:6" x14ac:dyDescent="0.3">
      <c r="B172" s="13" t="str">
        <v>Jennifer Greene</v>
      </c>
      <c r="C172" s="13"/>
      <c r="D172" s="13"/>
      <c r="E172" s="42"/>
      <c r="F172" s="13"/>
    </row>
    <row r="173" spans="2:6" x14ac:dyDescent="0.3">
      <c r="B173" s="13" t="str">
        <v>John Campbell</v>
      </c>
      <c r="C173" s="13"/>
      <c r="D173" s="13"/>
      <c r="E173" s="42"/>
      <c r="F173" s="13"/>
    </row>
    <row r="174" spans="2:6" x14ac:dyDescent="0.3">
      <c r="B174" s="13" t="str">
        <v>Mr. Michael Wood</v>
      </c>
      <c r="C174" s="13"/>
      <c r="D174" s="13"/>
      <c r="E174" s="42"/>
      <c r="F174" s="13"/>
    </row>
    <row r="175" spans="2:6" x14ac:dyDescent="0.3">
      <c r="B175" s="13" t="str">
        <v>William Ellis</v>
      </c>
      <c r="C175" s="13"/>
      <c r="D175" s="13"/>
      <c r="E175" s="42"/>
      <c r="F175" s="13"/>
    </row>
    <row r="176" spans="2:6" x14ac:dyDescent="0.3">
      <c r="B176" s="13" t="str">
        <v>Kelly Smith</v>
      </c>
      <c r="C176" s="13"/>
      <c r="D176" s="13"/>
      <c r="E176" s="42"/>
      <c r="F176" s="13"/>
    </row>
    <row r="177" spans="2:6" x14ac:dyDescent="0.3">
      <c r="B177" s="13" t="str">
        <v>Jaime Bell</v>
      </c>
      <c r="C177" s="13"/>
      <c r="D177" s="13"/>
      <c r="E177" s="42"/>
      <c r="F177" s="13"/>
    </row>
    <row r="178" spans="2:6" x14ac:dyDescent="0.3">
      <c r="B178" s="13" t="str">
        <v>Victoria Williams</v>
      </c>
      <c r="C178" s="13"/>
      <c r="D178" s="13"/>
      <c r="E178" s="42"/>
      <c r="F178" s="13"/>
    </row>
    <row r="179" spans="2:6" x14ac:dyDescent="0.3">
      <c r="B179" s="13" t="str">
        <v>Bradley Hale</v>
      </c>
      <c r="C179" s="13"/>
      <c r="D179" s="13"/>
      <c r="E179" s="42"/>
      <c r="F179" s="13"/>
    </row>
    <row r="180" spans="2:6" x14ac:dyDescent="0.3">
      <c r="B180" s="13" t="str">
        <v>Mr. Anthony Cunningham</v>
      </c>
      <c r="C180" s="13"/>
      <c r="D180" s="13"/>
      <c r="E180" s="42"/>
      <c r="F180" s="13"/>
    </row>
    <row r="181" spans="2:6" x14ac:dyDescent="0.3">
      <c r="B181" s="13" t="str">
        <v>Mark Ingram</v>
      </c>
      <c r="C181" s="13"/>
      <c r="D181" s="13"/>
      <c r="E181" s="42"/>
      <c r="F181" s="13"/>
    </row>
    <row r="182" spans="2:6" x14ac:dyDescent="0.3">
      <c r="B182" s="13" t="str">
        <v>Jose Green</v>
      </c>
      <c r="C182" s="13"/>
      <c r="D182" s="13"/>
      <c r="E182" s="42"/>
      <c r="F182" s="13"/>
    </row>
    <row r="183" spans="2:6" x14ac:dyDescent="0.3">
      <c r="B183" s="13" t="str">
        <v>Craig Garcia</v>
      </c>
      <c r="C183" s="13"/>
      <c r="D183" s="13"/>
      <c r="E183" s="42"/>
      <c r="F183" s="13"/>
    </row>
    <row r="184" spans="2:6" x14ac:dyDescent="0.3">
      <c r="B184" s="13" t="str">
        <v>Tamara Love</v>
      </c>
      <c r="C184" s="13"/>
      <c r="D184" s="13"/>
      <c r="E184" s="42"/>
      <c r="F184" s="13"/>
    </row>
    <row r="185" spans="2:6" x14ac:dyDescent="0.3">
      <c r="B185" s="13" t="str">
        <v>Julie Dodson</v>
      </c>
      <c r="C185" s="13"/>
      <c r="D185" s="13"/>
      <c r="E185" s="42"/>
      <c r="F185" s="13"/>
    </row>
    <row r="186" spans="2:6" x14ac:dyDescent="0.3">
      <c r="B186" s="13" t="str">
        <v>Annette Ponce</v>
      </c>
      <c r="C186" s="13"/>
      <c r="D186" s="13"/>
      <c r="E186" s="42"/>
      <c r="F186" s="13"/>
    </row>
    <row r="187" spans="2:6" x14ac:dyDescent="0.3">
      <c r="B187" s="13" t="str">
        <v>Shirley May</v>
      </c>
      <c r="C187" s="13"/>
      <c r="D187" s="13"/>
      <c r="E187" s="42"/>
      <c r="F187" s="13"/>
    </row>
    <row r="188" spans="2:6" x14ac:dyDescent="0.3">
      <c r="B188" s="13" t="str">
        <v>Samuel Baker</v>
      </c>
      <c r="C188" s="13"/>
      <c r="D188" s="13"/>
      <c r="E188" s="42"/>
      <c r="F188" s="13"/>
    </row>
    <row r="189" spans="2:6" x14ac:dyDescent="0.3">
      <c r="B189" s="13" t="str">
        <v>Andrea Lee</v>
      </c>
      <c r="C189" s="13"/>
      <c r="D189" s="13"/>
      <c r="E189" s="42"/>
      <c r="F189" s="13"/>
    </row>
    <row r="190" spans="2:6" x14ac:dyDescent="0.3">
      <c r="B190" s="13" t="str">
        <v>Russell Ramirez</v>
      </c>
      <c r="C190" s="13"/>
      <c r="D190" s="13"/>
      <c r="E190" s="42"/>
      <c r="F190" s="13"/>
    </row>
    <row r="191" spans="2:6" x14ac:dyDescent="0.3">
      <c r="B191" s="13" t="str">
        <v>Gary Weber</v>
      </c>
      <c r="C191" s="13"/>
      <c r="D191" s="13"/>
      <c r="E191" s="42"/>
      <c r="F191" s="13"/>
    </row>
    <row r="192" spans="2:6" x14ac:dyDescent="0.3">
      <c r="B192" s="13" t="str">
        <v>Patricia Baxter</v>
      </c>
      <c r="C192" s="13"/>
      <c r="D192" s="13"/>
      <c r="E192" s="42"/>
      <c r="F192" s="13"/>
    </row>
    <row r="193" spans="2:6" x14ac:dyDescent="0.3">
      <c r="B193" s="13" t="str">
        <v>Tyler Martinez</v>
      </c>
      <c r="C193" s="13"/>
      <c r="D193" s="13"/>
      <c r="E193" s="42"/>
      <c r="F193" s="13"/>
    </row>
    <row r="194" spans="2:6" x14ac:dyDescent="0.3">
      <c r="B194" s="13" t="str">
        <v>Brian Bauer</v>
      </c>
      <c r="C194" s="13"/>
      <c r="D194" s="13"/>
      <c r="E194" s="42"/>
      <c r="F194" s="13"/>
    </row>
    <row r="195" spans="2:6" x14ac:dyDescent="0.3">
      <c r="B195" s="13" t="str">
        <v>Ian Hines</v>
      </c>
      <c r="C195" s="13"/>
      <c r="D195" s="13"/>
      <c r="E195" s="42"/>
      <c r="F195" s="13"/>
    </row>
    <row r="196" spans="2:6" x14ac:dyDescent="0.3">
      <c r="B196" s="13" t="str">
        <v>Leah Wallace</v>
      </c>
      <c r="C196" s="13"/>
      <c r="D196" s="13"/>
      <c r="E196" s="42"/>
      <c r="F196" s="13"/>
    </row>
    <row r="197" spans="2:6" x14ac:dyDescent="0.3">
      <c r="B197" s="13" t="str">
        <v>Kaitlin Rose</v>
      </c>
      <c r="C197" s="13"/>
      <c r="D197" s="13"/>
      <c r="E197" s="42"/>
      <c r="F197" s="13"/>
    </row>
    <row r="198" spans="2:6" x14ac:dyDescent="0.3">
      <c r="B198" s="13" t="str">
        <v>Karen Wells</v>
      </c>
      <c r="C198" s="13"/>
      <c r="D198" s="13"/>
      <c r="E198" s="42"/>
      <c r="F198" s="13"/>
    </row>
    <row r="199" spans="2:6" x14ac:dyDescent="0.3">
      <c r="B199" s="13" t="str">
        <v>Adam Romero</v>
      </c>
      <c r="C199" s="13"/>
      <c r="D199" s="13"/>
      <c r="E199" s="42"/>
      <c r="F199" s="13"/>
    </row>
    <row r="200" spans="2:6" x14ac:dyDescent="0.3">
      <c r="B200" s="13" t="str">
        <v>Brooke Dyer</v>
      </c>
      <c r="C200" s="13"/>
      <c r="D200" s="13"/>
      <c r="E200" s="42"/>
      <c r="F200" s="13"/>
    </row>
    <row r="201" spans="2:6" x14ac:dyDescent="0.3">
      <c r="B201" s="13" t="str">
        <v>Jessica Wells</v>
      </c>
      <c r="C201" s="13"/>
      <c r="D201" s="13"/>
      <c r="E201" s="42"/>
      <c r="F201" s="13"/>
    </row>
    <row r="202" spans="2:6" x14ac:dyDescent="0.3">
      <c r="B202" s="13" t="str">
        <v>Tyler Williams</v>
      </c>
      <c r="C202" s="13"/>
      <c r="D202" s="13"/>
      <c r="E202" s="42"/>
      <c r="F202" s="13"/>
    </row>
    <row r="203" spans="2:6" x14ac:dyDescent="0.3">
      <c r="B203" s="13" t="str">
        <v>Franklin Stevens</v>
      </c>
      <c r="C203" s="13"/>
      <c r="D203" s="13"/>
      <c r="E203" s="42"/>
      <c r="F203" s="13"/>
    </row>
    <row r="204" spans="2:6" x14ac:dyDescent="0.3">
      <c r="B204" s="13" t="str">
        <v>Mr. Joe Ramirez</v>
      </c>
      <c r="C204" s="13"/>
      <c r="D204" s="13"/>
      <c r="E204" s="42"/>
      <c r="F204" s="13"/>
    </row>
    <row r="205" spans="2:6" x14ac:dyDescent="0.3">
      <c r="B205" s="13" t="str">
        <v>Christopher Ford</v>
      </c>
      <c r="C205" s="13"/>
      <c r="D205" s="13"/>
      <c r="E205" s="42"/>
      <c r="F205" s="13"/>
    </row>
    <row r="206" spans="2:6" x14ac:dyDescent="0.3">
      <c r="B206" s="13" t="str">
        <v>Sharon Smith</v>
      </c>
      <c r="C206" s="13"/>
      <c r="D206" s="13"/>
      <c r="E206" s="42"/>
      <c r="F206" s="13"/>
    </row>
    <row r="207" spans="2:6" x14ac:dyDescent="0.3">
      <c r="B207" s="13" t="str">
        <v>Michelle Estrada</v>
      </c>
      <c r="C207" s="13"/>
      <c r="D207" s="13"/>
      <c r="E207" s="42"/>
      <c r="F207" s="13"/>
    </row>
    <row r="208" spans="2:6" x14ac:dyDescent="0.3">
      <c r="B208" s="13" t="str">
        <v>Danielle Mcdonald</v>
      </c>
      <c r="C208" s="13"/>
      <c r="D208" s="13"/>
      <c r="E208" s="42"/>
      <c r="F208" s="13"/>
    </row>
    <row r="209" spans="2:6" x14ac:dyDescent="0.3">
      <c r="B209" s="13" t="str">
        <v>Steven Mccarthy</v>
      </c>
      <c r="C209" s="13"/>
      <c r="D209" s="13"/>
      <c r="E209" s="42"/>
      <c r="F209" s="13"/>
    </row>
    <row r="210" spans="2:6" x14ac:dyDescent="0.3">
      <c r="B210" s="13" t="str">
        <v>Joshua Diaz</v>
      </c>
      <c r="C210" s="13"/>
      <c r="D210" s="13"/>
      <c r="E210" s="42"/>
      <c r="F210" s="13"/>
    </row>
    <row r="211" spans="2:6" x14ac:dyDescent="0.3">
      <c r="B211" s="13" t="str">
        <v>Karen Clark</v>
      </c>
      <c r="C211" s="13"/>
      <c r="D211" s="13"/>
      <c r="E211" s="42"/>
      <c r="F211" s="13"/>
    </row>
    <row r="212" spans="2:6" x14ac:dyDescent="0.3">
      <c r="B212" s="13" t="str">
        <v>Sherry Mann</v>
      </c>
      <c r="C212" s="13"/>
      <c r="D212" s="13"/>
      <c r="E212" s="42"/>
      <c r="F212" s="13"/>
    </row>
    <row r="213" spans="2:6" x14ac:dyDescent="0.3">
      <c r="B213" s="13" t="str">
        <v>Terri Baker</v>
      </c>
      <c r="C213" s="13"/>
      <c r="D213" s="13"/>
      <c r="E213" s="42"/>
      <c r="F213" s="13"/>
    </row>
    <row r="214" spans="2:6" x14ac:dyDescent="0.3">
      <c r="B214" s="13" t="str">
        <v>Ruben King</v>
      </c>
      <c r="C214" s="13"/>
      <c r="D214" s="13"/>
      <c r="E214" s="42"/>
      <c r="F214" s="13"/>
    </row>
    <row r="215" spans="2:6" x14ac:dyDescent="0.3">
      <c r="B215" s="13" t="str">
        <v>Ruth Bell</v>
      </c>
      <c r="C215" s="13"/>
      <c r="D215" s="13"/>
      <c r="E215" s="42"/>
      <c r="F215" s="13"/>
    </row>
    <row r="216" spans="2:6" x14ac:dyDescent="0.3">
      <c r="B216" s="13" t="str">
        <v>Javier Jones</v>
      </c>
      <c r="C216" s="13"/>
      <c r="D216" s="13"/>
      <c r="E216" s="42"/>
      <c r="F216" s="13"/>
    </row>
    <row r="217" spans="2:6" x14ac:dyDescent="0.3">
      <c r="B217" s="13" t="str">
        <v>Joseph Brown</v>
      </c>
      <c r="C217" s="13"/>
      <c r="D217" s="13"/>
      <c r="E217" s="42"/>
      <c r="F217" s="13"/>
    </row>
    <row r="218" spans="2:6" x14ac:dyDescent="0.3">
      <c r="B218" s="13" t="str">
        <v>Victor Phillips</v>
      </c>
      <c r="C218" s="13"/>
      <c r="D218" s="13"/>
      <c r="E218" s="42"/>
      <c r="F218" s="13"/>
    </row>
    <row r="219" spans="2:6" x14ac:dyDescent="0.3">
      <c r="B219" s="13" t="str">
        <v>Gabrielle Huynh</v>
      </c>
      <c r="C219" s="13"/>
      <c r="D219" s="13"/>
      <c r="E219" s="42"/>
      <c r="F219" s="13"/>
    </row>
    <row r="220" spans="2:6" x14ac:dyDescent="0.3">
      <c r="B220" s="13" t="str">
        <v>Alison Mitchell</v>
      </c>
      <c r="C220" s="13"/>
      <c r="D220" s="13"/>
      <c r="E220" s="42"/>
      <c r="F220" s="13"/>
    </row>
    <row r="221" spans="2:6" x14ac:dyDescent="0.3">
      <c r="B221" s="13" t="str">
        <v>Andrea Reynolds</v>
      </c>
      <c r="C221" s="13"/>
      <c r="D221" s="13"/>
      <c r="E221" s="42"/>
      <c r="F221" s="13"/>
    </row>
    <row r="222" spans="2:6" x14ac:dyDescent="0.3">
      <c r="B222" s="13" t="str">
        <v>Julie Schmidt</v>
      </c>
      <c r="C222" s="13"/>
      <c r="D222" s="13"/>
      <c r="E222" s="42"/>
      <c r="F222" s="13"/>
    </row>
    <row r="223" spans="2:6" x14ac:dyDescent="0.3">
      <c r="B223" s="13" t="str">
        <v>Erin May</v>
      </c>
      <c r="C223" s="13"/>
      <c r="D223" s="13"/>
      <c r="E223" s="42"/>
      <c r="F223" s="13"/>
    </row>
    <row r="224" spans="2:6" x14ac:dyDescent="0.3">
      <c r="B224" s="13" t="str">
        <v>Eric Gibson</v>
      </c>
      <c r="C224" s="13"/>
      <c r="D224" s="13"/>
      <c r="E224" s="42"/>
      <c r="F224" s="13"/>
    </row>
    <row r="225" spans="2:6" x14ac:dyDescent="0.3">
      <c r="B225" s="13" t="str">
        <v>John Lewis</v>
      </c>
      <c r="C225" s="13"/>
      <c r="D225" s="13"/>
      <c r="E225" s="42"/>
      <c r="F225" s="13"/>
    </row>
    <row r="226" spans="2:6" x14ac:dyDescent="0.3">
      <c r="B226" s="13" t="str">
        <v>Lisa Lucas</v>
      </c>
      <c r="C226" s="13"/>
      <c r="D226" s="13"/>
      <c r="E226" s="42"/>
      <c r="F226" s="13"/>
    </row>
    <row r="227" spans="2:6" x14ac:dyDescent="0.3">
      <c r="B227" s="13" t="str">
        <v>Melissa Adams</v>
      </c>
      <c r="C227" s="13"/>
      <c r="D227" s="13"/>
      <c r="E227" s="42"/>
      <c r="F227" s="13"/>
    </row>
    <row r="228" spans="2:6" x14ac:dyDescent="0.3">
      <c r="B228" s="13" t="str">
        <v>David Calhoun</v>
      </c>
      <c r="C228" s="13"/>
      <c r="D228" s="13"/>
      <c r="E228" s="42"/>
      <c r="F228" s="13"/>
    </row>
    <row r="229" spans="2:6" x14ac:dyDescent="0.3">
      <c r="B229" s="13" t="str">
        <v>Ashlee Richardson</v>
      </c>
      <c r="C229" s="13"/>
      <c r="D229" s="13"/>
      <c r="E229" s="42"/>
      <c r="F229" s="13"/>
    </row>
    <row r="230" spans="2:6" x14ac:dyDescent="0.3">
      <c r="B230" s="13" t="str">
        <v>Heather Cox</v>
      </c>
      <c r="C230" s="13"/>
      <c r="D230" s="13"/>
      <c r="E230" s="42"/>
      <c r="F230" s="13"/>
    </row>
    <row r="231" spans="2:6" x14ac:dyDescent="0.3">
      <c r="B231" s="13" t="str">
        <v>Christy Thompson</v>
      </c>
      <c r="C231" s="13"/>
      <c r="D231" s="13"/>
      <c r="E231" s="42"/>
      <c r="F231" s="13"/>
    </row>
    <row r="232" spans="2:6" x14ac:dyDescent="0.3">
      <c r="B232" s="13" t="str">
        <v>Antonio Clark</v>
      </c>
      <c r="C232" s="13"/>
      <c r="D232" s="13"/>
      <c r="E232" s="42"/>
      <c r="F232" s="13"/>
    </row>
    <row r="233" spans="2:6" x14ac:dyDescent="0.3">
      <c r="B233" s="13" t="str">
        <v>Christopher Sandoval</v>
      </c>
      <c r="C233" s="13"/>
      <c r="D233" s="13"/>
      <c r="E233" s="42"/>
      <c r="F233" s="13"/>
    </row>
    <row r="234" spans="2:6" x14ac:dyDescent="0.3">
      <c r="B234" s="13" t="str">
        <v>Heather Charles</v>
      </c>
      <c r="C234" s="13"/>
      <c r="D234" s="13"/>
      <c r="E234" s="42"/>
      <c r="F234" s="13"/>
    </row>
    <row r="235" spans="2:6" x14ac:dyDescent="0.3">
      <c r="B235" s="13" t="str">
        <v>Dustin Cole</v>
      </c>
      <c r="C235" s="13"/>
      <c r="D235" s="13"/>
      <c r="E235" s="42"/>
      <c r="F235" s="13"/>
    </row>
    <row r="236" spans="2:6" x14ac:dyDescent="0.3">
      <c r="B236" s="13" t="str">
        <v>Jeff Ross</v>
      </c>
      <c r="C236" s="13"/>
      <c r="D236" s="13"/>
      <c r="E236" s="42"/>
      <c r="F236" s="13"/>
    </row>
    <row r="237" spans="2:6" x14ac:dyDescent="0.3">
      <c r="B237" s="13" t="str">
        <v>Justin Montgomery</v>
      </c>
      <c r="C237" s="13"/>
      <c r="D237" s="13"/>
      <c r="E237" s="42"/>
      <c r="F237" s="13"/>
    </row>
    <row r="238" spans="2:6" x14ac:dyDescent="0.3">
      <c r="B238" s="13" t="str">
        <v>David Webster</v>
      </c>
      <c r="C238" s="13"/>
      <c r="D238" s="13"/>
      <c r="E238" s="42"/>
      <c r="F238" s="13"/>
    </row>
    <row r="239" spans="2:6" x14ac:dyDescent="0.3">
      <c r="B239" s="13" t="str">
        <v>Nathan Smith</v>
      </c>
      <c r="C239" s="13"/>
      <c r="D239" s="13"/>
      <c r="E239" s="42"/>
      <c r="F239" s="13"/>
    </row>
    <row r="240" spans="2:6" x14ac:dyDescent="0.3">
      <c r="B240" s="13" t="str">
        <v>Shannon Fitzpatrick</v>
      </c>
      <c r="C240" s="13"/>
      <c r="D240" s="13"/>
      <c r="E240" s="42"/>
      <c r="F240" s="13"/>
    </row>
    <row r="241" spans="2:6" x14ac:dyDescent="0.3">
      <c r="B241" s="13" t="str">
        <v>Monique Pope</v>
      </c>
      <c r="C241" s="13"/>
      <c r="D241" s="13"/>
      <c r="E241" s="42"/>
      <c r="F241" s="13"/>
    </row>
    <row r="242" spans="2:6" x14ac:dyDescent="0.3">
      <c r="B242" s="13" t="str">
        <v>Teresa Edwards</v>
      </c>
      <c r="C242" s="13"/>
      <c r="D242" s="13"/>
      <c r="E242" s="42"/>
      <c r="F242" s="13"/>
    </row>
    <row r="243" spans="2:6" x14ac:dyDescent="0.3">
      <c r="B243" s="13" t="str">
        <v>Molly Boyd</v>
      </c>
      <c r="C243" s="13"/>
      <c r="D243" s="13"/>
      <c r="E243" s="42"/>
      <c r="F243" s="13"/>
    </row>
    <row r="244" spans="2:6" x14ac:dyDescent="0.3">
      <c r="B244" s="13" t="str">
        <v>William Collier</v>
      </c>
      <c r="C244" s="13"/>
      <c r="D244" s="13"/>
      <c r="E244" s="42"/>
      <c r="F244" s="13"/>
    </row>
    <row r="245" spans="2:6" x14ac:dyDescent="0.3">
      <c r="B245" s="13" t="str">
        <v>Casey Jackson</v>
      </c>
      <c r="C245" s="13"/>
      <c r="D245" s="13"/>
      <c r="E245" s="42"/>
      <c r="F245" s="13"/>
    </row>
    <row r="246" spans="2:6" x14ac:dyDescent="0.3">
      <c r="B246" s="13" t="str">
        <v>Sabrina Stevens</v>
      </c>
      <c r="C246" s="13"/>
      <c r="D246" s="13"/>
      <c r="E246" s="42"/>
      <c r="F246" s="13"/>
    </row>
    <row r="247" spans="2:6" x14ac:dyDescent="0.3">
      <c r="B247" s="13" t="str">
        <v>Andrew Mercado</v>
      </c>
      <c r="C247" s="13"/>
      <c r="D247" s="13"/>
      <c r="E247" s="42"/>
      <c r="F247" s="13"/>
    </row>
    <row r="248" spans="2:6" x14ac:dyDescent="0.3">
      <c r="B248" s="13" t="str">
        <v>Thomas Young</v>
      </c>
      <c r="C248" s="13"/>
      <c r="D248" s="13"/>
      <c r="E248" s="42"/>
      <c r="F248" s="13"/>
    </row>
    <row r="249" spans="2:6" x14ac:dyDescent="0.3">
      <c r="B249" s="13" t="str">
        <v>Crystal Castro</v>
      </c>
      <c r="C249" s="13"/>
      <c r="D249" s="13"/>
      <c r="E249" s="42"/>
      <c r="F249" s="13"/>
    </row>
    <row r="250" spans="2:6" x14ac:dyDescent="0.3">
      <c r="B250" s="13" t="str">
        <v>Robert Hammond MD</v>
      </c>
      <c r="C250" s="13"/>
      <c r="D250" s="13"/>
      <c r="E250" s="42"/>
      <c r="F250" s="13"/>
    </row>
    <row r="251" spans="2:6" x14ac:dyDescent="0.3">
      <c r="B251" s="13" t="str">
        <v>Amber Brooks</v>
      </c>
      <c r="C251" s="13"/>
      <c r="D251" s="13"/>
      <c r="E251" s="42"/>
      <c r="F251" s="13"/>
    </row>
    <row r="252" spans="2:6" x14ac:dyDescent="0.3">
      <c r="B252" s="13" t="str">
        <v>Angela Klein</v>
      </c>
      <c r="C252" s="13"/>
      <c r="D252" s="13"/>
      <c r="E252" s="42"/>
      <c r="F252" s="13"/>
    </row>
    <row r="253" spans="2:6" x14ac:dyDescent="0.3">
      <c r="B253" s="13" t="str">
        <v>Tina Foster</v>
      </c>
      <c r="C253" s="13"/>
      <c r="D253" s="13"/>
      <c r="E253" s="42"/>
      <c r="F253" s="13"/>
    </row>
    <row r="254" spans="2:6" x14ac:dyDescent="0.3">
      <c r="B254" s="13" t="str">
        <v>Terry Fields</v>
      </c>
      <c r="C254" s="13"/>
      <c r="D254" s="13"/>
      <c r="E254" s="42"/>
      <c r="F254" s="13"/>
    </row>
    <row r="255" spans="2:6" x14ac:dyDescent="0.3">
      <c r="B255" s="13" t="str">
        <v>Tony Marshall</v>
      </c>
      <c r="C255" s="13"/>
      <c r="D255" s="13"/>
      <c r="E255" s="42"/>
      <c r="F255" s="13"/>
    </row>
    <row r="256" spans="2:6" x14ac:dyDescent="0.3">
      <c r="B256" s="13" t="str">
        <v>Sheila Moore</v>
      </c>
      <c r="C256" s="13"/>
      <c r="D256" s="13"/>
      <c r="E256" s="42"/>
      <c r="F256" s="13"/>
    </row>
    <row r="257" spans="2:6" x14ac:dyDescent="0.3">
      <c r="B257" s="13" t="str">
        <v>Kristopher Davis</v>
      </c>
      <c r="C257" s="13"/>
      <c r="D257" s="13"/>
      <c r="E257" s="42"/>
      <c r="F257" s="13"/>
    </row>
    <row r="258" spans="2:6" x14ac:dyDescent="0.3">
      <c r="B258" s="13" t="str">
        <v>Brandon Thompson</v>
      </c>
      <c r="C258" s="13"/>
      <c r="D258" s="13"/>
      <c r="E258" s="42"/>
      <c r="F258" s="13"/>
    </row>
    <row r="259" spans="2:6" x14ac:dyDescent="0.3">
      <c r="B259" s="13" t="str">
        <v>Angela Smith</v>
      </c>
      <c r="C259" s="13"/>
      <c r="D259" s="13"/>
      <c r="E259" s="42"/>
      <c r="F259" s="13"/>
    </row>
    <row r="260" spans="2:6" x14ac:dyDescent="0.3">
      <c r="B260" s="13" t="str">
        <v>Justin Frye</v>
      </c>
      <c r="C260" s="13"/>
      <c r="D260" s="13"/>
      <c r="E260" s="42"/>
      <c r="F260" s="13"/>
    </row>
    <row r="261" spans="2:6" x14ac:dyDescent="0.3">
      <c r="B261" s="13" t="str">
        <v>Carol Jackson</v>
      </c>
      <c r="C261" s="13"/>
      <c r="D261" s="13"/>
      <c r="E261" s="42"/>
      <c r="F261" s="13"/>
    </row>
    <row r="262" spans="2:6" x14ac:dyDescent="0.3">
      <c r="B262" s="13" t="str">
        <v>Kathryn Hill</v>
      </c>
      <c r="C262" s="13"/>
      <c r="D262" s="13"/>
      <c r="E262" s="42"/>
      <c r="F262" s="13"/>
    </row>
    <row r="263" spans="2:6" x14ac:dyDescent="0.3">
      <c r="B263" s="13" t="str">
        <v>Joyce Hill</v>
      </c>
      <c r="C263" s="13"/>
      <c r="D263" s="13"/>
      <c r="E263" s="42"/>
      <c r="F263" s="13"/>
    </row>
    <row r="264" spans="2:6" x14ac:dyDescent="0.3">
      <c r="B264" s="13" t="str">
        <v>Alan Allen</v>
      </c>
      <c r="C264" s="13"/>
      <c r="D264" s="13"/>
      <c r="E264" s="42"/>
      <c r="F264" s="13"/>
    </row>
    <row r="265" spans="2:6" x14ac:dyDescent="0.3">
      <c r="B265" s="13" t="str">
        <v>Emily Anderson</v>
      </c>
      <c r="C265" s="13"/>
      <c r="D265" s="13"/>
      <c r="E265" s="42"/>
      <c r="F265" s="13"/>
    </row>
    <row r="266" spans="2:6" x14ac:dyDescent="0.3">
      <c r="B266" s="13" t="str">
        <v>Mr. Wesley Pratt PhD</v>
      </c>
      <c r="C266" s="13"/>
      <c r="D266" s="13"/>
      <c r="E266" s="42"/>
      <c r="F266" s="13"/>
    </row>
    <row r="267" spans="2:6" x14ac:dyDescent="0.3">
      <c r="B267" s="13" t="str">
        <v>John Yates</v>
      </c>
      <c r="C267" s="13"/>
      <c r="D267" s="13"/>
      <c r="E267" s="42"/>
      <c r="F267" s="13"/>
    </row>
    <row r="268" spans="2:6" x14ac:dyDescent="0.3">
      <c r="B268" s="13" t="str">
        <v>Rhonda Mitchell MD</v>
      </c>
      <c r="C268" s="13"/>
      <c r="D268" s="13"/>
      <c r="E268" s="42"/>
      <c r="F268" s="13"/>
    </row>
    <row r="269" spans="2:6" x14ac:dyDescent="0.3">
      <c r="B269" s="13" t="str">
        <v>Sarah Hobbs</v>
      </c>
      <c r="C269" s="13"/>
      <c r="D269" s="13"/>
      <c r="E269" s="42"/>
      <c r="F269" s="13"/>
    </row>
    <row r="270" spans="2:6" x14ac:dyDescent="0.3">
      <c r="B270" s="13" t="str">
        <v>Ryan Olson</v>
      </c>
      <c r="C270" s="13"/>
      <c r="D270" s="13"/>
      <c r="E270" s="42"/>
      <c r="F270" s="13"/>
    </row>
    <row r="271" spans="2:6" x14ac:dyDescent="0.3">
      <c r="B271" s="13" t="str">
        <v>Joseph Estrada</v>
      </c>
      <c r="C271" s="13"/>
      <c r="D271" s="13"/>
      <c r="E271" s="42"/>
      <c r="F271" s="13"/>
    </row>
    <row r="272" spans="2:6" x14ac:dyDescent="0.3">
      <c r="B272" s="13" t="str">
        <v>Jean Farmer</v>
      </c>
      <c r="C272" s="13"/>
      <c r="D272" s="13"/>
      <c r="E272" s="42"/>
      <c r="F272" s="13"/>
    </row>
    <row r="273" spans="2:6" x14ac:dyDescent="0.3">
      <c r="B273" s="13" t="str">
        <v>Justin Guzman</v>
      </c>
      <c r="C273" s="13"/>
      <c r="D273" s="13"/>
      <c r="E273" s="42"/>
      <c r="F273" s="13"/>
    </row>
    <row r="274" spans="2:6" x14ac:dyDescent="0.3">
      <c r="B274" s="13" t="str">
        <v>Anna Wheeler</v>
      </c>
      <c r="C274" s="13"/>
      <c r="D274" s="13"/>
      <c r="E274" s="42"/>
      <c r="F274" s="13"/>
    </row>
    <row r="275" spans="2:6" x14ac:dyDescent="0.3">
      <c r="B275" s="13" t="str">
        <v>Ronald Gomez</v>
      </c>
      <c r="C275" s="13"/>
      <c r="D275" s="13"/>
      <c r="E275" s="42"/>
      <c r="F275" s="13"/>
    </row>
    <row r="276" spans="2:6" x14ac:dyDescent="0.3">
      <c r="B276" s="13" t="str">
        <v>Andrew Martinez</v>
      </c>
      <c r="C276" s="13"/>
      <c r="D276" s="13"/>
      <c r="E276" s="42"/>
      <c r="F276" s="13"/>
    </row>
    <row r="277" spans="2:6" x14ac:dyDescent="0.3">
      <c r="B277" s="13" t="str">
        <v>Robert Wilson</v>
      </c>
      <c r="C277" s="13"/>
      <c r="D277" s="13"/>
      <c r="E277" s="42"/>
      <c r="F277" s="13"/>
    </row>
    <row r="278" spans="2:6" x14ac:dyDescent="0.3">
      <c r="B278" s="13" t="str">
        <v>Martin Stanley</v>
      </c>
      <c r="C278" s="13"/>
      <c r="D278" s="13"/>
      <c r="E278" s="42"/>
      <c r="F278" s="13"/>
    </row>
    <row r="279" spans="2:6" x14ac:dyDescent="0.3">
      <c r="B279" s="13" t="str">
        <v>Joseph Flores</v>
      </c>
      <c r="C279" s="13"/>
      <c r="D279" s="13"/>
      <c r="E279" s="42"/>
      <c r="F279" s="13"/>
    </row>
    <row r="280" spans="2:6" x14ac:dyDescent="0.3">
      <c r="B280" s="13" t="str">
        <v>Jaclyn Horn</v>
      </c>
      <c r="C280" s="13"/>
      <c r="D280" s="13"/>
      <c r="E280" s="42"/>
      <c r="F280" s="13"/>
    </row>
    <row r="281" spans="2:6" x14ac:dyDescent="0.3">
      <c r="B281" s="13" t="str">
        <v>Jason Holt</v>
      </c>
      <c r="C281" s="13"/>
      <c r="D281" s="13"/>
      <c r="E281" s="42"/>
      <c r="F281" s="13"/>
    </row>
    <row r="282" spans="2:6" x14ac:dyDescent="0.3">
      <c r="B282" s="13" t="str">
        <v>Emily Brewer</v>
      </c>
      <c r="C282" s="13"/>
      <c r="D282" s="13"/>
      <c r="E282" s="42"/>
      <c r="F282" s="13"/>
    </row>
    <row r="283" spans="2:6" x14ac:dyDescent="0.3">
      <c r="B283" s="13" t="str">
        <v>Jeff Mcfarland</v>
      </c>
      <c r="C283" s="13"/>
      <c r="D283" s="13"/>
      <c r="E283" s="42"/>
      <c r="F283" s="13"/>
    </row>
    <row r="284" spans="2:6" x14ac:dyDescent="0.3">
      <c r="B284" s="13" t="str">
        <v>Brian Thompson</v>
      </c>
      <c r="C284" s="13"/>
      <c r="D284" s="13"/>
      <c r="E284" s="42"/>
      <c r="F284" s="13"/>
    </row>
    <row r="285" spans="2:6" x14ac:dyDescent="0.3">
      <c r="B285" s="13" t="str">
        <v>Jonathan Bailey</v>
      </c>
      <c r="C285" s="13"/>
      <c r="D285" s="13"/>
      <c r="E285" s="42"/>
      <c r="F285" s="13"/>
    </row>
    <row r="286" spans="2:6" x14ac:dyDescent="0.3">
      <c r="B286" s="13" t="str">
        <v>William Meyer</v>
      </c>
      <c r="C286" s="13"/>
      <c r="D286" s="13"/>
      <c r="E286" s="42"/>
      <c r="F286" s="13"/>
    </row>
    <row r="287" spans="2:6" x14ac:dyDescent="0.3">
      <c r="B287" s="13" t="str">
        <v>Laura Baker</v>
      </c>
      <c r="C287" s="13"/>
      <c r="D287" s="13"/>
      <c r="E287" s="42"/>
      <c r="F287" s="13"/>
    </row>
    <row r="288" spans="2:6" x14ac:dyDescent="0.3">
      <c r="B288" s="13" t="str">
        <v>Judy Thomas</v>
      </c>
      <c r="C288" s="13"/>
      <c r="D288" s="13"/>
      <c r="E288" s="42"/>
      <c r="F288" s="13"/>
    </row>
    <row r="289" spans="2:6" x14ac:dyDescent="0.3">
      <c r="B289" s="13" t="str">
        <v>Tracy Wells</v>
      </c>
      <c r="C289" s="13"/>
      <c r="D289" s="13"/>
      <c r="E289" s="42"/>
      <c r="F289" s="13"/>
    </row>
    <row r="290" spans="2:6" x14ac:dyDescent="0.3">
      <c r="B290" s="13" t="str">
        <v>Megan Howe</v>
      </c>
      <c r="C290" s="13"/>
      <c r="D290" s="13"/>
      <c r="E290" s="42"/>
      <c r="F290" s="13"/>
    </row>
    <row r="291" spans="2:6" x14ac:dyDescent="0.3">
      <c r="B291" s="13" t="str">
        <v>Douglas Obrien</v>
      </c>
      <c r="C291" s="13"/>
      <c r="D291" s="13"/>
      <c r="E291" s="42"/>
      <c r="F291" s="13"/>
    </row>
    <row r="292" spans="2:6" x14ac:dyDescent="0.3">
      <c r="B292" s="13" t="str">
        <v>Ryan James</v>
      </c>
      <c r="C292" s="13"/>
      <c r="D292" s="13"/>
      <c r="E292" s="42"/>
      <c r="F292" s="13"/>
    </row>
    <row r="293" spans="2:6" x14ac:dyDescent="0.3">
      <c r="B293" s="13" t="str">
        <v>Stephen Cowan</v>
      </c>
      <c r="C293" s="13"/>
      <c r="D293" s="13"/>
      <c r="E293" s="42"/>
      <c r="F293" s="13"/>
    </row>
    <row r="294" spans="2:6" x14ac:dyDescent="0.3">
      <c r="B294" s="13" t="str">
        <v>Judy Johnson</v>
      </c>
      <c r="C294" s="13"/>
      <c r="D294" s="13"/>
      <c r="E294" s="42"/>
      <c r="F294" s="13"/>
    </row>
    <row r="295" spans="2:6" x14ac:dyDescent="0.3">
      <c r="B295" s="13" t="str">
        <v>George Drake</v>
      </c>
      <c r="C295" s="13"/>
      <c r="D295" s="13"/>
      <c r="E295" s="42"/>
      <c r="F295" s="13"/>
    </row>
    <row r="296" spans="2:6" x14ac:dyDescent="0.3">
      <c r="B296" s="13" t="str">
        <v>Connie Robles</v>
      </c>
      <c r="C296" s="13"/>
      <c r="D296" s="13"/>
      <c r="E296" s="42"/>
      <c r="F296" s="13"/>
    </row>
    <row r="297" spans="2:6" x14ac:dyDescent="0.3">
      <c r="B297" s="13" t="str">
        <v>Tamara Daniels</v>
      </c>
      <c r="C297" s="13"/>
      <c r="D297" s="13"/>
      <c r="E297" s="42"/>
      <c r="F297" s="13"/>
    </row>
    <row r="298" spans="2:6" x14ac:dyDescent="0.3">
      <c r="B298" s="13" t="str">
        <v>Samantha Casey</v>
      </c>
      <c r="C298" s="13"/>
      <c r="D298" s="13"/>
      <c r="E298" s="42"/>
      <c r="F298" s="13"/>
    </row>
    <row r="299" spans="2:6" x14ac:dyDescent="0.3">
      <c r="B299" s="13" t="str">
        <v>Kimberly Nicholson</v>
      </c>
      <c r="C299" s="13"/>
      <c r="D299" s="13"/>
      <c r="E299" s="42"/>
      <c r="F299" s="13"/>
    </row>
    <row r="300" spans="2:6" x14ac:dyDescent="0.3">
      <c r="B300" s="13" t="str">
        <v>Holly Hammond</v>
      </c>
      <c r="C300" s="13"/>
      <c r="D300" s="13"/>
      <c r="E300" s="42"/>
      <c r="F300" s="13"/>
    </row>
    <row r="301" spans="2:6" x14ac:dyDescent="0.3">
      <c r="B301" s="13" t="str">
        <v>Ricky King</v>
      </c>
      <c r="C301" s="13"/>
      <c r="D301" s="13"/>
      <c r="E301" s="42"/>
      <c r="F301" s="13"/>
    </row>
    <row r="302" spans="2:6" x14ac:dyDescent="0.3">
      <c r="B302" s="13" t="str">
        <v>Anthony Randall</v>
      </c>
      <c r="C302" s="13"/>
      <c r="D302" s="13"/>
      <c r="E302" s="42"/>
      <c r="F302" s="13"/>
    </row>
    <row r="303" spans="2:6" x14ac:dyDescent="0.3">
      <c r="B303" s="13" t="str">
        <v>Shawn Bennett</v>
      </c>
      <c r="C303" s="13"/>
      <c r="D303" s="13"/>
      <c r="E303" s="42"/>
      <c r="F303" s="13"/>
    </row>
    <row r="304" spans="2:6" x14ac:dyDescent="0.3">
      <c r="B304" s="13" t="str">
        <v>Adam Walton</v>
      </c>
      <c r="C304" s="13"/>
      <c r="D304" s="13"/>
      <c r="E304" s="42"/>
      <c r="F304" s="13"/>
    </row>
    <row r="305" spans="2:6" x14ac:dyDescent="0.3">
      <c r="B305" s="13" t="str">
        <v>Joseph Washington</v>
      </c>
      <c r="C305" s="13"/>
      <c r="D305" s="13"/>
      <c r="E305" s="42"/>
      <c r="F305" s="13"/>
    </row>
    <row r="306" spans="2:6" x14ac:dyDescent="0.3">
      <c r="B306" s="13" t="str">
        <v>Audrey Townsend</v>
      </c>
      <c r="C306" s="13"/>
      <c r="D306" s="13"/>
      <c r="E306" s="42"/>
      <c r="F306" s="13"/>
    </row>
    <row r="307" spans="2:6" x14ac:dyDescent="0.3">
      <c r="B307" s="13" t="str">
        <v>Robin Dorsey</v>
      </c>
      <c r="C307" s="13"/>
      <c r="D307" s="13"/>
      <c r="E307" s="42"/>
      <c r="F307" s="13"/>
    </row>
    <row r="308" spans="2:6" x14ac:dyDescent="0.3">
      <c r="B308" s="13" t="str">
        <v>Susan Francis</v>
      </c>
      <c r="C308" s="13"/>
      <c r="D308" s="13"/>
      <c r="E308" s="42"/>
      <c r="F308" s="13"/>
    </row>
    <row r="309" spans="2:6" x14ac:dyDescent="0.3">
      <c r="B309" s="13" t="str">
        <v>Joseph Mckinney</v>
      </c>
      <c r="C309" s="13"/>
      <c r="D309" s="13"/>
      <c r="E309" s="42"/>
      <c r="F309" s="13"/>
    </row>
    <row r="310" spans="2:6" x14ac:dyDescent="0.3">
      <c r="B310" s="13" t="str">
        <v>Christine Moore</v>
      </c>
      <c r="C310" s="13"/>
      <c r="D310" s="13"/>
      <c r="E310" s="42"/>
      <c r="F310" s="13"/>
    </row>
    <row r="311" spans="2:6" x14ac:dyDescent="0.3">
      <c r="B311" s="13" t="str">
        <v>Crystal Terrell</v>
      </c>
      <c r="C311" s="13"/>
      <c r="D311" s="13"/>
      <c r="E311" s="42"/>
      <c r="F311" s="13"/>
    </row>
    <row r="312" spans="2:6" x14ac:dyDescent="0.3">
      <c r="B312" s="13" t="str">
        <v>Jared Martinez</v>
      </c>
      <c r="C312" s="13"/>
      <c r="D312" s="13"/>
      <c r="E312" s="42"/>
      <c r="F312" s="13"/>
    </row>
    <row r="313" spans="2:6" x14ac:dyDescent="0.3">
      <c r="B313" s="13" t="str">
        <v>Carol Warren</v>
      </c>
      <c r="C313" s="13"/>
      <c r="D313" s="13"/>
      <c r="E313" s="42"/>
      <c r="F313" s="13"/>
    </row>
    <row r="314" spans="2:6" x14ac:dyDescent="0.3">
      <c r="B314" s="13" t="str">
        <v>Chad Perez</v>
      </c>
      <c r="C314" s="13"/>
      <c r="D314" s="13"/>
      <c r="E314" s="42"/>
      <c r="F314" s="13"/>
    </row>
    <row r="315" spans="2:6" x14ac:dyDescent="0.3">
      <c r="B315" s="13" t="str">
        <v>Audrey Barnes</v>
      </c>
      <c r="C315" s="13"/>
      <c r="D315" s="13"/>
      <c r="E315" s="42"/>
      <c r="F315" s="13"/>
    </row>
    <row r="316" spans="2:6" x14ac:dyDescent="0.3">
      <c r="B316" s="13" t="str">
        <v>Eric Hall DDS</v>
      </c>
      <c r="C316" s="13"/>
      <c r="D316" s="13"/>
      <c r="E316" s="42"/>
      <c r="F316" s="13"/>
    </row>
    <row r="317" spans="2:6" x14ac:dyDescent="0.3">
      <c r="B317" s="13" t="str">
        <v>Sheena Zhang</v>
      </c>
      <c r="C317" s="13"/>
      <c r="D317" s="13"/>
      <c r="E317" s="42"/>
      <c r="F317" s="13"/>
    </row>
    <row r="318" spans="2:6" x14ac:dyDescent="0.3">
      <c r="B318" s="13" t="str">
        <v>Vanessa Gay</v>
      </c>
      <c r="C318" s="13"/>
      <c r="D318" s="13"/>
      <c r="E318" s="42"/>
      <c r="F318" s="13"/>
    </row>
    <row r="319" spans="2:6" x14ac:dyDescent="0.3">
      <c r="B319" s="13" t="str">
        <v>Joann Mendoza</v>
      </c>
      <c r="C319" s="13"/>
      <c r="D319" s="13"/>
      <c r="E319" s="42"/>
      <c r="F319" s="13"/>
    </row>
    <row r="320" spans="2:6" x14ac:dyDescent="0.3">
      <c r="B320" s="13" t="str">
        <v>Sheila Fisher</v>
      </c>
      <c r="C320" s="13"/>
      <c r="D320" s="13"/>
      <c r="E320" s="42"/>
      <c r="F320" s="13"/>
    </row>
    <row r="321" spans="2:6" x14ac:dyDescent="0.3">
      <c r="B321" s="13" t="str">
        <v>Jason Medina</v>
      </c>
      <c r="C321" s="13"/>
      <c r="D321" s="13"/>
      <c r="E321" s="42"/>
      <c r="F321" s="13"/>
    </row>
    <row r="322" spans="2:6" x14ac:dyDescent="0.3">
      <c r="B322" s="13" t="str">
        <v>Tammy Williams</v>
      </c>
      <c r="C322" s="13"/>
      <c r="D322" s="13"/>
      <c r="E322" s="42"/>
      <c r="F322" s="13"/>
    </row>
    <row r="323" spans="2:6" x14ac:dyDescent="0.3">
      <c r="B323" s="13" t="str">
        <v>Alejandra Flores</v>
      </c>
      <c r="C323" s="13"/>
      <c r="D323" s="13"/>
      <c r="E323" s="42"/>
      <c r="F323" s="13"/>
    </row>
    <row r="324" spans="2:6" x14ac:dyDescent="0.3">
      <c r="B324" s="13" t="str">
        <v>Sandy Gross</v>
      </c>
      <c r="C324" s="13"/>
      <c r="D324" s="13"/>
      <c r="E324" s="42"/>
      <c r="F324" s="13"/>
    </row>
    <row r="325" spans="2:6" x14ac:dyDescent="0.3">
      <c r="B325" s="13" t="str">
        <v>Johnny Schultz</v>
      </c>
      <c r="C325" s="13"/>
      <c r="D325" s="13"/>
      <c r="E325" s="42"/>
      <c r="F325" s="13"/>
    </row>
    <row r="326" spans="2:6" x14ac:dyDescent="0.3">
      <c r="B326" s="13" t="str">
        <v>Stacey Richards</v>
      </c>
      <c r="C326" s="13"/>
      <c r="D326" s="13"/>
      <c r="E326" s="42"/>
      <c r="F326" s="13"/>
    </row>
    <row r="327" spans="2:6" x14ac:dyDescent="0.3">
      <c r="B327" s="13" t="str">
        <v>Sierra Robinson</v>
      </c>
      <c r="C327" s="13"/>
      <c r="D327" s="13"/>
      <c r="E327" s="42"/>
      <c r="F327" s="13"/>
    </row>
    <row r="328" spans="2:6" x14ac:dyDescent="0.3">
      <c r="B328" s="13" t="str">
        <v>Mrs. Samantha White</v>
      </c>
      <c r="C328" s="13"/>
      <c r="D328" s="13"/>
      <c r="E328" s="42"/>
      <c r="F328" s="13"/>
    </row>
    <row r="329" spans="2:6" x14ac:dyDescent="0.3">
      <c r="B329" s="13" t="str">
        <v>Kaylee Ortiz</v>
      </c>
      <c r="C329" s="13"/>
      <c r="D329" s="13"/>
      <c r="E329" s="42"/>
      <c r="F329" s="13"/>
    </row>
    <row r="330" spans="2:6" x14ac:dyDescent="0.3">
      <c r="B330" s="13" t="str">
        <v>Cory Chaney</v>
      </c>
      <c r="C330" s="13"/>
      <c r="D330" s="13"/>
      <c r="E330" s="42"/>
      <c r="F330" s="13"/>
    </row>
    <row r="331" spans="2:6" x14ac:dyDescent="0.3">
      <c r="B331" s="13" t="str">
        <v>Elizabeth Romero</v>
      </c>
      <c r="C331" s="13"/>
      <c r="D331" s="13"/>
      <c r="E331" s="42"/>
      <c r="F331" s="13"/>
    </row>
    <row r="332" spans="2:6" x14ac:dyDescent="0.3">
      <c r="B332" s="13" t="str">
        <v>Kathryn Nicholson</v>
      </c>
      <c r="C332" s="13"/>
      <c r="D332" s="13"/>
      <c r="E332" s="42"/>
      <c r="F332" s="13"/>
    </row>
    <row r="333" spans="2:6" x14ac:dyDescent="0.3">
      <c r="B333" s="13" t="str">
        <v>Daniel Roberts</v>
      </c>
      <c r="C333" s="13"/>
      <c r="D333" s="13"/>
      <c r="E333" s="42"/>
      <c r="F333" s="13"/>
    </row>
    <row r="334" spans="2:6" x14ac:dyDescent="0.3">
      <c r="B334" s="13" t="str">
        <v>Kevin Long</v>
      </c>
      <c r="C334" s="13"/>
      <c r="D334" s="13"/>
      <c r="E334" s="42"/>
      <c r="F334" s="13"/>
    </row>
    <row r="335" spans="2:6" x14ac:dyDescent="0.3">
      <c r="B335" s="13" t="str">
        <v>Jessica Watkins</v>
      </c>
      <c r="C335" s="13"/>
      <c r="D335" s="13"/>
      <c r="E335" s="42"/>
      <c r="F335" s="13"/>
    </row>
    <row r="336" spans="2:6" x14ac:dyDescent="0.3">
      <c r="B336" s="13" t="str">
        <v>Amanda Rodgers</v>
      </c>
      <c r="C336" s="13"/>
      <c r="D336" s="13"/>
      <c r="E336" s="42"/>
      <c r="F336" s="13"/>
    </row>
    <row r="337" spans="2:6" x14ac:dyDescent="0.3">
      <c r="B337" s="13" t="str">
        <v>Michael Carter</v>
      </c>
      <c r="C337" s="13"/>
      <c r="D337" s="13"/>
      <c r="E337" s="42"/>
      <c r="F337" s="13"/>
    </row>
    <row r="338" spans="2:6" x14ac:dyDescent="0.3">
      <c r="B338" s="13" t="str">
        <v>Emily Thomas</v>
      </c>
      <c r="C338" s="13"/>
      <c r="D338" s="13"/>
      <c r="E338" s="42"/>
      <c r="F338" s="13"/>
    </row>
    <row r="339" spans="2:6" x14ac:dyDescent="0.3">
      <c r="B339" s="13" t="str">
        <v>Tami Walker</v>
      </c>
      <c r="C339" s="13"/>
      <c r="D339" s="13"/>
      <c r="E339" s="42"/>
      <c r="F339" s="13"/>
    </row>
    <row r="340" spans="2:6" x14ac:dyDescent="0.3">
      <c r="B340" s="13" t="str">
        <v>Margaret Johnson</v>
      </c>
      <c r="C340" s="13"/>
      <c r="D340" s="13"/>
      <c r="E340" s="42"/>
      <c r="F340" s="13"/>
    </row>
    <row r="341" spans="2:6" x14ac:dyDescent="0.3">
      <c r="B341" s="13" t="str">
        <v>Andrew Roberts</v>
      </c>
      <c r="C341" s="13"/>
      <c r="D341" s="13"/>
      <c r="E341" s="42"/>
      <c r="F341" s="13"/>
    </row>
    <row r="342" spans="2:6" x14ac:dyDescent="0.3">
      <c r="B342" s="13" t="str">
        <v>Sandra Williamson</v>
      </c>
      <c r="C342" s="13"/>
      <c r="D342" s="13"/>
      <c r="E342" s="42"/>
      <c r="F342" s="13"/>
    </row>
    <row r="343" spans="2:6" x14ac:dyDescent="0.3">
      <c r="B343" s="13" t="str">
        <v>Angela Cooper</v>
      </c>
      <c r="C343" s="13"/>
      <c r="D343" s="13"/>
      <c r="E343" s="42"/>
      <c r="F343" s="13"/>
    </row>
    <row r="344" spans="2:6" x14ac:dyDescent="0.3">
      <c r="B344" s="13" t="str">
        <v>Brian Roy</v>
      </c>
      <c r="C344" s="13"/>
      <c r="D344" s="13"/>
      <c r="E344" s="42"/>
      <c r="F344" s="13"/>
    </row>
    <row r="345" spans="2:6" x14ac:dyDescent="0.3">
      <c r="B345" s="13" t="str">
        <v>Mr. Jose Holland MD</v>
      </c>
      <c r="C345" s="13"/>
      <c r="D345" s="13"/>
      <c r="E345" s="42"/>
      <c r="F345" s="13"/>
    </row>
    <row r="346" spans="2:6" x14ac:dyDescent="0.3">
      <c r="B346" s="13" t="str">
        <v>Keith Johnson</v>
      </c>
      <c r="C346" s="13"/>
      <c r="D346" s="13"/>
      <c r="E346" s="42"/>
      <c r="F346" s="13"/>
    </row>
    <row r="347" spans="2:6" x14ac:dyDescent="0.3">
      <c r="B347" s="13" t="str">
        <v>Kristin Blair</v>
      </c>
      <c r="C347" s="13"/>
      <c r="D347" s="13"/>
      <c r="E347" s="42"/>
      <c r="F347" s="13"/>
    </row>
    <row r="348" spans="2:6" x14ac:dyDescent="0.3">
      <c r="B348" s="13" t="str">
        <v>Heather Thompson</v>
      </c>
      <c r="C348" s="13"/>
      <c r="D348" s="13"/>
      <c r="E348" s="42"/>
      <c r="F348" s="13"/>
    </row>
    <row r="349" spans="2:6" x14ac:dyDescent="0.3">
      <c r="B349" s="13" t="str">
        <v>Robert Branch</v>
      </c>
      <c r="C349" s="13"/>
      <c r="D349" s="13"/>
      <c r="E349" s="42"/>
      <c r="F349" s="13"/>
    </row>
    <row r="350" spans="2:6" x14ac:dyDescent="0.3">
      <c r="B350" s="13" t="str">
        <v>Crystal Mitchell</v>
      </c>
      <c r="C350" s="13"/>
      <c r="D350" s="13"/>
      <c r="E350" s="42"/>
      <c r="F350" s="13"/>
    </row>
    <row r="351" spans="2:6" x14ac:dyDescent="0.3">
      <c r="B351" s="13" t="str">
        <v>Sandra Hernandez MD</v>
      </c>
      <c r="C351" s="13"/>
      <c r="D351" s="13"/>
      <c r="E351" s="42"/>
      <c r="F351" s="13"/>
    </row>
    <row r="352" spans="2:6" x14ac:dyDescent="0.3">
      <c r="B352" s="13" t="str">
        <v>John Clark</v>
      </c>
      <c r="C352" s="13"/>
      <c r="D352" s="13"/>
      <c r="E352" s="42"/>
      <c r="F352" s="13"/>
    </row>
    <row r="353" spans="2:6" x14ac:dyDescent="0.3">
      <c r="B353" s="13" t="str">
        <v>Kelsey Baxter</v>
      </c>
      <c r="C353" s="13"/>
      <c r="D353" s="13"/>
      <c r="E353" s="42"/>
      <c r="F353" s="13"/>
    </row>
    <row r="354" spans="2:6" x14ac:dyDescent="0.3">
      <c r="B354" s="13" t="str">
        <v>Shane Jones</v>
      </c>
      <c r="C354" s="13"/>
      <c r="D354" s="13"/>
      <c r="E354" s="42"/>
      <c r="F354" s="13"/>
    </row>
    <row r="355" spans="2:6" x14ac:dyDescent="0.3">
      <c r="B355" s="13" t="str">
        <v>Diane Vega</v>
      </c>
      <c r="C355" s="13"/>
      <c r="D355" s="13"/>
      <c r="E355" s="42"/>
      <c r="F355" s="13"/>
    </row>
    <row r="356" spans="2:6" x14ac:dyDescent="0.3">
      <c r="B356" s="13" t="str">
        <v>Joshua Wall</v>
      </c>
      <c r="C356" s="13"/>
      <c r="D356" s="13"/>
      <c r="E356" s="42"/>
      <c r="F356" s="13"/>
    </row>
    <row r="357" spans="2:6" x14ac:dyDescent="0.3">
      <c r="B357" s="13" t="str">
        <v>William Evans</v>
      </c>
      <c r="C357" s="13"/>
      <c r="D357" s="13"/>
      <c r="E357" s="42"/>
      <c r="F357" s="13"/>
    </row>
    <row r="358" spans="2:6" x14ac:dyDescent="0.3">
      <c r="B358" s="13" t="str">
        <v>Amanda Carroll</v>
      </c>
      <c r="C358" s="13"/>
      <c r="D358" s="13"/>
      <c r="E358" s="42"/>
      <c r="F358" s="13"/>
    </row>
    <row r="359" spans="2:6" x14ac:dyDescent="0.3">
      <c r="B359" s="13" t="str">
        <v>Angela Douglas</v>
      </c>
      <c r="C359" s="13"/>
      <c r="D359" s="13"/>
      <c r="E359" s="42"/>
      <c r="F359" s="13"/>
    </row>
    <row r="360" spans="2:6" x14ac:dyDescent="0.3">
      <c r="B360" s="13" t="str">
        <v>Andrew Daniels</v>
      </c>
      <c r="C360" s="13"/>
      <c r="D360" s="13"/>
      <c r="E360" s="42"/>
      <c r="F360" s="13"/>
    </row>
    <row r="361" spans="2:6" x14ac:dyDescent="0.3">
      <c r="B361" s="13" t="str">
        <v>Jodi Clark</v>
      </c>
      <c r="C361" s="13"/>
      <c r="D361" s="13"/>
      <c r="E361" s="42"/>
      <c r="F361" s="13"/>
    </row>
    <row r="362" spans="2:6" x14ac:dyDescent="0.3">
      <c r="B362" s="13" t="str">
        <v>Kristin Moore</v>
      </c>
      <c r="C362" s="13"/>
      <c r="D362" s="13"/>
      <c r="E362" s="42"/>
      <c r="F362" s="13"/>
    </row>
    <row r="363" spans="2:6" x14ac:dyDescent="0.3">
      <c r="B363" s="13" t="str">
        <v>John Baker</v>
      </c>
      <c r="C363" s="13"/>
      <c r="D363" s="13"/>
      <c r="E363" s="42"/>
      <c r="F363" s="13"/>
    </row>
    <row r="364" spans="2:6" x14ac:dyDescent="0.3">
      <c r="B364" s="13" t="str">
        <v>Shelley Wilson</v>
      </c>
      <c r="C364" s="13"/>
      <c r="D364" s="13"/>
      <c r="E364" s="42"/>
      <c r="F364" s="13"/>
    </row>
    <row r="365" spans="2:6" x14ac:dyDescent="0.3">
      <c r="B365" s="13" t="str">
        <v>Zachary Lloyd</v>
      </c>
      <c r="C365" s="13"/>
      <c r="D365" s="13"/>
      <c r="E365" s="42"/>
      <c r="F365" s="13"/>
    </row>
    <row r="366" spans="2:6" x14ac:dyDescent="0.3">
      <c r="B366" s="13" t="str">
        <v>Elizabeth Reyes</v>
      </c>
      <c r="C366" s="13"/>
      <c r="D366" s="13"/>
      <c r="E366" s="42"/>
      <c r="F366" s="13"/>
    </row>
    <row r="367" spans="2:6" x14ac:dyDescent="0.3">
      <c r="B367" s="13" t="str">
        <v>Megan Gutierrez</v>
      </c>
      <c r="C367" s="13"/>
      <c r="D367" s="13"/>
      <c r="E367" s="42"/>
      <c r="F367" s="13"/>
    </row>
    <row r="368" spans="2:6" x14ac:dyDescent="0.3">
      <c r="B368" s="13" t="str">
        <v>Charlene White</v>
      </c>
      <c r="C368" s="13"/>
      <c r="D368" s="13"/>
      <c r="E368" s="42"/>
      <c r="F368" s="13"/>
    </row>
    <row r="369" spans="2:6" x14ac:dyDescent="0.3">
      <c r="B369" s="13" t="str">
        <v>Terri Ochoa</v>
      </c>
      <c r="C369" s="13"/>
      <c r="D369" s="13"/>
      <c r="E369" s="42"/>
      <c r="F369" s="13"/>
    </row>
    <row r="370" spans="2:6" x14ac:dyDescent="0.3">
      <c r="B370" s="13" t="str">
        <v>Patricia Davis</v>
      </c>
      <c r="C370" s="13"/>
      <c r="D370" s="13"/>
      <c r="E370" s="42"/>
      <c r="F370" s="13"/>
    </row>
    <row r="371" spans="2:6" x14ac:dyDescent="0.3">
      <c r="B371" s="13" t="str">
        <v>Justin Ramirez</v>
      </c>
      <c r="C371" s="13"/>
      <c r="D371" s="13"/>
      <c r="E371" s="42"/>
      <c r="F371" s="13"/>
    </row>
    <row r="372" spans="2:6" x14ac:dyDescent="0.3">
      <c r="B372" s="13" t="str">
        <v>Robert Moses</v>
      </c>
      <c r="C372" s="13"/>
      <c r="D372" s="13"/>
      <c r="E372" s="42"/>
      <c r="F372" s="13"/>
    </row>
    <row r="373" spans="2:6" x14ac:dyDescent="0.3">
      <c r="B373" s="13" t="str">
        <v>Jenny Jones</v>
      </c>
      <c r="C373" s="13"/>
      <c r="D373" s="13"/>
      <c r="E373" s="42"/>
      <c r="F373" s="13"/>
    </row>
    <row r="374" spans="2:6" x14ac:dyDescent="0.3">
      <c r="B374" s="13" t="str">
        <v>Sarah Wang</v>
      </c>
      <c r="C374" s="13"/>
      <c r="D374" s="13"/>
      <c r="E374" s="42"/>
      <c r="F374" s="13"/>
    </row>
    <row r="375" spans="2:6" x14ac:dyDescent="0.3">
      <c r="B375" s="13" t="str">
        <v>Michelle Flowers</v>
      </c>
      <c r="C375" s="13"/>
      <c r="D375" s="13"/>
      <c r="E375" s="42"/>
      <c r="F375" s="13"/>
    </row>
    <row r="376" spans="2:6" x14ac:dyDescent="0.3">
      <c r="B376" s="13" t="str">
        <v>Anthony Klein</v>
      </c>
      <c r="C376" s="13"/>
      <c r="D376" s="13"/>
      <c r="E376" s="42"/>
      <c r="F376" s="13"/>
    </row>
    <row r="377" spans="2:6" x14ac:dyDescent="0.3">
      <c r="B377" s="13" t="str">
        <v>James Johnson</v>
      </c>
      <c r="C377" s="13"/>
      <c r="D377" s="13"/>
      <c r="E377" s="42"/>
      <c r="F377" s="13"/>
    </row>
    <row r="378" spans="2:6" x14ac:dyDescent="0.3">
      <c r="B378" s="13" t="str">
        <v>Rebecca Hill</v>
      </c>
      <c r="C378" s="13"/>
      <c r="D378" s="13"/>
      <c r="E378" s="42"/>
      <c r="F378" s="13"/>
    </row>
    <row r="379" spans="2:6" x14ac:dyDescent="0.3">
      <c r="B379" s="13" t="str">
        <v>Lori Yang</v>
      </c>
      <c r="C379" s="13"/>
      <c r="D379" s="13"/>
      <c r="E379" s="42"/>
      <c r="F379" s="13"/>
    </row>
    <row r="380" spans="2:6" x14ac:dyDescent="0.3">
      <c r="B380" s="13" t="str">
        <v>Michael Stewart</v>
      </c>
      <c r="C380" s="13"/>
      <c r="D380" s="13"/>
      <c r="E380" s="42"/>
      <c r="F380" s="13"/>
    </row>
    <row r="381" spans="2:6" x14ac:dyDescent="0.3">
      <c r="B381" s="13" t="str">
        <v>Kimberly Rocha</v>
      </c>
      <c r="C381" s="13"/>
      <c r="D381" s="13"/>
      <c r="E381" s="42"/>
      <c r="F381" s="13"/>
    </row>
    <row r="382" spans="2:6" x14ac:dyDescent="0.3">
      <c r="B382" s="13" t="str">
        <v>Joseph Lopez</v>
      </c>
      <c r="C382" s="13"/>
      <c r="D382" s="13"/>
      <c r="E382" s="42"/>
      <c r="F382" s="13"/>
    </row>
    <row r="383" spans="2:6" x14ac:dyDescent="0.3">
      <c r="B383" s="13" t="str">
        <v>Daniel Freeman</v>
      </c>
      <c r="C383" s="13"/>
      <c r="D383" s="13"/>
      <c r="E383" s="42"/>
      <c r="F383" s="13"/>
    </row>
    <row r="384" spans="2:6" x14ac:dyDescent="0.3">
      <c r="B384" s="13" t="str">
        <v>Sarah Jefferson</v>
      </c>
      <c r="C384" s="13"/>
      <c r="D384" s="13"/>
      <c r="E384" s="42"/>
      <c r="F384" s="13"/>
    </row>
    <row r="385" spans="2:6" x14ac:dyDescent="0.3">
      <c r="B385" s="13" t="str">
        <v>Mr. Eric Brown</v>
      </c>
      <c r="C385" s="13"/>
      <c r="D385" s="13"/>
      <c r="E385" s="42"/>
      <c r="F385" s="13"/>
    </row>
    <row r="386" spans="2:6" x14ac:dyDescent="0.3">
      <c r="B386" s="13" t="str">
        <v>Tara Medina</v>
      </c>
      <c r="C386" s="13"/>
      <c r="D386" s="13"/>
      <c r="E386" s="42"/>
      <c r="F386" s="13"/>
    </row>
    <row r="387" spans="2:6" x14ac:dyDescent="0.3">
      <c r="B387" s="13" t="str">
        <v>Anthony Miller</v>
      </c>
      <c r="C387" s="13"/>
      <c r="D387" s="13"/>
      <c r="E387" s="42"/>
      <c r="F387" s="13"/>
    </row>
    <row r="388" spans="2:6" x14ac:dyDescent="0.3">
      <c r="B388" s="13" t="str">
        <v>Corey Campbell</v>
      </c>
      <c r="C388" s="13"/>
      <c r="D388" s="13"/>
      <c r="E388" s="42"/>
      <c r="F388" s="13"/>
    </row>
    <row r="389" spans="2:6" x14ac:dyDescent="0.3">
      <c r="B389" s="13" t="str">
        <v>Mrs. Tricia Davies</v>
      </c>
      <c r="C389" s="13"/>
      <c r="D389" s="13"/>
      <c r="E389" s="42"/>
      <c r="F389" s="13"/>
    </row>
    <row r="390" spans="2:6" x14ac:dyDescent="0.3">
      <c r="B390" s="13" t="str">
        <v>Mary Lewis</v>
      </c>
      <c r="C390" s="13"/>
      <c r="D390" s="13"/>
      <c r="E390" s="42"/>
      <c r="F390" s="13"/>
    </row>
    <row r="391" spans="2:6" x14ac:dyDescent="0.3">
      <c r="B391" s="13" t="str">
        <v>Rachel Welch</v>
      </c>
      <c r="C391" s="13"/>
      <c r="D391" s="13"/>
      <c r="E391" s="42"/>
      <c r="F391" s="13"/>
    </row>
    <row r="392" spans="2:6" x14ac:dyDescent="0.3">
      <c r="B392" s="13" t="str">
        <v>Timothy Hogan</v>
      </c>
      <c r="C392" s="13"/>
      <c r="D392" s="13"/>
      <c r="E392" s="42"/>
      <c r="F392" s="13"/>
    </row>
    <row r="393" spans="2:6" x14ac:dyDescent="0.3">
      <c r="B393" s="13" t="str">
        <v>Todd Long</v>
      </c>
      <c r="C393" s="13"/>
      <c r="D393" s="13"/>
      <c r="E393" s="42"/>
      <c r="F393" s="13"/>
    </row>
    <row r="394" spans="2:6" x14ac:dyDescent="0.3">
      <c r="B394" s="13" t="str">
        <v>Jeremy Adams</v>
      </c>
      <c r="C394" s="13"/>
      <c r="D394" s="13"/>
      <c r="E394" s="42"/>
      <c r="F394" s="13"/>
    </row>
    <row r="395" spans="2:6" x14ac:dyDescent="0.3">
      <c r="B395" s="13" t="str">
        <v>Christopher Cooper</v>
      </c>
      <c r="C395" s="13"/>
      <c r="D395" s="13"/>
      <c r="E395" s="42"/>
      <c r="F395" s="13"/>
    </row>
    <row r="396" spans="2:6" x14ac:dyDescent="0.3">
      <c r="B396" s="13" t="str">
        <v>Benjamin Jackson</v>
      </c>
      <c r="C396" s="13"/>
      <c r="D396" s="13"/>
      <c r="E396" s="42"/>
      <c r="F396" s="13"/>
    </row>
    <row r="397" spans="2:6" x14ac:dyDescent="0.3">
      <c r="B397" s="13" t="str">
        <v>Neil Martinez</v>
      </c>
      <c r="C397" s="13"/>
      <c r="D397" s="13"/>
      <c r="E397" s="42"/>
      <c r="F397" s="13"/>
    </row>
    <row r="398" spans="2:6" x14ac:dyDescent="0.3">
      <c r="B398" s="13" t="str">
        <v>Craig Daniels</v>
      </c>
      <c r="C398" s="13"/>
      <c r="D398" s="13"/>
      <c r="E398" s="42"/>
      <c r="F398" s="13"/>
    </row>
    <row r="399" spans="2:6" x14ac:dyDescent="0.3">
      <c r="B399" s="13" t="str">
        <v>Jean Palmer</v>
      </c>
      <c r="C399" s="13"/>
      <c r="D399" s="13"/>
      <c r="E399" s="42"/>
      <c r="F399" s="13"/>
    </row>
    <row r="400" spans="2:6" x14ac:dyDescent="0.3">
      <c r="B400" s="13" t="str">
        <v>John Serrano</v>
      </c>
      <c r="C400" s="13"/>
      <c r="D400" s="13"/>
      <c r="E400" s="42"/>
      <c r="F400" s="13"/>
    </row>
    <row r="401" spans="2:6" x14ac:dyDescent="0.3">
      <c r="B401" s="13" t="str">
        <v>Hannah Watson</v>
      </c>
      <c r="C401" s="13"/>
      <c r="D401" s="13"/>
      <c r="E401" s="42"/>
      <c r="F401" s="13"/>
    </row>
    <row r="402" spans="2:6" x14ac:dyDescent="0.3">
      <c r="B402" s="13" t="str">
        <v>Laura Kerr</v>
      </c>
      <c r="C402" s="13"/>
      <c r="D402" s="13"/>
      <c r="E402" s="42"/>
      <c r="F402" s="13"/>
    </row>
    <row r="403" spans="2:6" x14ac:dyDescent="0.3">
      <c r="B403" s="13" t="str">
        <v>Ryan Perez</v>
      </c>
      <c r="C403" s="13"/>
      <c r="D403" s="13"/>
      <c r="E403" s="42"/>
      <c r="F403" s="13"/>
    </row>
    <row r="404" spans="2:6" x14ac:dyDescent="0.3">
      <c r="B404" s="13" t="str">
        <v>Karen Leon</v>
      </c>
      <c r="C404" s="13"/>
      <c r="D404" s="13"/>
      <c r="E404" s="42"/>
      <c r="F404" s="13"/>
    </row>
    <row r="405" spans="2:6" x14ac:dyDescent="0.3">
      <c r="B405" s="13" t="str">
        <v>Darlene Garcia MD</v>
      </c>
      <c r="C405" s="13"/>
      <c r="D405" s="13"/>
      <c r="E405" s="42"/>
      <c r="F405" s="13"/>
    </row>
    <row r="406" spans="2:6" x14ac:dyDescent="0.3">
      <c r="B406" s="13" t="str">
        <v>Robin Novak</v>
      </c>
      <c r="C406" s="13"/>
      <c r="D406" s="13"/>
      <c r="E406" s="42"/>
      <c r="F406" s="13"/>
    </row>
    <row r="407" spans="2:6" x14ac:dyDescent="0.3">
      <c r="B407" s="13" t="str">
        <v>Justin Taylor</v>
      </c>
      <c r="C407" s="13"/>
      <c r="D407" s="13"/>
      <c r="E407" s="42"/>
      <c r="F407" s="13"/>
    </row>
    <row r="408" spans="2:6" x14ac:dyDescent="0.3">
      <c r="B408" s="13" t="str">
        <v>Ryan Kelley</v>
      </c>
      <c r="C408" s="13"/>
      <c r="D408" s="13"/>
      <c r="E408" s="42"/>
      <c r="F408" s="13"/>
    </row>
    <row r="409" spans="2:6" x14ac:dyDescent="0.3">
      <c r="B409" s="13" t="str">
        <v>Matthew Long</v>
      </c>
      <c r="C409" s="13"/>
      <c r="D409" s="13"/>
      <c r="E409" s="42"/>
      <c r="F409" s="13"/>
    </row>
    <row r="410" spans="2:6" x14ac:dyDescent="0.3">
      <c r="B410" s="13" t="str">
        <v>Sheila Perez</v>
      </c>
      <c r="C410" s="13"/>
      <c r="D410" s="13"/>
      <c r="E410" s="42"/>
      <c r="F410" s="13"/>
    </row>
    <row r="411" spans="2:6" x14ac:dyDescent="0.3">
      <c r="B411" s="13" t="str">
        <v>Matthew Bennett</v>
      </c>
      <c r="C411" s="13"/>
      <c r="D411" s="13"/>
      <c r="E411" s="42"/>
      <c r="F411" s="13"/>
    </row>
    <row r="412" spans="2:6" x14ac:dyDescent="0.3">
      <c r="B412" s="13" t="str">
        <v>Kristin Robinson</v>
      </c>
      <c r="C412" s="13"/>
      <c r="D412" s="13"/>
      <c r="E412" s="42"/>
      <c r="F412" s="13"/>
    </row>
    <row r="413" spans="2:6" x14ac:dyDescent="0.3">
      <c r="B413" s="13" t="str">
        <v>Autumn Harrison</v>
      </c>
      <c r="C413" s="13"/>
      <c r="D413" s="13"/>
      <c r="E413" s="42"/>
      <c r="F413" s="13"/>
    </row>
    <row r="414" spans="2:6" x14ac:dyDescent="0.3">
      <c r="B414" s="13" t="str">
        <v>Stephanie Miller</v>
      </c>
      <c r="C414" s="13"/>
      <c r="D414" s="13"/>
      <c r="E414" s="42"/>
      <c r="F414" s="13"/>
    </row>
    <row r="415" spans="2:6" x14ac:dyDescent="0.3">
      <c r="B415" s="13" t="str">
        <v>Shaun Smith</v>
      </c>
      <c r="C415" s="13"/>
      <c r="D415" s="13"/>
      <c r="E415" s="42"/>
      <c r="F415" s="13"/>
    </row>
    <row r="416" spans="2:6" x14ac:dyDescent="0.3">
      <c r="B416" s="13" t="str">
        <v>Christine Luna</v>
      </c>
      <c r="C416" s="13"/>
      <c r="D416" s="13"/>
      <c r="E416" s="42"/>
      <c r="F416" s="13"/>
    </row>
    <row r="417" spans="2:6" x14ac:dyDescent="0.3">
      <c r="B417" s="13" t="str">
        <v>Wendy Lee</v>
      </c>
      <c r="C417" s="13"/>
      <c r="D417" s="13"/>
      <c r="E417" s="42"/>
      <c r="F417" s="13"/>
    </row>
    <row r="418" spans="2:6" x14ac:dyDescent="0.3">
      <c r="B418" s="13" t="str">
        <v>Megan Vasquez</v>
      </c>
      <c r="C418" s="13"/>
      <c r="D418" s="13"/>
      <c r="E418" s="42"/>
      <c r="F418" s="13"/>
    </row>
    <row r="419" spans="2:6" x14ac:dyDescent="0.3">
      <c r="B419" s="13" t="str">
        <v>Anthony Gordon</v>
      </c>
      <c r="C419" s="13"/>
      <c r="D419" s="13"/>
      <c r="E419" s="42"/>
      <c r="F419" s="13"/>
    </row>
    <row r="420" spans="2:6" x14ac:dyDescent="0.3">
      <c r="B420" s="13" t="str">
        <v>Mrs. Emma Bradford</v>
      </c>
      <c r="C420" s="13"/>
      <c r="D420" s="13"/>
      <c r="E420" s="42"/>
      <c r="F420" s="13"/>
    </row>
    <row r="421" spans="2:6" x14ac:dyDescent="0.3">
      <c r="B421" s="13" t="str">
        <v>Kenneth Schmidt</v>
      </c>
      <c r="C421" s="13"/>
      <c r="D421" s="13"/>
      <c r="E421" s="42"/>
      <c r="F421" s="13"/>
    </row>
    <row r="422" spans="2:6" x14ac:dyDescent="0.3">
      <c r="B422" s="13" t="str">
        <v>Sara Johnson</v>
      </c>
      <c r="C422" s="13"/>
      <c r="D422" s="13"/>
      <c r="E422" s="42"/>
      <c r="F422" s="13"/>
    </row>
    <row r="423" spans="2:6" x14ac:dyDescent="0.3">
      <c r="B423" s="13" t="str">
        <v>Jessica Terry</v>
      </c>
      <c r="C423" s="13"/>
      <c r="D423" s="13"/>
      <c r="E423" s="42"/>
      <c r="F423" s="13"/>
    </row>
    <row r="424" spans="2:6" x14ac:dyDescent="0.3">
      <c r="B424" s="13" t="str">
        <v>Jennifer Maldonado</v>
      </c>
      <c r="C424" s="13"/>
      <c r="D424" s="13"/>
      <c r="E424" s="42"/>
      <c r="F424" s="13"/>
    </row>
    <row r="425" spans="2:6" x14ac:dyDescent="0.3">
      <c r="B425" s="13" t="str">
        <v>Julie Sutton DVM</v>
      </c>
      <c r="C425" s="13"/>
      <c r="D425" s="13"/>
      <c r="E425" s="42"/>
      <c r="F425" s="13"/>
    </row>
    <row r="426" spans="2:6" x14ac:dyDescent="0.3">
      <c r="B426" s="13" t="str">
        <v>Karen Grimes</v>
      </c>
      <c r="C426" s="13"/>
      <c r="D426" s="13"/>
      <c r="E426" s="42"/>
      <c r="F426" s="13"/>
    </row>
    <row r="427" spans="2:6" x14ac:dyDescent="0.3">
      <c r="B427" s="13" t="str">
        <v>Janet George</v>
      </c>
      <c r="C427" s="13"/>
      <c r="D427" s="13"/>
      <c r="E427" s="42"/>
      <c r="F427" s="13"/>
    </row>
    <row r="428" spans="2:6" x14ac:dyDescent="0.3">
      <c r="B428" s="13" t="str">
        <v>Eric Nelson</v>
      </c>
      <c r="C428" s="13"/>
      <c r="D428" s="13"/>
      <c r="E428" s="42"/>
      <c r="F428" s="13"/>
    </row>
    <row r="429" spans="2:6" x14ac:dyDescent="0.3">
      <c r="B429" s="13" t="str">
        <v>Jennifer Gonzales</v>
      </c>
      <c r="C429" s="13"/>
      <c r="D429" s="13"/>
      <c r="E429" s="42"/>
      <c r="F429" s="13"/>
    </row>
    <row r="430" spans="2:6" x14ac:dyDescent="0.3">
      <c r="B430" s="13" t="str">
        <v>Linda Jones</v>
      </c>
      <c r="C430" s="13"/>
      <c r="D430" s="13"/>
      <c r="E430" s="42"/>
      <c r="F430" s="13"/>
    </row>
    <row r="431" spans="2:6" x14ac:dyDescent="0.3">
      <c r="B431" s="13" t="str">
        <v>Joseph Michael</v>
      </c>
      <c r="C431" s="13"/>
      <c r="D431" s="13"/>
      <c r="E431" s="42"/>
      <c r="F431" s="13"/>
    </row>
    <row r="432" spans="2:6" x14ac:dyDescent="0.3">
      <c r="B432" s="13" t="str">
        <v>Geoffrey Murphy</v>
      </c>
      <c r="C432" s="13"/>
      <c r="D432" s="13"/>
      <c r="E432" s="42"/>
      <c r="F432" s="13"/>
    </row>
    <row r="433" spans="2:6" x14ac:dyDescent="0.3">
      <c r="B433" s="13" t="str">
        <v>Beverly Hill</v>
      </c>
      <c r="C433" s="13"/>
      <c r="D433" s="13"/>
      <c r="E433" s="42"/>
      <c r="F433" s="13"/>
    </row>
    <row r="434" spans="2:6" x14ac:dyDescent="0.3">
      <c r="B434" s="13" t="str">
        <v>Jennifer Vargas</v>
      </c>
      <c r="C434" s="13"/>
      <c r="D434" s="13"/>
      <c r="E434" s="42"/>
      <c r="F434" s="13"/>
    </row>
    <row r="435" spans="2:6" x14ac:dyDescent="0.3">
      <c r="B435" s="13" t="str">
        <v>Steven Anderson</v>
      </c>
      <c r="C435" s="13"/>
      <c r="D435" s="13"/>
      <c r="E435" s="42"/>
      <c r="F435" s="13"/>
    </row>
    <row r="436" spans="2:6" x14ac:dyDescent="0.3">
      <c r="B436" s="13" t="str">
        <v>Mary Allen</v>
      </c>
      <c r="C436" s="13"/>
      <c r="D436" s="13"/>
      <c r="E436" s="42"/>
      <c r="F436" s="13"/>
    </row>
    <row r="437" spans="2:6" x14ac:dyDescent="0.3">
      <c r="B437" s="13" t="str">
        <v>Alejandra Boone</v>
      </c>
      <c r="C437" s="13"/>
      <c r="D437" s="13"/>
      <c r="E437" s="42"/>
      <c r="F437" s="13"/>
    </row>
    <row r="438" spans="2:6" x14ac:dyDescent="0.3">
      <c r="B438" s="13" t="str">
        <v>Michael Spears</v>
      </c>
      <c r="C438" s="13"/>
      <c r="D438" s="13"/>
      <c r="E438" s="42"/>
      <c r="F438" s="13"/>
    </row>
    <row r="439" spans="2:6" x14ac:dyDescent="0.3">
      <c r="B439" s="13" t="str">
        <v>Kristen Miles</v>
      </c>
      <c r="C439" s="13"/>
      <c r="D439" s="13"/>
      <c r="E439" s="42"/>
      <c r="F439" s="13"/>
    </row>
    <row r="440" spans="2:6" x14ac:dyDescent="0.3">
      <c r="B440" s="13" t="str">
        <v>Latoya Soto</v>
      </c>
      <c r="C440" s="13"/>
      <c r="D440" s="13"/>
      <c r="E440" s="42"/>
      <c r="F440" s="13"/>
    </row>
    <row r="441" spans="2:6" x14ac:dyDescent="0.3">
      <c r="B441" s="13" t="str">
        <v>Daniel Booker</v>
      </c>
      <c r="C441" s="13"/>
      <c r="D441" s="13"/>
      <c r="E441" s="42"/>
      <c r="F441" s="13"/>
    </row>
    <row r="442" spans="2:6" x14ac:dyDescent="0.3">
      <c r="B442" s="13" t="str">
        <v>Dr. James Stanley DDS</v>
      </c>
      <c r="C442" s="13"/>
      <c r="D442" s="13"/>
      <c r="E442" s="42"/>
      <c r="F442" s="13"/>
    </row>
    <row r="443" spans="2:6" x14ac:dyDescent="0.3">
      <c r="B443" s="13" t="str">
        <v>Courtney Martin DDS</v>
      </c>
      <c r="C443" s="13"/>
      <c r="D443" s="13"/>
      <c r="E443" s="42"/>
      <c r="F443" s="13"/>
    </row>
    <row r="444" spans="2:6" x14ac:dyDescent="0.3">
      <c r="B444" s="13" t="str">
        <v>Michael Williams</v>
      </c>
      <c r="C444" s="13"/>
      <c r="D444" s="13"/>
      <c r="E444" s="42"/>
      <c r="F444" s="13"/>
    </row>
    <row r="445" spans="2:6" x14ac:dyDescent="0.3">
      <c r="B445" s="13" t="str">
        <v>David Hayes</v>
      </c>
      <c r="C445" s="13"/>
      <c r="D445" s="13"/>
      <c r="E445" s="42"/>
      <c r="F445" s="13"/>
    </row>
    <row r="446" spans="2:6" x14ac:dyDescent="0.3">
      <c r="B446" s="13" t="str">
        <v>Cassandra French</v>
      </c>
      <c r="C446" s="13"/>
      <c r="D446" s="13"/>
      <c r="E446" s="42"/>
      <c r="F446" s="13"/>
    </row>
    <row r="447" spans="2:6" x14ac:dyDescent="0.3">
      <c r="B447" s="13" t="str">
        <v>Amy Smith</v>
      </c>
      <c r="C447" s="13"/>
      <c r="D447" s="13"/>
      <c r="E447" s="42"/>
      <c r="F447" s="13"/>
    </row>
    <row r="448" spans="2:6" x14ac:dyDescent="0.3">
      <c r="B448" s="13" t="str">
        <v>Megan Fernandez</v>
      </c>
      <c r="C448" s="13"/>
      <c r="D448" s="13"/>
      <c r="E448" s="42"/>
      <c r="F448" s="13"/>
    </row>
    <row r="449" spans="2:6" x14ac:dyDescent="0.3">
      <c r="B449" s="13" t="str">
        <v>Kimberly Herrera</v>
      </c>
      <c r="C449" s="13"/>
      <c r="D449" s="13"/>
      <c r="E449" s="42"/>
      <c r="F449" s="13"/>
    </row>
    <row r="450" spans="2:6" x14ac:dyDescent="0.3">
      <c r="B450" s="13" t="str">
        <v>John Howard</v>
      </c>
      <c r="C450" s="13"/>
      <c r="D450" s="13"/>
      <c r="E450" s="42"/>
      <c r="F450" s="13"/>
    </row>
    <row r="451" spans="2:6" x14ac:dyDescent="0.3">
      <c r="B451" s="13" t="str">
        <v>Matthew Gomez</v>
      </c>
      <c r="C451" s="13"/>
      <c r="D451" s="13"/>
      <c r="E451" s="42"/>
      <c r="F451" s="13"/>
    </row>
    <row r="452" spans="2:6" x14ac:dyDescent="0.3">
      <c r="B452" s="13" t="str">
        <v>James Carroll</v>
      </c>
      <c r="C452" s="13"/>
      <c r="D452" s="13"/>
      <c r="E452" s="42"/>
      <c r="F452" s="13"/>
    </row>
    <row r="453" spans="2:6" x14ac:dyDescent="0.3">
      <c r="B453" s="13" t="str">
        <v>Diana Rowe</v>
      </c>
      <c r="C453" s="13"/>
      <c r="D453" s="13"/>
      <c r="E453" s="42"/>
      <c r="F453" s="13"/>
    </row>
    <row r="454" spans="2:6" x14ac:dyDescent="0.3">
      <c r="B454" s="13" t="str">
        <v>Christopher Tucker</v>
      </c>
      <c r="C454" s="13"/>
      <c r="D454" s="13"/>
      <c r="E454" s="42"/>
      <c r="F454" s="13"/>
    </row>
    <row r="455" spans="2:6" x14ac:dyDescent="0.3">
      <c r="B455" s="13" t="str">
        <v>Sarah Huffman</v>
      </c>
      <c r="C455" s="13"/>
      <c r="D455" s="13"/>
      <c r="E455" s="42"/>
      <c r="F455" s="13"/>
    </row>
    <row r="456" spans="2:6" x14ac:dyDescent="0.3">
      <c r="B456" s="13" t="str">
        <v>Mark Reed</v>
      </c>
      <c r="C456" s="13"/>
      <c r="D456" s="13"/>
      <c r="E456" s="42"/>
      <c r="F456" s="13"/>
    </row>
    <row r="457" spans="2:6" x14ac:dyDescent="0.3">
      <c r="B457" s="13" t="str">
        <v>Jennifer Tucker</v>
      </c>
      <c r="C457" s="13"/>
      <c r="D457" s="13"/>
      <c r="E457" s="42"/>
      <c r="F457" s="13"/>
    </row>
    <row r="458" spans="2:6" x14ac:dyDescent="0.3">
      <c r="B458" s="13" t="str">
        <v>David Sullivan</v>
      </c>
      <c r="C458" s="13"/>
      <c r="D458" s="13"/>
      <c r="E458" s="42"/>
      <c r="F458" s="13"/>
    </row>
    <row r="459" spans="2:6" x14ac:dyDescent="0.3">
      <c r="B459" s="13" t="str">
        <v>Julie Daniels</v>
      </c>
      <c r="C459" s="13"/>
      <c r="D459" s="13"/>
      <c r="E459" s="42"/>
      <c r="F459" s="13"/>
    </row>
    <row r="460" spans="2:6" x14ac:dyDescent="0.3">
      <c r="B460" s="13" t="str">
        <v>Latoya Holloway</v>
      </c>
      <c r="C460" s="13"/>
      <c r="D460" s="13"/>
      <c r="E460" s="42"/>
      <c r="F460" s="13"/>
    </row>
    <row r="461" spans="2:6" x14ac:dyDescent="0.3">
      <c r="B461" s="13" t="str">
        <v>Gary Sosa</v>
      </c>
      <c r="C461" s="13"/>
      <c r="D461" s="13"/>
      <c r="E461" s="42"/>
      <c r="F461" s="13"/>
    </row>
    <row r="462" spans="2:6" x14ac:dyDescent="0.3">
      <c r="B462" s="13" t="str">
        <v>Jessica Dominguez</v>
      </c>
      <c r="C462" s="13"/>
      <c r="D462" s="13"/>
      <c r="E462" s="42"/>
      <c r="F462" s="13"/>
    </row>
    <row r="463" spans="2:6" x14ac:dyDescent="0.3">
      <c r="B463" s="13" t="str">
        <v>Amy Carpenter</v>
      </c>
      <c r="C463" s="13"/>
      <c r="D463" s="13"/>
      <c r="E463" s="42"/>
      <c r="F463" s="13"/>
    </row>
    <row r="464" spans="2:6" x14ac:dyDescent="0.3">
      <c r="B464" s="13" t="str">
        <v>Daniel White</v>
      </c>
      <c r="C464" s="13"/>
      <c r="D464" s="13"/>
      <c r="E464" s="42"/>
      <c r="F464" s="13"/>
    </row>
    <row r="465" spans="2:6" x14ac:dyDescent="0.3">
      <c r="B465" s="13" t="str">
        <v>Crystal Brewer</v>
      </c>
      <c r="C465" s="13"/>
      <c r="D465" s="13"/>
      <c r="E465" s="42"/>
      <c r="F465" s="13"/>
    </row>
    <row r="466" spans="2:6" x14ac:dyDescent="0.3">
      <c r="B466" s="13" t="str">
        <v>Christopher Cross</v>
      </c>
      <c r="C466" s="13"/>
      <c r="D466" s="13"/>
      <c r="E466" s="42"/>
      <c r="F466" s="13"/>
    </row>
    <row r="467" spans="2:6" x14ac:dyDescent="0.3">
      <c r="B467" s="13" t="str">
        <v>Robert Roberts</v>
      </c>
      <c r="C467" s="13"/>
      <c r="D467" s="13"/>
      <c r="E467" s="42"/>
      <c r="F467" s="13"/>
    </row>
    <row r="468" spans="2:6" x14ac:dyDescent="0.3">
      <c r="B468" s="13" t="str">
        <v>Courtney White</v>
      </c>
      <c r="C468" s="13"/>
      <c r="D468" s="13"/>
      <c r="E468" s="42"/>
      <c r="F468" s="13"/>
    </row>
    <row r="469" spans="2:6" x14ac:dyDescent="0.3">
      <c r="B469" s="13" t="str">
        <v>Hunter Fernandez</v>
      </c>
      <c r="C469" s="13"/>
      <c r="D469" s="13"/>
      <c r="E469" s="42"/>
      <c r="F469" s="13"/>
    </row>
    <row r="470" spans="2:6" x14ac:dyDescent="0.3">
      <c r="B470" s="13" t="str">
        <v>William Pennington</v>
      </c>
      <c r="C470" s="13"/>
      <c r="D470" s="13"/>
      <c r="E470" s="42"/>
      <c r="F470" s="13"/>
    </row>
    <row r="471" spans="2:6" x14ac:dyDescent="0.3">
      <c r="B471" s="13" t="str">
        <v>Vincent Smith</v>
      </c>
      <c r="C471" s="13"/>
      <c r="D471" s="13"/>
      <c r="E471" s="42"/>
      <c r="F471" s="13"/>
    </row>
    <row r="472" spans="2:6" x14ac:dyDescent="0.3">
      <c r="B472" s="13" t="str">
        <v>Chloe Fisher</v>
      </c>
      <c r="C472" s="13"/>
      <c r="D472" s="13"/>
      <c r="E472" s="42"/>
      <c r="F472" s="13"/>
    </row>
    <row r="473" spans="2:6" x14ac:dyDescent="0.3">
      <c r="B473" s="13" t="str">
        <v>Rebekah Reyes</v>
      </c>
      <c r="C473" s="13"/>
      <c r="D473" s="13"/>
      <c r="E473" s="42"/>
      <c r="F473" s="13"/>
    </row>
    <row r="474" spans="2:6" x14ac:dyDescent="0.3">
      <c r="B474" s="13" t="str">
        <v>Leah Williams</v>
      </c>
      <c r="C474" s="13"/>
      <c r="D474" s="13"/>
      <c r="E474" s="42"/>
      <c r="F474" s="13"/>
    </row>
    <row r="475" spans="2:6" x14ac:dyDescent="0.3">
      <c r="B475" s="13" t="str">
        <v>Gregory Lambert</v>
      </c>
      <c r="C475" s="13"/>
      <c r="D475" s="13"/>
      <c r="E475" s="42"/>
      <c r="F475" s="13"/>
    </row>
    <row r="476" spans="2:6" x14ac:dyDescent="0.3">
      <c r="B476" s="13" t="str">
        <v>Monica Perez</v>
      </c>
      <c r="C476" s="13"/>
      <c r="D476" s="13"/>
      <c r="E476" s="42"/>
      <c r="F476" s="13"/>
    </row>
    <row r="477" spans="2:6" x14ac:dyDescent="0.3">
      <c r="B477" s="13" t="str">
        <v>Wanda Nelson</v>
      </c>
      <c r="C477" s="13"/>
      <c r="D477" s="13"/>
      <c r="E477" s="42"/>
      <c r="F477" s="13"/>
    </row>
    <row r="478" spans="2:6" x14ac:dyDescent="0.3">
      <c r="B478" s="13" t="str">
        <v>Michelle Evans</v>
      </c>
      <c r="C478" s="13"/>
      <c r="D478" s="13"/>
      <c r="E478" s="42"/>
      <c r="F478" s="13"/>
    </row>
    <row r="479" spans="2:6" x14ac:dyDescent="0.3">
      <c r="B479" s="13" t="str">
        <v>Beth Williams</v>
      </c>
      <c r="C479" s="13"/>
      <c r="D479" s="13"/>
      <c r="E479" s="42"/>
      <c r="F479" s="13"/>
    </row>
    <row r="480" spans="2:6" x14ac:dyDescent="0.3">
      <c r="B480" s="13" t="str">
        <v>Michael Lee</v>
      </c>
      <c r="C480" s="13"/>
      <c r="D480" s="13"/>
      <c r="E480" s="42"/>
      <c r="F480" s="13"/>
    </row>
    <row r="481" spans="2:6" x14ac:dyDescent="0.3">
      <c r="B481" s="13" t="str">
        <v>Nicole Bell</v>
      </c>
      <c r="C481" s="13"/>
      <c r="D481" s="13"/>
      <c r="E481" s="42"/>
      <c r="F481" s="13"/>
    </row>
    <row r="482" spans="2:6" x14ac:dyDescent="0.3">
      <c r="B482" s="13" t="str">
        <v>Victor Stephens</v>
      </c>
      <c r="C482" s="13"/>
      <c r="D482" s="13"/>
      <c r="E482" s="42"/>
      <c r="F482" s="13"/>
    </row>
    <row r="483" spans="2:6" x14ac:dyDescent="0.3">
      <c r="B483" s="13" t="str">
        <v>John Martinez</v>
      </c>
      <c r="C483" s="13"/>
      <c r="D483" s="13"/>
      <c r="E483" s="42"/>
      <c r="F483" s="13"/>
    </row>
    <row r="484" spans="2:6" x14ac:dyDescent="0.3">
      <c r="B484" s="13" t="str">
        <v>Ryan Patterson</v>
      </c>
      <c r="C484" s="13"/>
      <c r="D484" s="13"/>
      <c r="E484" s="42"/>
      <c r="F484" s="13"/>
    </row>
    <row r="485" spans="2:6" x14ac:dyDescent="0.3">
      <c r="B485" s="13" t="str">
        <v>Andre Bell</v>
      </c>
      <c r="C485" s="13"/>
      <c r="D485" s="13"/>
      <c r="E485" s="42"/>
      <c r="F485" s="13"/>
    </row>
    <row r="486" spans="2:6" x14ac:dyDescent="0.3">
      <c r="B486" s="13" t="str">
        <v>Jacob Cruz</v>
      </c>
      <c r="C486" s="13"/>
      <c r="D486" s="13"/>
      <c r="E486" s="42"/>
      <c r="F486" s="13"/>
    </row>
    <row r="487" spans="2:6" x14ac:dyDescent="0.3">
      <c r="B487" s="13" t="str">
        <v>Kelly Blanchard</v>
      </c>
      <c r="C487" s="13"/>
      <c r="D487" s="13"/>
      <c r="E487" s="42"/>
      <c r="F487" s="13"/>
    </row>
    <row r="488" spans="2:6" x14ac:dyDescent="0.3">
      <c r="B488" s="13" t="str">
        <v>Thomas Howell</v>
      </c>
      <c r="C488" s="13"/>
      <c r="D488" s="13"/>
      <c r="E488" s="42"/>
      <c r="F488" s="13"/>
    </row>
    <row r="489" spans="2:6" x14ac:dyDescent="0.3">
      <c r="B489" s="13" t="str">
        <v>Marvin Kaufman</v>
      </c>
      <c r="C489" s="13"/>
      <c r="D489" s="13"/>
      <c r="E489" s="42"/>
      <c r="F489" s="13"/>
    </row>
    <row r="490" spans="2:6" x14ac:dyDescent="0.3">
      <c r="B490" s="13" t="str">
        <v>James Caldwell</v>
      </c>
      <c r="C490" s="13"/>
      <c r="D490" s="13"/>
      <c r="E490" s="42"/>
      <c r="F490" s="13"/>
    </row>
    <row r="491" spans="2:6" x14ac:dyDescent="0.3">
      <c r="B491" s="13" t="str">
        <v>Rodney Gibson</v>
      </c>
      <c r="C491" s="13"/>
      <c r="D491" s="13"/>
      <c r="E491" s="42"/>
      <c r="F491" s="13"/>
    </row>
    <row r="492" spans="2:6" x14ac:dyDescent="0.3">
      <c r="B492" s="13" t="str">
        <v>Austin Cole</v>
      </c>
      <c r="C492" s="13"/>
      <c r="D492" s="13"/>
      <c r="E492" s="42"/>
      <c r="F492" s="13"/>
    </row>
    <row r="493" spans="2:6" x14ac:dyDescent="0.3">
      <c r="B493" s="13" t="str">
        <v>Lance Franco</v>
      </c>
      <c r="C493" s="13"/>
      <c r="D493" s="13"/>
      <c r="E493" s="42"/>
      <c r="F493" s="13"/>
    </row>
    <row r="494" spans="2:6" x14ac:dyDescent="0.3">
      <c r="B494" s="13" t="str">
        <v>Christopher Joyce</v>
      </c>
      <c r="C494" s="13"/>
      <c r="D494" s="13"/>
      <c r="E494" s="42"/>
      <c r="F494" s="13"/>
    </row>
    <row r="495" spans="2:6" x14ac:dyDescent="0.3">
      <c r="B495" s="13" t="str">
        <v>Alec Garza</v>
      </c>
      <c r="C495" s="13"/>
      <c r="D495" s="13"/>
      <c r="E495" s="42"/>
      <c r="F495" s="13"/>
    </row>
    <row r="496" spans="2:6" x14ac:dyDescent="0.3">
      <c r="B496" s="13" t="str">
        <v>Adam Guzman</v>
      </c>
      <c r="C496" s="13"/>
      <c r="D496" s="13"/>
      <c r="E496" s="42"/>
      <c r="F496" s="13"/>
    </row>
    <row r="497" spans="2:6" x14ac:dyDescent="0.3">
      <c r="B497" s="13" t="str">
        <v>Angela Camacho</v>
      </c>
      <c r="C497" s="13"/>
      <c r="D497" s="13"/>
      <c r="E497" s="42"/>
      <c r="F497" s="13"/>
    </row>
    <row r="498" spans="2:6" x14ac:dyDescent="0.3">
      <c r="B498" s="13" t="str">
        <v>Ryan Diaz</v>
      </c>
      <c r="C498" s="13"/>
      <c r="D498" s="13"/>
      <c r="E498" s="42"/>
      <c r="F498" s="13"/>
    </row>
    <row r="499" spans="2:6" x14ac:dyDescent="0.3">
      <c r="B499" s="13" t="str">
        <v>Alicia Nunez</v>
      </c>
      <c r="C499" s="13"/>
      <c r="D499" s="13"/>
      <c r="E499" s="42"/>
      <c r="F499" s="13"/>
    </row>
    <row r="500" spans="2:6" x14ac:dyDescent="0.3">
      <c r="B500" s="13" t="str">
        <v>Elizabeth Chambers</v>
      </c>
      <c r="C500" s="13"/>
      <c r="D500" s="13"/>
      <c r="E500" s="42"/>
      <c r="F500" s="13"/>
    </row>
    <row r="501" spans="2:6" x14ac:dyDescent="0.3">
      <c r="B501" s="13" t="str">
        <v>David Greene</v>
      </c>
      <c r="C501" s="13"/>
      <c r="D501" s="13"/>
      <c r="E501" s="42"/>
      <c r="F501" s="13"/>
    </row>
    <row r="502" spans="2:6" x14ac:dyDescent="0.3">
      <c r="B502" s="13" t="str">
        <v>Michael King</v>
      </c>
      <c r="C502" s="13"/>
      <c r="D502" s="13"/>
      <c r="E502" s="42"/>
      <c r="F502" s="13"/>
    </row>
    <row r="503" spans="2:6" x14ac:dyDescent="0.3">
      <c r="B503" s="13" t="str">
        <v>Jenny Taylor</v>
      </c>
      <c r="C503" s="13"/>
      <c r="D503" s="13"/>
      <c r="E503" s="42"/>
      <c r="F503" s="13"/>
    </row>
    <row r="504" spans="2:6" x14ac:dyDescent="0.3">
      <c r="B504" s="13" t="str">
        <v>Thomas Nichols</v>
      </c>
      <c r="C504" s="13"/>
      <c r="D504" s="13"/>
      <c r="E504" s="42"/>
      <c r="F504" s="13"/>
    </row>
    <row r="505" spans="2:6" x14ac:dyDescent="0.3">
      <c r="B505" s="13" t="str">
        <v>Matthew Hoffman</v>
      </c>
      <c r="C505" s="13"/>
      <c r="D505" s="13"/>
      <c r="E505" s="42"/>
      <c r="F505" s="13"/>
    </row>
    <row r="506" spans="2:6" x14ac:dyDescent="0.3">
      <c r="B506" s="13" t="str">
        <v>Dr. Glenn Gaines</v>
      </c>
      <c r="C506" s="13"/>
      <c r="D506" s="13"/>
      <c r="E506" s="42"/>
      <c r="F506" s="13"/>
    </row>
    <row r="507" spans="2:6" x14ac:dyDescent="0.3">
      <c r="B507" s="13" t="str">
        <v>Stephanie Walker</v>
      </c>
      <c r="C507" s="13"/>
      <c r="D507" s="13"/>
      <c r="E507" s="42"/>
      <c r="F507" s="13"/>
    </row>
    <row r="508" spans="2:6" x14ac:dyDescent="0.3">
      <c r="B508" s="13" t="str">
        <v>Brandon Rogers</v>
      </c>
      <c r="C508" s="13"/>
      <c r="D508" s="13"/>
      <c r="E508" s="42"/>
      <c r="F508" s="13"/>
    </row>
    <row r="509" spans="2:6" x14ac:dyDescent="0.3">
      <c r="B509" s="13" t="str">
        <v>Arthur Parker</v>
      </c>
      <c r="C509" s="13"/>
      <c r="D509" s="13"/>
      <c r="E509" s="42"/>
      <c r="F509" s="13"/>
    </row>
    <row r="510" spans="2:6" x14ac:dyDescent="0.3">
      <c r="B510" s="13" t="str">
        <v>Monica Jackson</v>
      </c>
      <c r="C510" s="13"/>
      <c r="D510" s="13"/>
      <c r="E510" s="42"/>
      <c r="F510" s="13"/>
    </row>
    <row r="511" spans="2:6" x14ac:dyDescent="0.3">
      <c r="B511" s="13" t="str">
        <v>Corey Ayala</v>
      </c>
      <c r="C511" s="13"/>
      <c r="D511" s="13"/>
      <c r="E511" s="42"/>
      <c r="F511" s="13"/>
    </row>
    <row r="512" spans="2:6" x14ac:dyDescent="0.3">
      <c r="B512" s="13" t="str">
        <v>Amy Johnson</v>
      </c>
      <c r="C512" s="13"/>
      <c r="D512" s="13"/>
      <c r="E512" s="42"/>
      <c r="F512" s="13"/>
    </row>
    <row r="513" spans="2:6" x14ac:dyDescent="0.3">
      <c r="B513" s="13" t="str">
        <v>Joshua Young</v>
      </c>
      <c r="C513" s="13"/>
      <c r="D513" s="13"/>
      <c r="E513" s="42"/>
      <c r="F513" s="13"/>
    </row>
    <row r="514" spans="2:6" x14ac:dyDescent="0.3">
      <c r="B514" s="13" t="str">
        <v>Alison Williams</v>
      </c>
      <c r="C514" s="13"/>
      <c r="D514" s="13"/>
      <c r="E514" s="42"/>
      <c r="F514" s="13"/>
    </row>
    <row r="515" spans="2:6" x14ac:dyDescent="0.3">
      <c r="B515" s="13" t="str">
        <v>Theresa Huber</v>
      </c>
      <c r="C515" s="13"/>
      <c r="D515" s="13"/>
      <c r="E515" s="42"/>
      <c r="F515" s="13"/>
    </row>
    <row r="516" spans="2:6" x14ac:dyDescent="0.3">
      <c r="B516" s="13" t="str">
        <v>Karen Johnston</v>
      </c>
      <c r="C516" s="13"/>
      <c r="D516" s="13"/>
      <c r="E516" s="42"/>
      <c r="F516" s="13"/>
    </row>
    <row r="517" spans="2:6" x14ac:dyDescent="0.3">
      <c r="B517" s="13" t="str">
        <v>Clayton Green</v>
      </c>
      <c r="C517" s="13"/>
      <c r="D517" s="13"/>
      <c r="E517" s="42"/>
      <c r="F517" s="13"/>
    </row>
    <row r="518" spans="2:6" x14ac:dyDescent="0.3">
      <c r="B518" s="13" t="str">
        <v>Tammy Pham</v>
      </c>
      <c r="C518" s="13"/>
      <c r="D518" s="13"/>
      <c r="E518" s="42"/>
      <c r="F518" s="13"/>
    </row>
    <row r="519" spans="2:6" x14ac:dyDescent="0.3">
      <c r="B519" s="13" t="str">
        <v>Ryan Wallace</v>
      </c>
      <c r="C519" s="13"/>
      <c r="D519" s="13"/>
      <c r="E519" s="42"/>
      <c r="F519" s="13"/>
    </row>
    <row r="520" spans="2:6" x14ac:dyDescent="0.3">
      <c r="B520" s="13" t="str">
        <v>Leslie Moore</v>
      </c>
      <c r="C520" s="13"/>
      <c r="D520" s="13"/>
      <c r="E520" s="42"/>
      <c r="F520" s="13"/>
    </row>
    <row r="521" spans="2:6" x14ac:dyDescent="0.3">
      <c r="B521" s="13" t="str">
        <v>Stephanie Monroe</v>
      </c>
      <c r="C521" s="13"/>
      <c r="D521" s="13"/>
      <c r="E521" s="42"/>
      <c r="F521" s="13"/>
    </row>
    <row r="522" spans="2:6" x14ac:dyDescent="0.3">
      <c r="B522" s="13" t="str">
        <v>Anthony Stevens</v>
      </c>
      <c r="C522" s="13"/>
      <c r="D522" s="13"/>
      <c r="E522" s="42"/>
      <c r="F522" s="13"/>
    </row>
    <row r="523" spans="2:6" x14ac:dyDescent="0.3">
      <c r="B523" s="13" t="str">
        <v>Henry Harris</v>
      </c>
      <c r="C523" s="13"/>
      <c r="D523" s="13"/>
      <c r="E523" s="42"/>
      <c r="F523" s="13"/>
    </row>
    <row r="524" spans="2:6" x14ac:dyDescent="0.3">
      <c r="B524" s="13" t="str">
        <v>Laurie Palmer</v>
      </c>
      <c r="C524" s="13"/>
      <c r="D524" s="13"/>
      <c r="E524" s="42"/>
      <c r="F524" s="13"/>
    </row>
    <row r="525" spans="2:6" x14ac:dyDescent="0.3">
      <c r="B525" s="13" t="str">
        <v>Kyle Scott</v>
      </c>
      <c r="C525" s="13"/>
      <c r="D525" s="13"/>
      <c r="E525" s="42"/>
      <c r="F525" s="13"/>
    </row>
    <row r="526" spans="2:6" x14ac:dyDescent="0.3">
      <c r="B526" s="13" t="str">
        <v>Jimmy Brown</v>
      </c>
      <c r="C526" s="13"/>
      <c r="D526" s="13"/>
      <c r="E526" s="42"/>
      <c r="F526" s="13"/>
    </row>
    <row r="527" spans="2:6" x14ac:dyDescent="0.3">
      <c r="B527" s="13" t="str">
        <v>Joel Doyle</v>
      </c>
      <c r="C527" s="13"/>
      <c r="D527" s="13"/>
      <c r="E527" s="42"/>
      <c r="F527" s="13"/>
    </row>
    <row r="528" spans="2:6" x14ac:dyDescent="0.3">
      <c r="B528" s="13" t="str">
        <v>Ana Chambers</v>
      </c>
      <c r="C528" s="13"/>
      <c r="D528" s="13"/>
      <c r="E528" s="42"/>
      <c r="F528" s="13"/>
    </row>
    <row r="529" spans="2:6" x14ac:dyDescent="0.3">
      <c r="B529" s="13" t="str">
        <v>Teresa Roman</v>
      </c>
      <c r="C529" s="13"/>
      <c r="D529" s="13"/>
      <c r="E529" s="42"/>
      <c r="F529" s="13"/>
    </row>
    <row r="530" spans="2:6" x14ac:dyDescent="0.3">
      <c r="B530" s="13" t="str">
        <v>Mary Williams</v>
      </c>
      <c r="C530" s="13"/>
      <c r="D530" s="13"/>
      <c r="E530" s="42"/>
      <c r="F530" s="13"/>
    </row>
    <row r="531" spans="2:6" x14ac:dyDescent="0.3">
      <c r="B531" s="13" t="str">
        <v>David Perez</v>
      </c>
      <c r="C531" s="13"/>
      <c r="D531" s="13"/>
      <c r="E531" s="42"/>
      <c r="F531" s="13"/>
    </row>
    <row r="532" spans="2:6" x14ac:dyDescent="0.3">
      <c r="B532" s="13" t="str">
        <v>Richard Owens</v>
      </c>
      <c r="C532" s="13"/>
      <c r="D532" s="13"/>
      <c r="E532" s="42"/>
      <c r="F532" s="13"/>
    </row>
    <row r="533" spans="2:6" x14ac:dyDescent="0.3">
      <c r="B533" s="13" t="str">
        <v>Eugene Hall MD</v>
      </c>
      <c r="C533" s="13"/>
      <c r="D533" s="13"/>
      <c r="E533" s="42"/>
      <c r="F533" s="13"/>
    </row>
    <row r="534" spans="2:6" x14ac:dyDescent="0.3">
      <c r="B534" s="13" t="str">
        <v>Alan Chavez MD</v>
      </c>
      <c r="C534" s="13"/>
      <c r="D534" s="13"/>
      <c r="E534" s="42"/>
      <c r="F534" s="13"/>
    </row>
    <row r="535" spans="2:6" x14ac:dyDescent="0.3">
      <c r="B535" s="13" t="str">
        <v>Daniel Hudson</v>
      </c>
      <c r="C535" s="13"/>
      <c r="D535" s="13"/>
      <c r="E535" s="42"/>
      <c r="F535" s="13"/>
    </row>
    <row r="536" spans="2:6" x14ac:dyDescent="0.3">
      <c r="B536" s="13" t="str">
        <v>Tammy Cameron</v>
      </c>
      <c r="C536" s="13"/>
      <c r="D536" s="13"/>
      <c r="E536" s="42"/>
      <c r="F536" s="13"/>
    </row>
    <row r="537" spans="2:6" x14ac:dyDescent="0.3">
      <c r="B537" s="13" t="str">
        <v>Robert Young</v>
      </c>
      <c r="C537" s="13"/>
      <c r="D537" s="13"/>
      <c r="E537" s="42"/>
      <c r="F537" s="13"/>
    </row>
    <row r="538" spans="2:6" x14ac:dyDescent="0.3">
      <c r="B538" s="13" t="str">
        <v>Sandra Andrews</v>
      </c>
      <c r="C538" s="13"/>
      <c r="D538" s="13"/>
      <c r="E538" s="42"/>
      <c r="F538" s="13"/>
    </row>
    <row r="539" spans="2:6" x14ac:dyDescent="0.3">
      <c r="B539" s="13" t="str">
        <v>April Diaz</v>
      </c>
      <c r="C539" s="13"/>
      <c r="D539" s="13"/>
      <c r="E539" s="42"/>
      <c r="F539" s="13"/>
    </row>
    <row r="540" spans="2:6" x14ac:dyDescent="0.3">
      <c r="B540" s="13" t="str">
        <v>Mr. Peter Williams</v>
      </c>
      <c r="C540" s="13"/>
      <c r="D540" s="13"/>
      <c r="E540" s="42"/>
      <c r="F540" s="13"/>
    </row>
    <row r="541" spans="2:6" x14ac:dyDescent="0.3">
      <c r="B541" s="13" t="str">
        <v>Brian Smith</v>
      </c>
      <c r="C541" s="13"/>
      <c r="D541" s="13"/>
      <c r="E541" s="42"/>
      <c r="F541" s="13"/>
    </row>
    <row r="542" spans="2:6" x14ac:dyDescent="0.3">
      <c r="B542" s="13" t="str">
        <v>Jimmy Rivera</v>
      </c>
      <c r="C542" s="13"/>
      <c r="D542" s="13"/>
      <c r="E542" s="42"/>
      <c r="F542" s="13"/>
    </row>
    <row r="543" spans="2:6" x14ac:dyDescent="0.3">
      <c r="B543" s="13" t="str">
        <v>Katrina Boyd</v>
      </c>
      <c r="C543" s="13"/>
      <c r="D543" s="13"/>
      <c r="E543" s="42"/>
      <c r="F543" s="13"/>
    </row>
    <row r="544" spans="2:6" x14ac:dyDescent="0.3">
      <c r="B544" s="13" t="str">
        <v>Nathaniel Brooks</v>
      </c>
      <c r="C544" s="13"/>
      <c r="D544" s="13"/>
      <c r="E544" s="42"/>
      <c r="F544" s="13"/>
    </row>
    <row r="545" spans="2:6" x14ac:dyDescent="0.3">
      <c r="B545" s="13" t="str">
        <v>Karen Owens</v>
      </c>
      <c r="C545" s="13"/>
      <c r="D545" s="13"/>
      <c r="E545" s="42"/>
      <c r="F545" s="13"/>
    </row>
    <row r="546" spans="2:6" x14ac:dyDescent="0.3">
      <c r="B546" s="13" t="str">
        <v>Zachary Underwood</v>
      </c>
      <c r="C546" s="13"/>
      <c r="D546" s="13"/>
      <c r="E546" s="42"/>
      <c r="F546" s="13"/>
    </row>
    <row r="547" spans="2:6" x14ac:dyDescent="0.3">
      <c r="B547" s="13" t="str">
        <v>James Martinez</v>
      </c>
      <c r="C547" s="13"/>
      <c r="D547" s="13"/>
      <c r="E547" s="42"/>
      <c r="F547" s="13"/>
    </row>
    <row r="548" spans="2:6" x14ac:dyDescent="0.3">
      <c r="B548" s="13" t="str">
        <v>Douglas Palmer</v>
      </c>
      <c r="C548" s="13"/>
      <c r="D548" s="13"/>
      <c r="E548" s="42"/>
      <c r="F548" s="13"/>
    </row>
    <row r="549" spans="2:6" x14ac:dyDescent="0.3">
      <c r="B549" s="13" t="str">
        <v>Samuel Peterson</v>
      </c>
      <c r="C549" s="13"/>
      <c r="D549" s="13"/>
      <c r="E549" s="42"/>
      <c r="F549" s="13"/>
    </row>
    <row r="550" spans="2:6" x14ac:dyDescent="0.3">
      <c r="B550" s="13" t="str">
        <v>Dawn Henderson</v>
      </c>
      <c r="C550" s="13"/>
      <c r="D550" s="13"/>
      <c r="E550" s="42"/>
      <c r="F550" s="13"/>
    </row>
    <row r="551" spans="2:6" x14ac:dyDescent="0.3">
      <c r="B551" s="13" t="str">
        <v>Amber Gillespie</v>
      </c>
      <c r="C551" s="13"/>
      <c r="D551" s="13"/>
      <c r="E551" s="42"/>
      <c r="F551" s="13"/>
    </row>
    <row r="552" spans="2:6" x14ac:dyDescent="0.3">
      <c r="B552" s="13" t="str">
        <v>Colton Atkins</v>
      </c>
      <c r="C552" s="13"/>
      <c r="D552" s="13"/>
      <c r="E552" s="42"/>
      <c r="F552" s="13"/>
    </row>
    <row r="553" spans="2:6" x14ac:dyDescent="0.3">
      <c r="B553" s="13" t="str">
        <v>Matthew Juarez</v>
      </c>
      <c r="C553" s="13"/>
      <c r="D553" s="13"/>
      <c r="E553" s="42"/>
      <c r="F553" s="13"/>
    </row>
    <row r="554" spans="2:6" x14ac:dyDescent="0.3">
      <c r="B554" s="13" t="str">
        <v>Nathaniel Hernandez</v>
      </c>
      <c r="C554" s="13"/>
      <c r="D554" s="13"/>
      <c r="E554" s="42"/>
      <c r="F554" s="13"/>
    </row>
    <row r="555" spans="2:6" x14ac:dyDescent="0.3">
      <c r="B555" s="13" t="str">
        <v>Sylvia Hamilton</v>
      </c>
      <c r="C555" s="13"/>
      <c r="D555" s="13"/>
      <c r="E555" s="42"/>
      <c r="F555" s="13"/>
    </row>
    <row r="556" spans="2:6" x14ac:dyDescent="0.3">
      <c r="B556" s="13" t="str">
        <v>Tara Robertson</v>
      </c>
      <c r="C556" s="13"/>
      <c r="D556" s="13"/>
      <c r="E556" s="42"/>
      <c r="F556" s="13"/>
    </row>
    <row r="557" spans="2:6" x14ac:dyDescent="0.3">
      <c r="B557" s="13" t="str">
        <v>Sonya Park</v>
      </c>
      <c r="C557" s="13"/>
      <c r="D557" s="13"/>
      <c r="E557" s="42"/>
      <c r="F557" s="13"/>
    </row>
    <row r="558" spans="2:6" x14ac:dyDescent="0.3">
      <c r="B558" s="13" t="str">
        <v>Maria Foster</v>
      </c>
      <c r="C558" s="13"/>
      <c r="D558" s="13"/>
      <c r="E558" s="42"/>
      <c r="F558" s="13"/>
    </row>
    <row r="559" spans="2:6" x14ac:dyDescent="0.3">
      <c r="B559" s="13" t="str">
        <v>Parker Mitchell</v>
      </c>
      <c r="C559" s="13"/>
      <c r="D559" s="13"/>
      <c r="E559" s="42"/>
      <c r="F559" s="13"/>
    </row>
    <row r="560" spans="2:6" x14ac:dyDescent="0.3">
      <c r="B560" s="13" t="str">
        <v>Emily Novak</v>
      </c>
      <c r="C560" s="13"/>
      <c r="D560" s="13"/>
      <c r="E560" s="42"/>
      <c r="F560" s="13"/>
    </row>
    <row r="561" spans="2:6" x14ac:dyDescent="0.3">
      <c r="B561" s="13" t="str">
        <v>Richard Gibson</v>
      </c>
      <c r="C561" s="13"/>
      <c r="D561" s="13"/>
      <c r="E561" s="42"/>
      <c r="F561" s="13"/>
    </row>
    <row r="562" spans="2:6" x14ac:dyDescent="0.3">
      <c r="B562" s="13" t="str">
        <v>Joy Lewis</v>
      </c>
      <c r="C562" s="13"/>
      <c r="D562" s="13"/>
      <c r="E562" s="42"/>
      <c r="F562" s="13"/>
    </row>
    <row r="563" spans="2:6" x14ac:dyDescent="0.3">
      <c r="B563" s="13" t="str">
        <v>William Scott</v>
      </c>
      <c r="C563" s="13"/>
      <c r="D563" s="13"/>
      <c r="E563" s="42"/>
      <c r="F563" s="13"/>
    </row>
    <row r="564" spans="2:6" x14ac:dyDescent="0.3">
      <c r="B564" s="13" t="str">
        <v>Edward Bates</v>
      </c>
      <c r="C564" s="13"/>
      <c r="D564" s="13"/>
      <c r="E564" s="42"/>
      <c r="F564" s="13"/>
    </row>
    <row r="565" spans="2:6" x14ac:dyDescent="0.3">
      <c r="B565" s="13" t="str">
        <v>Susan Navarro</v>
      </c>
      <c r="C565" s="13"/>
      <c r="D565" s="13"/>
      <c r="E565" s="42"/>
      <c r="F565" s="13"/>
    </row>
    <row r="566" spans="2:6" x14ac:dyDescent="0.3">
      <c r="B566" s="13" t="str">
        <v>Jessica Adams</v>
      </c>
      <c r="C566" s="13"/>
      <c r="D566" s="13"/>
      <c r="E566" s="42"/>
      <c r="F566" s="13"/>
    </row>
    <row r="567" spans="2:6" x14ac:dyDescent="0.3">
      <c r="B567" s="13" t="str">
        <v>Taylor Anderson</v>
      </c>
      <c r="C567" s="13"/>
      <c r="D567" s="13"/>
      <c r="E567" s="42"/>
      <c r="F567" s="13"/>
    </row>
    <row r="568" spans="2:6" x14ac:dyDescent="0.3">
      <c r="B568" s="13" t="str">
        <v>Colleen Prince</v>
      </c>
      <c r="C568" s="13"/>
      <c r="D568" s="13"/>
      <c r="E568" s="42"/>
      <c r="F568" s="13"/>
    </row>
    <row r="569" spans="2:6" x14ac:dyDescent="0.3">
      <c r="B569" s="13" t="str">
        <v>Mark Williams</v>
      </c>
      <c r="C569" s="13"/>
      <c r="D569" s="13"/>
      <c r="E569" s="42"/>
      <c r="F569" s="13"/>
    </row>
    <row r="570" spans="2:6" x14ac:dyDescent="0.3">
      <c r="B570" s="13" t="str">
        <v>Rachel Pham</v>
      </c>
      <c r="C570" s="13"/>
      <c r="D570" s="13"/>
      <c r="E570" s="42"/>
      <c r="F570" s="13"/>
    </row>
    <row r="571" spans="2:6" x14ac:dyDescent="0.3">
      <c r="B571" s="13" t="str">
        <v>Michael Richards</v>
      </c>
      <c r="C571" s="13"/>
      <c r="D571" s="13"/>
      <c r="E571" s="42"/>
      <c r="F571" s="13"/>
    </row>
    <row r="572" spans="2:6" x14ac:dyDescent="0.3">
      <c r="B572" s="13" t="str">
        <v>Michael Robinson</v>
      </c>
      <c r="C572" s="13"/>
      <c r="D572" s="13"/>
      <c r="E572" s="42"/>
      <c r="F572" s="13"/>
    </row>
    <row r="573" spans="2:6" x14ac:dyDescent="0.3">
      <c r="B573" s="13" t="str">
        <v>Stephanie Smith</v>
      </c>
      <c r="C573" s="13"/>
      <c r="D573" s="13"/>
      <c r="E573" s="42"/>
      <c r="F573" s="13"/>
    </row>
    <row r="574" spans="2:6" x14ac:dyDescent="0.3">
      <c r="B574" s="13" t="str">
        <v>Kathy Lowe</v>
      </c>
      <c r="C574" s="13"/>
      <c r="D574" s="13"/>
      <c r="E574" s="42"/>
      <c r="F574" s="13"/>
    </row>
    <row r="575" spans="2:6" x14ac:dyDescent="0.3">
      <c r="B575" s="13" t="str">
        <v>Michael Hall</v>
      </c>
      <c r="C575" s="13"/>
      <c r="D575" s="13"/>
      <c r="E575" s="42"/>
      <c r="F575" s="13"/>
    </row>
    <row r="576" spans="2:6" x14ac:dyDescent="0.3">
      <c r="B576" s="13" t="str">
        <v>Tiffany Heath</v>
      </c>
      <c r="C576" s="13"/>
      <c r="D576" s="13"/>
      <c r="E576" s="42"/>
      <c r="F576" s="13"/>
    </row>
    <row r="577" spans="2:6" x14ac:dyDescent="0.3">
      <c r="B577" s="13" t="str">
        <v>Ann Brown</v>
      </c>
      <c r="C577" s="13"/>
      <c r="D577" s="13"/>
      <c r="E577" s="42"/>
      <c r="F577" s="13"/>
    </row>
    <row r="578" spans="2:6" x14ac:dyDescent="0.3">
      <c r="B578" s="13" t="str">
        <v>Colleen Lane</v>
      </c>
      <c r="C578" s="13"/>
      <c r="D578" s="13"/>
      <c r="E578" s="42"/>
      <c r="F578" s="13"/>
    </row>
    <row r="579" spans="2:6" x14ac:dyDescent="0.3">
      <c r="B579" s="13" t="str">
        <v>Christian Willis</v>
      </c>
      <c r="C579" s="13"/>
      <c r="D579" s="13"/>
      <c r="E579" s="42"/>
      <c r="F579" s="13"/>
    </row>
    <row r="580" spans="2:6" x14ac:dyDescent="0.3">
      <c r="B580" s="13" t="str">
        <v>Colleen Fisher</v>
      </c>
      <c r="C580" s="13"/>
      <c r="D580" s="13"/>
      <c r="E580" s="42"/>
      <c r="F580" s="13"/>
    </row>
    <row r="581" spans="2:6" x14ac:dyDescent="0.3">
      <c r="B581" s="13" t="str">
        <v>Todd Anderson</v>
      </c>
      <c r="C581" s="13"/>
      <c r="D581" s="13"/>
      <c r="E581" s="42"/>
      <c r="F581" s="13"/>
    </row>
    <row r="582" spans="2:6" x14ac:dyDescent="0.3">
      <c r="B582" s="13" t="str">
        <v>Jonathan Howe</v>
      </c>
      <c r="C582" s="13"/>
      <c r="D582" s="13"/>
      <c r="E582" s="42"/>
      <c r="F582" s="13"/>
    </row>
    <row r="583" spans="2:6" x14ac:dyDescent="0.3">
      <c r="B583" s="13" t="str">
        <v>Shelia Garza</v>
      </c>
      <c r="C583" s="13"/>
      <c r="D583" s="13"/>
      <c r="E583" s="42"/>
      <c r="F583" s="13"/>
    </row>
    <row r="584" spans="2:6" x14ac:dyDescent="0.3">
      <c r="B584" s="13" t="str">
        <v>Jack Williams</v>
      </c>
      <c r="C584" s="13"/>
      <c r="D584" s="13"/>
      <c r="E584" s="42"/>
      <c r="F584" s="13"/>
    </row>
    <row r="585" spans="2:6" x14ac:dyDescent="0.3">
      <c r="B585" s="13" t="str">
        <v>Terry Velasquez</v>
      </c>
      <c r="C585" s="13"/>
      <c r="D585" s="13"/>
      <c r="E585" s="42"/>
      <c r="F585" s="13"/>
    </row>
    <row r="586" spans="2:6" x14ac:dyDescent="0.3">
      <c r="B586" s="13" t="str">
        <v>Richard Wright</v>
      </c>
      <c r="C586" s="13"/>
      <c r="D586" s="13"/>
      <c r="E586" s="42"/>
      <c r="F586" s="13"/>
    </row>
    <row r="587" spans="2:6" x14ac:dyDescent="0.3">
      <c r="B587" s="13" t="str">
        <v>Terri Carroll</v>
      </c>
      <c r="C587" s="13"/>
      <c r="D587" s="13"/>
      <c r="E587" s="42"/>
      <c r="F587" s="13"/>
    </row>
    <row r="588" spans="2:6" x14ac:dyDescent="0.3">
      <c r="B588" s="13" t="str">
        <v>Wayne Kelly</v>
      </c>
      <c r="C588" s="13"/>
      <c r="D588" s="13"/>
      <c r="E588" s="42"/>
      <c r="F588" s="13"/>
    </row>
    <row r="589" spans="2:6" x14ac:dyDescent="0.3">
      <c r="B589" s="13" t="str">
        <v>Jessica Burch</v>
      </c>
      <c r="C589" s="13"/>
      <c r="D589" s="13"/>
      <c r="E589" s="42"/>
      <c r="F589" s="13"/>
    </row>
    <row r="590" spans="2:6" x14ac:dyDescent="0.3">
      <c r="B590" s="13" t="str">
        <v>Amanda Stevens</v>
      </c>
      <c r="C590" s="13"/>
      <c r="D590" s="13"/>
      <c r="E590" s="42"/>
      <c r="F590" s="13"/>
    </row>
    <row r="591" spans="2:6" x14ac:dyDescent="0.3">
      <c r="B591" s="13" t="str">
        <v>Alan Clark</v>
      </c>
      <c r="C591" s="13"/>
      <c r="D591" s="13"/>
      <c r="E591" s="42"/>
      <c r="F591" s="13"/>
    </row>
    <row r="592" spans="2:6" x14ac:dyDescent="0.3">
      <c r="B592" s="13" t="str">
        <v>Jacob Harris</v>
      </c>
      <c r="C592" s="13"/>
      <c r="D592" s="13"/>
      <c r="E592" s="42"/>
      <c r="F592" s="13"/>
    </row>
    <row r="593" spans="2:6" x14ac:dyDescent="0.3">
      <c r="B593" s="13" t="str">
        <v>Sarah Jackson</v>
      </c>
      <c r="C593" s="13"/>
      <c r="D593" s="13"/>
      <c r="E593" s="42"/>
      <c r="F593" s="13"/>
    </row>
    <row r="594" spans="2:6" x14ac:dyDescent="0.3">
      <c r="B594" s="13" t="str">
        <v>Mrs. Patricia Gaines</v>
      </c>
      <c r="C594" s="13"/>
      <c r="D594" s="13"/>
      <c r="E594" s="42"/>
      <c r="F594" s="13"/>
    </row>
    <row r="595" spans="2:6" x14ac:dyDescent="0.3">
      <c r="B595" s="13" t="str">
        <v>Jessica Hall</v>
      </c>
      <c r="C595" s="13"/>
      <c r="D595" s="13"/>
      <c r="E595" s="42"/>
      <c r="F595" s="13"/>
    </row>
    <row r="596" spans="2:6" x14ac:dyDescent="0.3">
      <c r="B596" s="13" t="str">
        <v>Christina Thomas</v>
      </c>
      <c r="C596" s="13"/>
      <c r="D596" s="13"/>
      <c r="E596" s="42"/>
      <c r="F596" s="13"/>
    </row>
    <row r="597" spans="2:6" x14ac:dyDescent="0.3">
      <c r="B597" s="13" t="str">
        <v>Nicole Austin</v>
      </c>
      <c r="C597" s="13"/>
      <c r="D597" s="13"/>
      <c r="E597" s="42"/>
      <c r="F597" s="13"/>
    </row>
    <row r="598" spans="2:6" x14ac:dyDescent="0.3">
      <c r="B598" s="13" t="str">
        <v>Catherine Shaw</v>
      </c>
      <c r="C598" s="13"/>
      <c r="D598" s="13"/>
      <c r="E598" s="42"/>
      <c r="F598" s="13"/>
    </row>
    <row r="599" spans="2:6" x14ac:dyDescent="0.3">
      <c r="B599" s="13" t="str">
        <v>Caroline Taylor</v>
      </c>
      <c r="C599" s="13"/>
      <c r="D599" s="13"/>
      <c r="E599" s="42"/>
      <c r="F599" s="13"/>
    </row>
    <row r="600" spans="2:6" x14ac:dyDescent="0.3">
      <c r="B600" s="13" t="str">
        <v>Jordan Harris</v>
      </c>
      <c r="C600" s="13"/>
      <c r="D600" s="13"/>
      <c r="E600" s="42"/>
      <c r="F600" s="13"/>
    </row>
    <row r="601" spans="2:6" x14ac:dyDescent="0.3">
      <c r="B601" s="13" t="str">
        <v>Amber Shaw</v>
      </c>
      <c r="C601" s="13"/>
      <c r="D601" s="13"/>
      <c r="E601" s="42"/>
      <c r="F601" s="13"/>
    </row>
    <row r="602" spans="2:6" x14ac:dyDescent="0.3">
      <c r="B602" s="13" t="str">
        <v>Tracy Harris</v>
      </c>
      <c r="C602" s="13"/>
      <c r="D602" s="13"/>
      <c r="E602" s="42"/>
      <c r="F602" s="13"/>
    </row>
    <row r="603" spans="2:6" x14ac:dyDescent="0.3">
      <c r="B603" s="13" t="str">
        <v>Timothy Kramer</v>
      </c>
      <c r="C603" s="13"/>
      <c r="D603" s="13"/>
      <c r="E603" s="42"/>
      <c r="F603" s="13"/>
    </row>
    <row r="604" spans="2:6" x14ac:dyDescent="0.3">
      <c r="B604" s="13" t="str">
        <v>Dawn Collins</v>
      </c>
      <c r="C604" s="13"/>
      <c r="D604" s="13"/>
      <c r="E604" s="42"/>
      <c r="F604" s="13"/>
    </row>
    <row r="605" spans="2:6" x14ac:dyDescent="0.3">
      <c r="B605" s="13" t="str">
        <v>Kevin Lewis</v>
      </c>
      <c r="C605" s="13"/>
      <c r="D605" s="13"/>
      <c r="E605" s="42"/>
      <c r="F605" s="13"/>
    </row>
    <row r="606" spans="2:6" x14ac:dyDescent="0.3">
      <c r="B606" s="13" t="str">
        <v>Denise Jones</v>
      </c>
      <c r="C606" s="13"/>
      <c r="D606" s="13"/>
      <c r="E606" s="42"/>
      <c r="F606" s="13"/>
    </row>
    <row r="607" spans="2:6" x14ac:dyDescent="0.3">
      <c r="B607" s="13" t="str">
        <v>Michael Gamble</v>
      </c>
      <c r="C607" s="13"/>
      <c r="D607" s="13"/>
      <c r="E607" s="42"/>
      <c r="F607" s="13"/>
    </row>
    <row r="608" spans="2:6" x14ac:dyDescent="0.3">
      <c r="B608" s="13" t="str">
        <v>Adam Marshall</v>
      </c>
      <c r="C608" s="13"/>
      <c r="D608" s="13"/>
      <c r="E608" s="42"/>
      <c r="F608" s="13"/>
    </row>
    <row r="609" spans="2:6" x14ac:dyDescent="0.3">
      <c r="B609" s="13" t="str">
        <v>Patricia Bartlett</v>
      </c>
      <c r="C609" s="13"/>
      <c r="D609" s="13"/>
      <c r="E609" s="42"/>
      <c r="F609" s="13"/>
    </row>
    <row r="610" spans="2:6" x14ac:dyDescent="0.3">
      <c r="B610" s="13" t="str">
        <v>Frank Wilson</v>
      </c>
      <c r="C610" s="13"/>
      <c r="D610" s="13"/>
      <c r="E610" s="42"/>
      <c r="F610" s="13"/>
    </row>
    <row r="611" spans="2:6" x14ac:dyDescent="0.3">
      <c r="B611" s="13" t="str">
        <v>Martin Zuniga</v>
      </c>
      <c r="C611" s="13"/>
      <c r="D611" s="13"/>
      <c r="E611" s="42"/>
      <c r="F611" s="13"/>
    </row>
    <row r="612" spans="2:6" x14ac:dyDescent="0.3">
      <c r="B612" s="13" t="str">
        <v>Michelle Bush</v>
      </c>
      <c r="C612" s="13"/>
      <c r="D612" s="13"/>
      <c r="E612" s="42"/>
      <c r="F612" s="13"/>
    </row>
    <row r="613" spans="2:6" x14ac:dyDescent="0.3">
      <c r="B613" s="13" t="str">
        <v>Maxwell Cox</v>
      </c>
      <c r="C613" s="13"/>
      <c r="D613" s="13"/>
      <c r="E613" s="42"/>
      <c r="F613" s="13"/>
    </row>
    <row r="614" spans="2:6" x14ac:dyDescent="0.3">
      <c r="B614" s="13" t="str">
        <v>Grace Anderson</v>
      </c>
      <c r="C614" s="13"/>
      <c r="D614" s="13"/>
      <c r="E614" s="42"/>
      <c r="F614" s="13"/>
    </row>
    <row r="615" spans="2:6" x14ac:dyDescent="0.3">
      <c r="B615" s="13" t="str">
        <v>Brett Palmer DDS</v>
      </c>
      <c r="C615" s="13"/>
      <c r="D615" s="13"/>
      <c r="E615" s="42"/>
      <c r="F615" s="13"/>
    </row>
    <row r="616" spans="2:6" x14ac:dyDescent="0.3">
      <c r="B616" s="13" t="str">
        <v>Richard Allen</v>
      </c>
      <c r="C616" s="13"/>
      <c r="D616" s="13"/>
      <c r="E616" s="42"/>
      <c r="F616" s="13"/>
    </row>
    <row r="617" spans="2:6" x14ac:dyDescent="0.3">
      <c r="B617" s="13" t="str">
        <v>Terry Thomas</v>
      </c>
      <c r="C617" s="13"/>
      <c r="D617" s="13"/>
      <c r="E617" s="42"/>
      <c r="F617" s="13"/>
    </row>
    <row r="618" spans="2:6" x14ac:dyDescent="0.3">
      <c r="B618" s="13" t="str">
        <v>Dr. Kristin Smith</v>
      </c>
      <c r="C618" s="13"/>
      <c r="D618" s="13"/>
      <c r="E618" s="42"/>
      <c r="F618" s="13"/>
    </row>
    <row r="619" spans="2:6" x14ac:dyDescent="0.3">
      <c r="B619" s="13" t="str">
        <v>John Wood</v>
      </c>
      <c r="C619" s="13"/>
      <c r="D619" s="13"/>
      <c r="E619" s="42"/>
      <c r="F619" s="13"/>
    </row>
    <row r="620" spans="2:6" x14ac:dyDescent="0.3">
      <c r="B620" s="13" t="str">
        <v>Jillian Daniel</v>
      </c>
      <c r="C620" s="13"/>
      <c r="D620" s="13"/>
      <c r="E620" s="42"/>
      <c r="F620" s="13"/>
    </row>
    <row r="621" spans="2:6" x14ac:dyDescent="0.3">
      <c r="B621" s="13" t="str">
        <v>Heather May</v>
      </c>
      <c r="C621" s="13"/>
      <c r="D621" s="13"/>
      <c r="E621" s="42"/>
      <c r="F621" s="13"/>
    </row>
    <row r="622" spans="2:6" x14ac:dyDescent="0.3">
      <c r="B622" s="13" t="str">
        <v>Gene Navarro</v>
      </c>
      <c r="C622" s="13"/>
      <c r="D622" s="13"/>
      <c r="E622" s="42"/>
      <c r="F622" s="13"/>
    </row>
    <row r="623" spans="2:6" x14ac:dyDescent="0.3">
      <c r="B623" s="13" t="str">
        <v>Cheryl Santos</v>
      </c>
      <c r="C623" s="13"/>
      <c r="D623" s="13"/>
      <c r="E623" s="42"/>
      <c r="F623" s="13"/>
    </row>
    <row r="624" spans="2:6" x14ac:dyDescent="0.3">
      <c r="B624" s="13" t="str">
        <v>Gina Martinez</v>
      </c>
      <c r="C624" s="13"/>
      <c r="D624" s="13"/>
      <c r="E624" s="42"/>
      <c r="F624" s="13"/>
    </row>
    <row r="625" spans="2:6" x14ac:dyDescent="0.3">
      <c r="B625" s="13" t="str">
        <v>Jacob Burgess PhD</v>
      </c>
      <c r="C625" s="13"/>
      <c r="D625" s="13"/>
      <c r="E625" s="42"/>
      <c r="F625" s="13"/>
    </row>
    <row r="626" spans="2:6" x14ac:dyDescent="0.3">
      <c r="B626" s="13" t="str">
        <v>Maria Moody</v>
      </c>
      <c r="C626" s="13"/>
      <c r="D626" s="13"/>
      <c r="E626" s="42"/>
      <c r="F626" s="13"/>
    </row>
    <row r="627" spans="2:6" x14ac:dyDescent="0.3">
      <c r="B627" s="13" t="str">
        <v>Dylan Sosa</v>
      </c>
      <c r="C627" s="13"/>
      <c r="D627" s="13"/>
      <c r="E627" s="42"/>
      <c r="F627" s="13"/>
    </row>
    <row r="628" spans="2:6" x14ac:dyDescent="0.3">
      <c r="B628" s="13" t="str">
        <v>Jennifer Taylor</v>
      </c>
      <c r="C628" s="13"/>
      <c r="D628" s="13"/>
      <c r="E628" s="42"/>
      <c r="F628" s="13"/>
    </row>
    <row r="629" spans="2:6" x14ac:dyDescent="0.3">
      <c r="B629" s="13" t="str">
        <v>Mrs. Kimberly Pitts MD</v>
      </c>
      <c r="C629" s="13"/>
      <c r="D629" s="13"/>
      <c r="E629" s="42"/>
      <c r="F629" s="13"/>
    </row>
    <row r="630" spans="2:6" x14ac:dyDescent="0.3">
      <c r="B630" s="13" t="str">
        <v>John Johnson</v>
      </c>
      <c r="C630" s="13"/>
      <c r="D630" s="13"/>
      <c r="E630" s="42"/>
      <c r="F630" s="13"/>
    </row>
    <row r="631" spans="2:6" x14ac:dyDescent="0.3">
      <c r="B631" s="13" t="str">
        <v>Janet Phillips</v>
      </c>
      <c r="C631" s="13"/>
      <c r="D631" s="13"/>
      <c r="E631" s="42"/>
      <c r="F631" s="13"/>
    </row>
    <row r="632" spans="2:6" x14ac:dyDescent="0.3">
      <c r="B632" s="13" t="str">
        <v>Leslie Smith</v>
      </c>
      <c r="C632" s="13"/>
      <c r="D632" s="13"/>
      <c r="E632" s="42"/>
      <c r="F632" s="13"/>
    </row>
    <row r="633" spans="2:6" x14ac:dyDescent="0.3">
      <c r="B633" s="13" t="str">
        <v>Angela Berger</v>
      </c>
      <c r="C633" s="13"/>
      <c r="D633" s="13"/>
      <c r="E633" s="42"/>
      <c r="F633" s="13"/>
    </row>
    <row r="634" spans="2:6" x14ac:dyDescent="0.3">
      <c r="B634" s="13" t="str">
        <v>Jordan Young</v>
      </c>
      <c r="C634" s="13"/>
      <c r="D634" s="13"/>
      <c r="E634" s="42"/>
      <c r="F634" s="13"/>
    </row>
    <row r="635" spans="2:6" x14ac:dyDescent="0.3">
      <c r="B635" s="13" t="str">
        <v>Joseph Richardson</v>
      </c>
      <c r="C635" s="13"/>
      <c r="D635" s="13"/>
      <c r="E635" s="42"/>
      <c r="F635" s="13"/>
    </row>
    <row r="636" spans="2:6" x14ac:dyDescent="0.3">
      <c r="B636" s="13" t="str">
        <v>Thomas Brooks</v>
      </c>
      <c r="C636" s="13"/>
      <c r="D636" s="13"/>
      <c r="E636" s="42"/>
      <c r="F636" s="13"/>
    </row>
    <row r="637" spans="2:6" x14ac:dyDescent="0.3">
      <c r="B637" s="13" t="str">
        <v>Timothy Edwards</v>
      </c>
      <c r="C637" s="13"/>
      <c r="D637" s="13"/>
      <c r="E637" s="42"/>
      <c r="F637" s="13"/>
    </row>
    <row r="638" spans="2:6" x14ac:dyDescent="0.3">
      <c r="B638" s="13" t="str">
        <v>Daniel Riley</v>
      </c>
      <c r="C638" s="13"/>
      <c r="D638" s="13"/>
      <c r="E638" s="42"/>
      <c r="F638" s="13"/>
    </row>
    <row r="639" spans="2:6" x14ac:dyDescent="0.3">
      <c r="B639" s="13" t="str">
        <v>Mariah Scott</v>
      </c>
      <c r="C639" s="13"/>
      <c r="D639" s="13"/>
      <c r="E639" s="42"/>
      <c r="F639" s="13"/>
    </row>
    <row r="640" spans="2:6" x14ac:dyDescent="0.3">
      <c r="B640" s="13" t="str">
        <v>Haley Mckinney</v>
      </c>
      <c r="C640" s="13"/>
      <c r="D640" s="13"/>
      <c r="E640" s="42"/>
      <c r="F640" s="13"/>
    </row>
    <row r="641" spans="2:6" x14ac:dyDescent="0.3">
      <c r="B641" s="13" t="str">
        <v>Sharon Romero</v>
      </c>
      <c r="C641" s="13"/>
      <c r="D641" s="13"/>
      <c r="E641" s="42"/>
      <c r="F641" s="13"/>
    </row>
    <row r="642" spans="2:6" x14ac:dyDescent="0.3">
      <c r="B642" s="13" t="str">
        <v>Theresa Schmidt</v>
      </c>
      <c r="C642" s="13"/>
      <c r="D642" s="13"/>
      <c r="E642" s="42"/>
      <c r="F642" s="13"/>
    </row>
    <row r="643" spans="2:6" x14ac:dyDescent="0.3">
      <c r="B643" s="13" t="str">
        <v>Wendy Pierce</v>
      </c>
      <c r="C643" s="13"/>
      <c r="D643" s="13"/>
      <c r="E643" s="42"/>
      <c r="F643" s="13"/>
    </row>
    <row r="644" spans="2:6" x14ac:dyDescent="0.3">
      <c r="B644" s="13" t="str">
        <v>Ashley Simpson</v>
      </c>
      <c r="C644" s="13"/>
      <c r="D644" s="13"/>
      <c r="E644" s="42"/>
      <c r="F644" s="13"/>
    </row>
    <row r="645" spans="2:6" x14ac:dyDescent="0.3">
      <c r="B645" s="13" t="str">
        <v>James Cook</v>
      </c>
      <c r="C645" s="13"/>
      <c r="D645" s="13"/>
      <c r="E645" s="42"/>
      <c r="F645" s="13"/>
    </row>
    <row r="646" spans="2:6" x14ac:dyDescent="0.3">
      <c r="B646" s="13" t="str">
        <v>Reginald Hansen</v>
      </c>
      <c r="C646" s="13"/>
      <c r="D646" s="13"/>
      <c r="E646" s="42"/>
      <c r="F646" s="13"/>
    </row>
    <row r="647" spans="2:6" x14ac:dyDescent="0.3">
      <c r="B647" s="13" t="str">
        <v>Megan Carter</v>
      </c>
      <c r="C647" s="13"/>
      <c r="D647" s="13"/>
      <c r="E647" s="42"/>
      <c r="F647" s="13"/>
    </row>
    <row r="648" spans="2:6" x14ac:dyDescent="0.3">
      <c r="B648" s="13" t="str">
        <v>Cindy Robertson</v>
      </c>
      <c r="C648" s="13"/>
      <c r="D648" s="13"/>
      <c r="E648" s="42"/>
      <c r="F648" s="13"/>
    </row>
    <row r="649" spans="2:6" x14ac:dyDescent="0.3">
      <c r="B649" s="13" t="str">
        <v>Janet Waller</v>
      </c>
      <c r="C649" s="13"/>
      <c r="D649" s="13"/>
      <c r="E649" s="42"/>
      <c r="F649" s="13"/>
    </row>
    <row r="650" spans="2:6" x14ac:dyDescent="0.3">
      <c r="B650" s="13" t="str">
        <v>David Weeks</v>
      </c>
      <c r="C650" s="13"/>
      <c r="D650" s="13"/>
      <c r="E650" s="42"/>
      <c r="F650" s="13"/>
    </row>
    <row r="651" spans="2:6" x14ac:dyDescent="0.3">
      <c r="B651" s="13" t="str">
        <v>Tammy Reeves</v>
      </c>
      <c r="C651" s="13"/>
      <c r="D651" s="13"/>
      <c r="E651" s="42"/>
      <c r="F651" s="13"/>
    </row>
    <row r="652" spans="2:6" x14ac:dyDescent="0.3">
      <c r="B652" s="13" t="str">
        <v>Adrienne Martin</v>
      </c>
      <c r="C652" s="13"/>
      <c r="D652" s="13"/>
      <c r="E652" s="42"/>
      <c r="F652" s="13"/>
    </row>
    <row r="653" spans="2:6" x14ac:dyDescent="0.3">
      <c r="B653" s="13" t="str">
        <v>Thomas Munoz</v>
      </c>
      <c r="C653" s="13"/>
      <c r="D653" s="13"/>
      <c r="E653" s="42"/>
      <c r="F653" s="13"/>
    </row>
    <row r="654" spans="2:6" x14ac:dyDescent="0.3">
      <c r="B654" s="13" t="str">
        <v>Dana Bartlett</v>
      </c>
      <c r="C654" s="13"/>
      <c r="D654" s="13"/>
      <c r="E654" s="42"/>
      <c r="F654" s="13"/>
    </row>
    <row r="655" spans="2:6" x14ac:dyDescent="0.3">
      <c r="B655" s="13" t="str">
        <v>Gary Scott</v>
      </c>
      <c r="C655" s="13"/>
      <c r="D655" s="13"/>
      <c r="E655" s="42"/>
      <c r="F655" s="13"/>
    </row>
    <row r="656" spans="2:6" x14ac:dyDescent="0.3">
      <c r="B656" s="13" t="str">
        <v>Tamara Fernandez</v>
      </c>
      <c r="C656" s="13"/>
      <c r="D656" s="13"/>
      <c r="E656" s="42"/>
      <c r="F656" s="13"/>
    </row>
    <row r="657" spans="2:6" x14ac:dyDescent="0.3">
      <c r="B657" s="13" t="str">
        <v>Paul Mcdaniel</v>
      </c>
      <c r="C657" s="13"/>
      <c r="D657" s="13"/>
      <c r="E657" s="42"/>
      <c r="F657" s="13"/>
    </row>
    <row r="658" spans="2:6" x14ac:dyDescent="0.3">
      <c r="B658" s="13" t="str">
        <v>Gabriel Park</v>
      </c>
      <c r="C658" s="13"/>
      <c r="D658" s="13"/>
      <c r="E658" s="42"/>
      <c r="F658" s="13"/>
    </row>
    <row r="659" spans="2:6" x14ac:dyDescent="0.3">
      <c r="B659" s="13" t="str">
        <v>Caitlyn Osborne</v>
      </c>
      <c r="C659" s="13"/>
      <c r="D659" s="13"/>
      <c r="E659" s="42"/>
      <c r="F659" s="13"/>
    </row>
    <row r="660" spans="2:6" x14ac:dyDescent="0.3">
      <c r="B660" s="13" t="str">
        <v>Ryan Bryant</v>
      </c>
      <c r="C660" s="13"/>
      <c r="D660" s="13"/>
      <c r="E660" s="42"/>
      <c r="F660" s="13"/>
    </row>
    <row r="661" spans="2:6" x14ac:dyDescent="0.3">
      <c r="B661" s="13" t="str">
        <v>Ryan Carter</v>
      </c>
      <c r="C661" s="13"/>
      <c r="D661" s="13"/>
      <c r="E661" s="42"/>
      <c r="F661" s="13"/>
    </row>
    <row r="662" spans="2:6" x14ac:dyDescent="0.3">
      <c r="B662" s="13" t="str">
        <v>Alexander Hoover</v>
      </c>
      <c r="C662" s="13"/>
      <c r="D662" s="13"/>
      <c r="E662" s="42"/>
      <c r="F662" s="13"/>
    </row>
    <row r="663" spans="2:6" x14ac:dyDescent="0.3">
      <c r="B663" s="13" t="str">
        <v>Laura Pearson</v>
      </c>
      <c r="C663" s="13"/>
      <c r="D663" s="13"/>
      <c r="E663" s="42"/>
      <c r="F663" s="13"/>
    </row>
    <row r="664" spans="2:6" x14ac:dyDescent="0.3">
      <c r="B664" s="13" t="str">
        <v>Garrett Cox</v>
      </c>
      <c r="C664" s="13"/>
      <c r="D664" s="13"/>
      <c r="E664" s="42"/>
      <c r="F664" s="13"/>
    </row>
    <row r="665" spans="2:6" x14ac:dyDescent="0.3">
      <c r="B665" s="13" t="str">
        <v>Heather Mayer</v>
      </c>
      <c r="C665" s="13"/>
      <c r="D665" s="13"/>
      <c r="E665" s="42"/>
      <c r="F665" s="13"/>
    </row>
    <row r="666" spans="2:6" x14ac:dyDescent="0.3">
      <c r="B666" s="13" t="str">
        <v>Kevin Miller</v>
      </c>
      <c r="C666" s="13"/>
      <c r="D666" s="13"/>
      <c r="E666" s="42"/>
      <c r="F666" s="13"/>
    </row>
    <row r="667" spans="2:6" x14ac:dyDescent="0.3">
      <c r="B667" s="13" t="str">
        <v>Andrew Velez</v>
      </c>
      <c r="C667" s="13"/>
      <c r="D667" s="13"/>
      <c r="E667" s="42"/>
      <c r="F667" s="13"/>
    </row>
    <row r="668" spans="2:6" x14ac:dyDescent="0.3">
      <c r="B668" s="13" t="str">
        <v>Samuel Gomez</v>
      </c>
      <c r="C668" s="13"/>
      <c r="D668" s="13"/>
      <c r="E668" s="42"/>
      <c r="F668" s="13"/>
    </row>
    <row r="669" spans="2:6" x14ac:dyDescent="0.3">
      <c r="B669" s="13" t="str">
        <v>Ronald Anderson</v>
      </c>
      <c r="C669" s="13"/>
      <c r="D669" s="13"/>
      <c r="E669" s="42"/>
      <c r="F669" s="13"/>
    </row>
    <row r="670" spans="2:6" x14ac:dyDescent="0.3">
      <c r="B670" s="13" t="str">
        <v>Joseph Chen</v>
      </c>
      <c r="C670" s="13"/>
      <c r="D670" s="13"/>
      <c r="E670" s="42"/>
      <c r="F670" s="13"/>
    </row>
    <row r="671" spans="2:6" x14ac:dyDescent="0.3">
      <c r="B671" s="13" t="str">
        <v>Meghan Rogers</v>
      </c>
      <c r="C671" s="13"/>
      <c r="D671" s="13"/>
      <c r="E671" s="42"/>
      <c r="F671" s="13"/>
    </row>
    <row r="672" spans="2:6" x14ac:dyDescent="0.3">
      <c r="B672" s="13" t="str">
        <v>Katherine Berger</v>
      </c>
      <c r="C672" s="13"/>
      <c r="D672" s="13"/>
      <c r="E672" s="42"/>
      <c r="F672" s="13"/>
    </row>
    <row r="673" spans="2:6" x14ac:dyDescent="0.3">
      <c r="B673" s="13" t="str">
        <v>Tyler Griffith</v>
      </c>
      <c r="C673" s="13"/>
      <c r="D673" s="13"/>
      <c r="E673" s="42"/>
      <c r="F673" s="13"/>
    </row>
    <row r="674" spans="2:6" x14ac:dyDescent="0.3">
      <c r="B674" s="13" t="str">
        <v>John Rogers</v>
      </c>
      <c r="C674" s="13"/>
      <c r="D674" s="13"/>
      <c r="E674" s="42"/>
      <c r="F674" s="13"/>
    </row>
    <row r="675" spans="2:6" x14ac:dyDescent="0.3">
      <c r="B675" s="13" t="str">
        <v>Jennifer Becker</v>
      </c>
      <c r="C675" s="13"/>
      <c r="D675" s="13"/>
      <c r="E675" s="42"/>
      <c r="F675" s="13"/>
    </row>
    <row r="676" spans="2:6" x14ac:dyDescent="0.3">
      <c r="B676" s="13" t="str">
        <v>Anthony Clarke</v>
      </c>
      <c r="C676" s="13"/>
      <c r="D676" s="13"/>
      <c r="E676" s="42"/>
      <c r="F676" s="13"/>
    </row>
    <row r="677" spans="2:6" x14ac:dyDescent="0.3">
      <c r="B677" s="13" t="str">
        <v>Randall Wall</v>
      </c>
      <c r="C677" s="13"/>
      <c r="D677" s="13"/>
      <c r="E677" s="42"/>
      <c r="F677" s="13"/>
    </row>
    <row r="678" spans="2:6" x14ac:dyDescent="0.3">
      <c r="B678" s="13" t="str">
        <v>Jonathan Jordan</v>
      </c>
      <c r="C678" s="13"/>
      <c r="D678" s="13"/>
      <c r="E678" s="42"/>
      <c r="F678" s="13"/>
    </row>
    <row r="679" spans="2:6" x14ac:dyDescent="0.3">
      <c r="B679" s="13" t="str">
        <v>Jonathon Wall</v>
      </c>
      <c r="C679" s="13"/>
      <c r="D679" s="13"/>
      <c r="E679" s="42"/>
      <c r="F679" s="13"/>
    </row>
    <row r="680" spans="2:6" x14ac:dyDescent="0.3">
      <c r="B680" s="13" t="str">
        <v>Brittany Ramirez</v>
      </c>
      <c r="C680" s="13"/>
      <c r="D680" s="13"/>
      <c r="E680" s="42"/>
      <c r="F680" s="13"/>
    </row>
    <row r="681" spans="2:6" x14ac:dyDescent="0.3">
      <c r="B681" s="13" t="str">
        <v>Frederick Mullins</v>
      </c>
      <c r="C681" s="13"/>
      <c r="D681" s="13"/>
      <c r="E681" s="42"/>
      <c r="F681" s="13"/>
    </row>
    <row r="682" spans="2:6" x14ac:dyDescent="0.3">
      <c r="B682" s="13" t="str">
        <v>Dillon Johnson</v>
      </c>
      <c r="C682" s="13"/>
      <c r="D682" s="13"/>
      <c r="E682" s="42"/>
      <c r="F682" s="13"/>
    </row>
    <row r="683" spans="2:6" x14ac:dyDescent="0.3">
      <c r="B683" s="13" t="str">
        <v>Nicolas Velez</v>
      </c>
      <c r="C683" s="13"/>
      <c r="D683" s="13"/>
      <c r="E683" s="42"/>
      <c r="F683" s="13"/>
    </row>
    <row r="684" spans="2:6" x14ac:dyDescent="0.3">
      <c r="B684" s="13" t="str">
        <v>Michael Watson</v>
      </c>
      <c r="C684" s="13"/>
      <c r="D684" s="13"/>
      <c r="E684" s="42"/>
      <c r="F684" s="13"/>
    </row>
    <row r="685" spans="2:6" x14ac:dyDescent="0.3">
      <c r="B685" s="13" t="str">
        <v>Laura Barnett</v>
      </c>
      <c r="C685" s="13"/>
      <c r="D685" s="13"/>
      <c r="E685" s="42"/>
      <c r="F685" s="13"/>
    </row>
    <row r="686" spans="2:6" x14ac:dyDescent="0.3">
      <c r="B686" s="13" t="str">
        <v>Brenda Taylor</v>
      </c>
      <c r="C686" s="13"/>
      <c r="D686" s="13"/>
      <c r="E686" s="42"/>
      <c r="F686" s="13"/>
    </row>
    <row r="687" spans="2:6" x14ac:dyDescent="0.3">
      <c r="B687" s="13" t="str">
        <v>Stacy Hanson</v>
      </c>
      <c r="C687" s="13"/>
      <c r="D687" s="13"/>
      <c r="E687" s="42"/>
      <c r="F687" s="13"/>
    </row>
    <row r="688" spans="2:6" x14ac:dyDescent="0.3">
      <c r="B688" s="13" t="str">
        <v>Amanda Perez</v>
      </c>
      <c r="C688" s="13"/>
      <c r="D688" s="13"/>
      <c r="E688" s="42"/>
      <c r="F688" s="13"/>
    </row>
    <row r="689" spans="2:6" x14ac:dyDescent="0.3">
      <c r="B689" s="13" t="str">
        <v>Susan Burns</v>
      </c>
      <c r="C689" s="13"/>
      <c r="D689" s="13"/>
      <c r="E689" s="42"/>
      <c r="F689" s="13"/>
    </row>
    <row r="690" spans="2:6" x14ac:dyDescent="0.3">
      <c r="B690" s="13" t="str">
        <v>Christy Morse</v>
      </c>
      <c r="C690" s="13"/>
      <c r="D690" s="13"/>
      <c r="E690" s="42"/>
      <c r="F690" s="13"/>
    </row>
    <row r="691" spans="2:6" x14ac:dyDescent="0.3">
      <c r="B691" s="13" t="str">
        <v>Richard Hickman</v>
      </c>
      <c r="C691" s="13"/>
      <c r="D691" s="13"/>
      <c r="E691" s="42"/>
      <c r="F691" s="13"/>
    </row>
    <row r="692" spans="2:6" x14ac:dyDescent="0.3">
      <c r="B692" s="13" t="str">
        <v>Cynthia Rodriguez</v>
      </c>
      <c r="C692" s="13"/>
      <c r="D692" s="13"/>
      <c r="E692" s="42"/>
      <c r="F692" s="13"/>
    </row>
    <row r="693" spans="2:6" x14ac:dyDescent="0.3">
      <c r="B693" s="13" t="str">
        <v>Gabrielle Walker</v>
      </c>
      <c r="C693" s="13"/>
      <c r="D693" s="13"/>
      <c r="E693" s="42"/>
      <c r="F693" s="13"/>
    </row>
    <row r="694" spans="2:6" x14ac:dyDescent="0.3">
      <c r="B694" s="13" t="str">
        <v>Donna Howard</v>
      </c>
      <c r="C694" s="13"/>
      <c r="D694" s="13"/>
      <c r="E694" s="42"/>
      <c r="F694" s="13"/>
    </row>
    <row r="695" spans="2:6" x14ac:dyDescent="0.3">
      <c r="B695" s="13" t="str">
        <v>Heather Owens</v>
      </c>
      <c r="C695" s="13"/>
      <c r="D695" s="13"/>
      <c r="E695" s="42"/>
      <c r="F695" s="13"/>
    </row>
    <row r="696" spans="2:6" x14ac:dyDescent="0.3">
      <c r="B696" s="13" t="str">
        <v>Phillip Herrera</v>
      </c>
      <c r="C696" s="13"/>
      <c r="D696" s="13"/>
      <c r="E696" s="42"/>
      <c r="F696" s="13"/>
    </row>
    <row r="697" spans="2:6" x14ac:dyDescent="0.3">
      <c r="B697" s="13" t="str">
        <v>William Graves</v>
      </c>
      <c r="C697" s="13"/>
      <c r="D697" s="13"/>
      <c r="E697" s="42"/>
      <c r="F697" s="13"/>
    </row>
    <row r="698" spans="2:6" x14ac:dyDescent="0.3">
      <c r="B698" s="13" t="str">
        <v>Martin Gardner</v>
      </c>
      <c r="C698" s="13"/>
      <c r="D698" s="13"/>
      <c r="E698" s="42"/>
      <c r="F698" s="13"/>
    </row>
    <row r="699" spans="2:6" x14ac:dyDescent="0.3">
      <c r="B699" s="13" t="str">
        <v>Lisa Munoz</v>
      </c>
      <c r="C699" s="13"/>
      <c r="D699" s="13"/>
      <c r="E699" s="42"/>
      <c r="F699" s="13"/>
    </row>
    <row r="700" spans="2:6" x14ac:dyDescent="0.3">
      <c r="B700" s="13" t="str">
        <v>Kimberly Davis</v>
      </c>
      <c r="C700" s="13"/>
      <c r="D700" s="13"/>
      <c r="E700" s="42"/>
      <c r="F700" s="13"/>
    </row>
    <row r="701" spans="2:6" x14ac:dyDescent="0.3">
      <c r="B701" s="13" t="str">
        <v>Nancy Walker</v>
      </c>
      <c r="C701" s="13"/>
      <c r="D701" s="13"/>
      <c r="E701" s="42"/>
      <c r="F701" s="13"/>
    </row>
    <row r="702" spans="2:6" x14ac:dyDescent="0.3">
      <c r="B702" s="13" t="str">
        <v>Helen Maxwell</v>
      </c>
      <c r="C702" s="13"/>
      <c r="D702" s="13"/>
      <c r="E702" s="42"/>
      <c r="F702" s="13"/>
    </row>
    <row r="703" spans="2:6" x14ac:dyDescent="0.3">
      <c r="B703" s="13" t="str">
        <v>Martin Zimmerman</v>
      </c>
      <c r="C703" s="13"/>
      <c r="D703" s="13"/>
      <c r="E703" s="42"/>
      <c r="F703" s="13"/>
    </row>
    <row r="704" spans="2:6" x14ac:dyDescent="0.3">
      <c r="B704" s="13" t="str">
        <v>Michael Chapman</v>
      </c>
      <c r="C704" s="13"/>
      <c r="D704" s="13"/>
      <c r="E704" s="42"/>
      <c r="F704" s="13"/>
    </row>
    <row r="705" spans="2:6" x14ac:dyDescent="0.3">
      <c r="B705" s="13" t="str">
        <v>Courtney Gray</v>
      </c>
      <c r="C705" s="13"/>
      <c r="D705" s="13"/>
      <c r="E705" s="42"/>
      <c r="F705" s="13"/>
    </row>
    <row r="706" spans="2:6" x14ac:dyDescent="0.3">
      <c r="B706" s="13" t="str">
        <v>Daniel Howell</v>
      </c>
      <c r="C706" s="13"/>
      <c r="D706" s="13"/>
      <c r="E706" s="42"/>
      <c r="F706" s="13"/>
    </row>
    <row r="707" spans="2:6" x14ac:dyDescent="0.3">
      <c r="B707" s="13" t="str">
        <v>Hannah Valencia</v>
      </c>
      <c r="C707" s="13"/>
      <c r="D707" s="13"/>
      <c r="E707" s="42"/>
      <c r="F707" s="13"/>
    </row>
    <row r="708" spans="2:6" x14ac:dyDescent="0.3">
      <c r="B708" s="13" t="str">
        <v>Diane Chavez</v>
      </c>
      <c r="C708" s="13"/>
      <c r="D708" s="13"/>
      <c r="E708" s="42"/>
      <c r="F708" s="13"/>
    </row>
    <row r="709" spans="2:6" x14ac:dyDescent="0.3">
      <c r="B709" s="13" t="str">
        <v>James Howard</v>
      </c>
      <c r="C709" s="13"/>
      <c r="D709" s="13"/>
      <c r="E709" s="42"/>
      <c r="F709" s="13"/>
    </row>
    <row r="710" spans="2:6" x14ac:dyDescent="0.3">
      <c r="B710" s="13" t="str">
        <v>Denise Gutierrez</v>
      </c>
      <c r="C710" s="13"/>
      <c r="D710" s="13"/>
      <c r="E710" s="42"/>
      <c r="F710" s="13"/>
    </row>
    <row r="711" spans="2:6" x14ac:dyDescent="0.3">
      <c r="B711" s="13" t="str">
        <v>Melissa Moody MD</v>
      </c>
      <c r="C711" s="13"/>
      <c r="D711" s="13"/>
      <c r="E711" s="42"/>
      <c r="F711" s="13"/>
    </row>
    <row r="712" spans="2:6" x14ac:dyDescent="0.3">
      <c r="B712" s="13" t="str">
        <v>Robin Morris MD</v>
      </c>
      <c r="C712" s="13"/>
      <c r="D712" s="13"/>
      <c r="E712" s="42"/>
      <c r="F712" s="13"/>
    </row>
    <row r="713" spans="2:6" x14ac:dyDescent="0.3">
      <c r="B713" s="13" t="str">
        <v>Jason Hamilton</v>
      </c>
      <c r="C713" s="13"/>
      <c r="D713" s="13"/>
      <c r="E713" s="42"/>
      <c r="F713" s="13"/>
    </row>
    <row r="714" spans="2:6" x14ac:dyDescent="0.3">
      <c r="B714" s="13" t="str">
        <v>Emily Johnson</v>
      </c>
      <c r="C714" s="13"/>
      <c r="D714" s="13"/>
      <c r="E714" s="42"/>
      <c r="F714" s="13"/>
    </row>
    <row r="715" spans="2:6" x14ac:dyDescent="0.3">
      <c r="B715" s="13" t="str">
        <v>Ryan Bates</v>
      </c>
      <c r="C715" s="13"/>
      <c r="D715" s="13"/>
      <c r="E715" s="42"/>
      <c r="F715" s="13"/>
    </row>
    <row r="716" spans="2:6" x14ac:dyDescent="0.3">
      <c r="B716" s="13" t="str">
        <v>Antonio Wood</v>
      </c>
      <c r="C716" s="13"/>
      <c r="D716" s="13"/>
      <c r="E716" s="42"/>
      <c r="F716" s="13"/>
    </row>
    <row r="717" spans="2:6" x14ac:dyDescent="0.3">
      <c r="B717" s="13" t="str">
        <v>Mark Alvarez</v>
      </c>
      <c r="C717" s="13"/>
      <c r="D717" s="13"/>
      <c r="E717" s="42"/>
      <c r="F717" s="13"/>
    </row>
    <row r="718" spans="2:6" x14ac:dyDescent="0.3">
      <c r="B718" s="13" t="str">
        <v>Dennis Wright</v>
      </c>
      <c r="C718" s="13"/>
      <c r="D718" s="13"/>
      <c r="E718" s="42"/>
      <c r="F718" s="13"/>
    </row>
    <row r="719" spans="2:6" x14ac:dyDescent="0.3">
      <c r="B719" s="13" t="str">
        <v>Mr. David Franco</v>
      </c>
      <c r="C719" s="13"/>
      <c r="D719" s="13"/>
      <c r="E719" s="42"/>
      <c r="F719" s="13"/>
    </row>
    <row r="720" spans="2:6" x14ac:dyDescent="0.3">
      <c r="B720" s="13" t="str">
        <v>Kevin Blair</v>
      </c>
      <c r="C720" s="13"/>
      <c r="D720" s="13"/>
      <c r="E720" s="42"/>
      <c r="F720" s="13"/>
    </row>
    <row r="721" spans="2:6" x14ac:dyDescent="0.3">
      <c r="B721" s="13" t="str">
        <v>Brittany Swanson DDS</v>
      </c>
      <c r="C721" s="13"/>
      <c r="D721" s="13"/>
      <c r="E721" s="42"/>
      <c r="F721" s="13"/>
    </row>
    <row r="722" spans="2:6" x14ac:dyDescent="0.3">
      <c r="B722" s="13" t="str">
        <v>Mandy Davis</v>
      </c>
      <c r="C722" s="13"/>
      <c r="D722" s="13"/>
      <c r="E722" s="42"/>
      <c r="F722" s="13"/>
    </row>
    <row r="723" spans="2:6" x14ac:dyDescent="0.3">
      <c r="B723" s="13" t="str">
        <v>Philip Kelley</v>
      </c>
      <c r="C723" s="13"/>
      <c r="D723" s="13"/>
      <c r="E723" s="42"/>
      <c r="F723" s="13"/>
    </row>
    <row r="724" spans="2:6" x14ac:dyDescent="0.3">
      <c r="B724" s="13" t="str">
        <v>Raymond Gonzalez</v>
      </c>
      <c r="C724" s="13"/>
      <c r="D724" s="13"/>
      <c r="E724" s="42"/>
      <c r="F724" s="13"/>
    </row>
    <row r="725" spans="2:6" x14ac:dyDescent="0.3">
      <c r="B725" s="13" t="str">
        <v>Brenda Martin</v>
      </c>
      <c r="C725" s="13"/>
      <c r="D725" s="13"/>
      <c r="E725" s="42"/>
      <c r="F725" s="13"/>
    </row>
    <row r="726" spans="2:6" x14ac:dyDescent="0.3">
      <c r="B726" s="13" t="str">
        <v>Shannon Byrd</v>
      </c>
      <c r="C726" s="13"/>
      <c r="D726" s="13"/>
      <c r="E726" s="42"/>
      <c r="F726" s="13"/>
    </row>
    <row r="727" spans="2:6" x14ac:dyDescent="0.3">
      <c r="B727" s="13" t="str">
        <v>Crystal Horn</v>
      </c>
      <c r="C727" s="13"/>
      <c r="D727" s="13"/>
      <c r="E727" s="42"/>
      <c r="F727" s="13"/>
    </row>
    <row r="728" spans="2:6" x14ac:dyDescent="0.3">
      <c r="B728" s="13" t="str">
        <v>Brett Roberts</v>
      </c>
      <c r="C728" s="13"/>
      <c r="D728" s="13"/>
      <c r="E728" s="42"/>
      <c r="F728" s="13"/>
    </row>
    <row r="729" spans="2:6" x14ac:dyDescent="0.3">
      <c r="B729" s="13" t="str">
        <v>Sarah Nelson</v>
      </c>
      <c r="C729" s="13"/>
      <c r="D729" s="13"/>
      <c r="E729" s="42"/>
      <c r="F729" s="13"/>
    </row>
    <row r="730" spans="2:6" x14ac:dyDescent="0.3">
      <c r="B730" s="13" t="str">
        <v>Stephanie Murphy</v>
      </c>
      <c r="C730" s="13"/>
      <c r="D730" s="13"/>
      <c r="E730" s="42"/>
      <c r="F730" s="13"/>
    </row>
    <row r="731" spans="2:6" x14ac:dyDescent="0.3">
      <c r="B731" s="13" t="str">
        <v>Veronica Morales</v>
      </c>
      <c r="C731" s="13"/>
      <c r="D731" s="13"/>
      <c r="E731" s="42"/>
      <c r="F731" s="13"/>
    </row>
    <row r="732" spans="2:6" x14ac:dyDescent="0.3">
      <c r="B732" s="13" t="str">
        <v>Alexander Johnson</v>
      </c>
      <c r="C732" s="13"/>
      <c r="D732" s="13"/>
      <c r="E732" s="42"/>
      <c r="F732" s="13"/>
    </row>
    <row r="733" spans="2:6" x14ac:dyDescent="0.3">
      <c r="B733" s="13" t="str">
        <v>Frank Weiss</v>
      </c>
      <c r="C733" s="13"/>
      <c r="D733" s="13"/>
      <c r="E733" s="42"/>
      <c r="F733" s="13"/>
    </row>
    <row r="734" spans="2:6" x14ac:dyDescent="0.3">
      <c r="B734" s="13" t="str">
        <v>Tony Jennings</v>
      </c>
      <c r="C734" s="13"/>
      <c r="D734" s="13"/>
      <c r="E734" s="42"/>
      <c r="F734" s="13"/>
    </row>
    <row r="735" spans="2:6" x14ac:dyDescent="0.3">
      <c r="B735" s="13" t="str">
        <v>Robert Brown</v>
      </c>
      <c r="C735" s="13"/>
      <c r="D735" s="13"/>
      <c r="E735" s="42"/>
      <c r="F735" s="13"/>
    </row>
    <row r="736" spans="2:6" x14ac:dyDescent="0.3">
      <c r="B736" s="13" t="str">
        <v>Dana Woods</v>
      </c>
      <c r="C736" s="13"/>
      <c r="D736" s="13"/>
      <c r="E736" s="42"/>
      <c r="F736" s="13"/>
    </row>
    <row r="737" spans="2:6" x14ac:dyDescent="0.3">
      <c r="B737" s="13" t="str">
        <v>Kelly Vargas</v>
      </c>
      <c r="C737" s="13"/>
      <c r="D737" s="13"/>
      <c r="E737" s="42"/>
      <c r="F737" s="13"/>
    </row>
    <row r="738" spans="2:6" x14ac:dyDescent="0.3">
      <c r="B738" s="13" t="str">
        <v>Roy Jackson</v>
      </c>
      <c r="C738" s="13"/>
      <c r="D738" s="13"/>
      <c r="E738" s="42"/>
      <c r="F738" s="13"/>
    </row>
    <row r="739" spans="2:6" x14ac:dyDescent="0.3">
      <c r="B739" s="13" t="str">
        <v>Troy Hernandez</v>
      </c>
      <c r="C739" s="13"/>
      <c r="D739" s="13"/>
      <c r="E739" s="42"/>
      <c r="F739" s="13"/>
    </row>
    <row r="740" spans="2:6" x14ac:dyDescent="0.3">
      <c r="B740" s="13" t="str">
        <v>Joseph Phillips</v>
      </c>
      <c r="C740" s="13"/>
      <c r="D740" s="13"/>
      <c r="E740" s="42"/>
      <c r="F740" s="13"/>
    </row>
    <row r="741" spans="2:6" x14ac:dyDescent="0.3">
      <c r="B741" s="13" t="str">
        <v>Michael Arias</v>
      </c>
      <c r="C741" s="13"/>
      <c r="D741" s="13"/>
      <c r="E741" s="42"/>
      <c r="F741" s="13"/>
    </row>
    <row r="742" spans="2:6" x14ac:dyDescent="0.3">
      <c r="B742" s="13" t="str">
        <v>Wesley Lynch</v>
      </c>
      <c r="C742" s="13"/>
      <c r="D742" s="13"/>
      <c r="E742" s="42"/>
      <c r="F742" s="13"/>
    </row>
    <row r="743" spans="2:6" x14ac:dyDescent="0.3">
      <c r="B743" s="13" t="str">
        <v>Hayden Ortega</v>
      </c>
      <c r="C743" s="13"/>
      <c r="D743" s="13"/>
      <c r="E743" s="42"/>
      <c r="F743" s="13"/>
    </row>
    <row r="744" spans="2:6" x14ac:dyDescent="0.3">
      <c r="B744" s="13" t="str">
        <v>Sharon Richardson</v>
      </c>
      <c r="C744" s="13"/>
      <c r="D744" s="13"/>
      <c r="E744" s="42"/>
      <c r="F744" s="13"/>
    </row>
    <row r="745" spans="2:6" x14ac:dyDescent="0.3">
      <c r="B745" s="13" t="str">
        <v>Laurie Padilla MD</v>
      </c>
      <c r="C745" s="13"/>
      <c r="D745" s="13"/>
      <c r="E745" s="42"/>
      <c r="F745" s="13"/>
    </row>
    <row r="746" spans="2:6" x14ac:dyDescent="0.3">
      <c r="B746" s="13" t="str">
        <v>Sylvia Johnson</v>
      </c>
      <c r="C746" s="13"/>
      <c r="D746" s="13"/>
      <c r="E746" s="42"/>
      <c r="F746" s="13"/>
    </row>
    <row r="747" spans="2:6" x14ac:dyDescent="0.3">
      <c r="B747" s="13" t="str">
        <v>Marcus Hall</v>
      </c>
      <c r="C747" s="13"/>
      <c r="D747" s="13"/>
      <c r="E747" s="42"/>
      <c r="F747" s="13"/>
    </row>
    <row r="748" spans="2:6" x14ac:dyDescent="0.3">
      <c r="B748" s="13" t="str">
        <v>Kevin Martinez</v>
      </c>
      <c r="C748" s="13"/>
      <c r="D748" s="13"/>
      <c r="E748" s="42"/>
      <c r="F748" s="13"/>
    </row>
    <row r="749" spans="2:6" x14ac:dyDescent="0.3">
      <c r="B749" s="13" t="str">
        <v>Derek Brandt</v>
      </c>
      <c r="C749" s="13"/>
      <c r="D749" s="13"/>
      <c r="E749" s="42"/>
      <c r="F749" s="13"/>
    </row>
    <row r="750" spans="2:6" x14ac:dyDescent="0.3">
      <c r="B750" s="13" t="str">
        <v>Brittany Stokes</v>
      </c>
      <c r="C750" s="13"/>
      <c r="D750" s="13"/>
      <c r="E750" s="42"/>
      <c r="F750" s="13"/>
    </row>
    <row r="751" spans="2:6" x14ac:dyDescent="0.3">
      <c r="B751" s="13" t="str">
        <v>Mary Franco</v>
      </c>
      <c r="C751" s="13"/>
      <c r="D751" s="13"/>
      <c r="E751" s="42"/>
      <c r="F751" s="13"/>
    </row>
    <row r="752" spans="2:6" x14ac:dyDescent="0.3">
      <c r="B752" s="13" t="str">
        <v>Veronica Stewart</v>
      </c>
      <c r="C752" s="13"/>
      <c r="D752" s="13"/>
      <c r="E752" s="42"/>
      <c r="F752" s="13"/>
    </row>
    <row r="753" spans="2:6" x14ac:dyDescent="0.3">
      <c r="B753" s="13" t="str">
        <v>Savannah Adams</v>
      </c>
      <c r="C753" s="13"/>
      <c r="D753" s="13"/>
      <c r="E753" s="42"/>
      <c r="F753" s="13"/>
    </row>
    <row r="754" spans="2:6" x14ac:dyDescent="0.3">
      <c r="B754" s="13" t="str">
        <v>Brenda Morales</v>
      </c>
      <c r="C754" s="13"/>
      <c r="D754" s="13"/>
      <c r="E754" s="42"/>
      <c r="F754" s="13"/>
    </row>
    <row r="755" spans="2:6" x14ac:dyDescent="0.3">
      <c r="B755" s="13" t="str">
        <v>Alan Farrell</v>
      </c>
      <c r="C755" s="13"/>
      <c r="D755" s="13"/>
      <c r="E755" s="42"/>
      <c r="F755" s="13"/>
    </row>
    <row r="756" spans="2:6" x14ac:dyDescent="0.3">
      <c r="B756" s="13" t="str">
        <v>Erika Wilson</v>
      </c>
      <c r="C756" s="13"/>
      <c r="D756" s="13"/>
      <c r="E756" s="42"/>
      <c r="F756" s="13"/>
    </row>
    <row r="757" spans="2:6" x14ac:dyDescent="0.3">
      <c r="B757" s="13" t="str">
        <v>Mr. Matthew Ross</v>
      </c>
      <c r="C757" s="13"/>
      <c r="D757" s="13"/>
      <c r="E757" s="42"/>
      <c r="F757" s="13"/>
    </row>
    <row r="758" spans="2:6" x14ac:dyDescent="0.3">
      <c r="B758" s="13" t="str">
        <v>Mackenzie Martinez</v>
      </c>
      <c r="C758" s="13"/>
      <c r="D758" s="13"/>
      <c r="E758" s="42"/>
      <c r="F758" s="13"/>
    </row>
    <row r="759" spans="2:6" x14ac:dyDescent="0.3">
      <c r="B759" s="13" t="str">
        <v>Samantha Salazar</v>
      </c>
      <c r="C759" s="13"/>
      <c r="D759" s="13"/>
      <c r="E759" s="42"/>
      <c r="F759" s="13"/>
    </row>
    <row r="760" spans="2:6" x14ac:dyDescent="0.3">
      <c r="B760" s="13" t="str">
        <v>Mikayla Johnson</v>
      </c>
      <c r="C760" s="13"/>
      <c r="D760" s="13"/>
      <c r="E760" s="42"/>
      <c r="F760" s="13"/>
    </row>
    <row r="761" spans="2:6" x14ac:dyDescent="0.3">
      <c r="B761" s="13" t="str">
        <v>Scott Woods</v>
      </c>
      <c r="C761" s="13"/>
      <c r="D761" s="13"/>
      <c r="E761" s="42"/>
      <c r="F761" s="13"/>
    </row>
    <row r="762" spans="2:6" x14ac:dyDescent="0.3">
      <c r="B762" s="13" t="str">
        <v>Tracey Huffman</v>
      </c>
      <c r="C762" s="13"/>
      <c r="D762" s="13"/>
      <c r="E762" s="42"/>
      <c r="F762" s="13"/>
    </row>
    <row r="763" spans="2:6" x14ac:dyDescent="0.3">
      <c r="B763" s="13" t="str">
        <v>Courtney Long</v>
      </c>
      <c r="C763" s="13"/>
      <c r="D763" s="13"/>
      <c r="E763" s="42"/>
      <c r="F763" s="13"/>
    </row>
    <row r="764" spans="2:6" x14ac:dyDescent="0.3">
      <c r="B764" s="13" t="str">
        <v>John Sawyer</v>
      </c>
      <c r="C764" s="13"/>
      <c r="D764" s="13"/>
      <c r="E764" s="42"/>
      <c r="F764" s="13"/>
    </row>
    <row r="765" spans="2:6" x14ac:dyDescent="0.3">
      <c r="B765" s="13" t="str">
        <v>Christopher Gates</v>
      </c>
      <c r="C765" s="13"/>
      <c r="D765" s="13"/>
      <c r="E765" s="42"/>
      <c r="F765" s="13"/>
    </row>
    <row r="766" spans="2:6" x14ac:dyDescent="0.3">
      <c r="B766" s="13" t="str">
        <v>William Stewart</v>
      </c>
      <c r="C766" s="13"/>
      <c r="D766" s="13"/>
      <c r="E766" s="42"/>
      <c r="F766" s="13"/>
    </row>
    <row r="767" spans="2:6" x14ac:dyDescent="0.3">
      <c r="B767" s="13" t="str">
        <v>Kathryn Gilbert</v>
      </c>
      <c r="C767" s="13"/>
      <c r="D767" s="13"/>
      <c r="E767" s="42"/>
      <c r="F767" s="13"/>
    </row>
    <row r="768" spans="2:6" x14ac:dyDescent="0.3">
      <c r="B768" s="13" t="str">
        <v>Kyle Castro</v>
      </c>
      <c r="C768" s="13"/>
      <c r="D768" s="13"/>
      <c r="E768" s="42"/>
      <c r="F768" s="13"/>
    </row>
    <row r="769" spans="2:6" x14ac:dyDescent="0.3">
      <c r="B769" s="13" t="str">
        <v>Sarah Wade</v>
      </c>
      <c r="C769" s="13"/>
      <c r="D769" s="13"/>
      <c r="E769" s="42"/>
      <c r="F769" s="13"/>
    </row>
    <row r="770" spans="2:6" x14ac:dyDescent="0.3">
      <c r="B770" s="13" t="str">
        <v>Diane Garrett</v>
      </c>
      <c r="C770" s="13"/>
      <c r="D770" s="13"/>
      <c r="E770" s="42"/>
      <c r="F770" s="13"/>
    </row>
    <row r="771" spans="2:6" x14ac:dyDescent="0.3">
      <c r="B771" s="13" t="str">
        <v>William Weaver</v>
      </c>
      <c r="C771" s="13"/>
      <c r="D771" s="13"/>
      <c r="E771" s="42"/>
      <c r="F771" s="13"/>
    </row>
    <row r="772" spans="2:6" x14ac:dyDescent="0.3">
      <c r="B772" s="13" t="str">
        <v>Todd Pierce</v>
      </c>
      <c r="C772" s="13"/>
      <c r="D772" s="13"/>
      <c r="E772" s="42"/>
      <c r="F772" s="13"/>
    </row>
    <row r="773" spans="2:6" x14ac:dyDescent="0.3">
      <c r="B773" s="13" t="str">
        <v>Cheryl Green</v>
      </c>
      <c r="C773" s="13"/>
      <c r="D773" s="13"/>
      <c r="E773" s="42"/>
      <c r="F773" s="13"/>
    </row>
    <row r="774" spans="2:6" x14ac:dyDescent="0.3">
      <c r="B774" s="13" t="str">
        <v>Anna Bennett</v>
      </c>
      <c r="C774" s="13"/>
      <c r="D774" s="13"/>
      <c r="E774" s="42"/>
      <c r="F774" s="13"/>
    </row>
    <row r="775" spans="2:6" x14ac:dyDescent="0.3">
      <c r="B775" s="13" t="str">
        <v>Brad Garcia</v>
      </c>
      <c r="C775" s="13"/>
      <c r="D775" s="13"/>
      <c r="E775" s="42"/>
      <c r="F775" s="13"/>
    </row>
    <row r="776" spans="2:6" x14ac:dyDescent="0.3">
      <c r="B776" s="13" t="str">
        <v>Erica Marquez</v>
      </c>
      <c r="C776" s="13"/>
      <c r="D776" s="13"/>
      <c r="E776" s="42"/>
      <c r="F776" s="13"/>
    </row>
    <row r="777" spans="2:6" x14ac:dyDescent="0.3">
      <c r="B777" s="13" t="str">
        <v>Jennifer Ward</v>
      </c>
      <c r="C777" s="13"/>
      <c r="D777" s="13"/>
      <c r="E777" s="42"/>
      <c r="F777" s="13"/>
    </row>
    <row r="778" spans="2:6" x14ac:dyDescent="0.3">
      <c r="B778" s="13" t="str">
        <v>Samuel Maxwell</v>
      </c>
      <c r="C778" s="13"/>
      <c r="D778" s="13"/>
      <c r="E778" s="42"/>
      <c r="F778" s="13"/>
    </row>
    <row r="779" spans="2:6" x14ac:dyDescent="0.3">
      <c r="B779" s="13" t="str">
        <v>Whitney Williams</v>
      </c>
      <c r="C779" s="13"/>
      <c r="D779" s="13"/>
      <c r="E779" s="42"/>
      <c r="F779" s="13"/>
    </row>
    <row r="780" spans="2:6" x14ac:dyDescent="0.3">
      <c r="B780" s="13" t="str">
        <v>Kimberly Martin</v>
      </c>
      <c r="C780" s="13"/>
      <c r="D780" s="13"/>
      <c r="E780" s="42"/>
      <c r="F780" s="13"/>
    </row>
    <row r="781" spans="2:6" x14ac:dyDescent="0.3">
      <c r="B781" s="13" t="str">
        <v>Gregg Montoya</v>
      </c>
      <c r="C781" s="13"/>
      <c r="D781" s="13"/>
      <c r="E781" s="42"/>
      <c r="F781" s="13"/>
    </row>
    <row r="782" spans="2:6" x14ac:dyDescent="0.3">
      <c r="B782" s="13" t="str">
        <v>Stephen Thomas</v>
      </c>
      <c r="C782" s="13"/>
      <c r="D782" s="13"/>
      <c r="E782" s="42"/>
      <c r="F782" s="13"/>
    </row>
    <row r="783" spans="2:6" x14ac:dyDescent="0.3">
      <c r="B783" s="13" t="str">
        <v>Matthew Nash</v>
      </c>
      <c r="C783" s="13"/>
      <c r="D783" s="13"/>
      <c r="E783" s="42"/>
      <c r="F783" s="13"/>
    </row>
    <row r="784" spans="2:6" x14ac:dyDescent="0.3">
      <c r="B784" s="13" t="str">
        <v>Chris Carlson</v>
      </c>
      <c r="C784" s="13"/>
      <c r="D784" s="13"/>
      <c r="E784" s="42"/>
      <c r="F784" s="13"/>
    </row>
    <row r="785" spans="2:6" x14ac:dyDescent="0.3">
      <c r="B785" s="13" t="str">
        <v>Mark Morrison</v>
      </c>
      <c r="C785" s="13"/>
      <c r="D785" s="13"/>
      <c r="E785" s="42"/>
      <c r="F785" s="13"/>
    </row>
    <row r="786" spans="2:6" x14ac:dyDescent="0.3">
      <c r="B786" s="13" t="str">
        <v>Jeanne Jackson</v>
      </c>
      <c r="C786" s="13"/>
      <c r="D786" s="13"/>
      <c r="E786" s="42"/>
      <c r="F786" s="13"/>
    </row>
    <row r="787" spans="2:6" x14ac:dyDescent="0.3">
      <c r="B787" s="13" t="str">
        <v>Michelle Allen</v>
      </c>
      <c r="C787" s="13"/>
      <c r="D787" s="13"/>
      <c r="E787" s="42"/>
      <c r="F787" s="13"/>
    </row>
    <row r="788" spans="2:6" x14ac:dyDescent="0.3">
      <c r="B788" s="13" t="str">
        <v>Brenda Wright</v>
      </c>
      <c r="C788" s="13"/>
      <c r="D788" s="13"/>
      <c r="E788" s="42"/>
      <c r="F788" s="13"/>
    </row>
    <row r="789" spans="2:6" x14ac:dyDescent="0.3">
      <c r="B789" s="13" t="str">
        <v>Steve Juarez</v>
      </c>
      <c r="C789" s="13"/>
      <c r="D789" s="13"/>
      <c r="E789" s="42"/>
      <c r="F789" s="13"/>
    </row>
    <row r="790" spans="2:6" x14ac:dyDescent="0.3">
      <c r="B790" s="13" t="str">
        <v>James Mckinney</v>
      </c>
      <c r="C790" s="13"/>
      <c r="D790" s="13"/>
      <c r="E790" s="42"/>
      <c r="F790" s="13"/>
    </row>
    <row r="791" spans="2:6" x14ac:dyDescent="0.3">
      <c r="B791" s="13" t="str">
        <v>Mr. Matthew Coleman MD</v>
      </c>
      <c r="C791" s="13"/>
      <c r="D791" s="13"/>
      <c r="E791" s="42"/>
      <c r="F791" s="13"/>
    </row>
    <row r="792" spans="2:6" x14ac:dyDescent="0.3">
      <c r="B792" s="13" t="str">
        <v>Devin Anderson</v>
      </c>
      <c r="C792" s="13"/>
      <c r="D792" s="13"/>
      <c r="E792" s="42"/>
      <c r="F792" s="13"/>
    </row>
    <row r="793" spans="2:6" x14ac:dyDescent="0.3">
      <c r="B793" s="13" t="str">
        <v>Elizabeth King</v>
      </c>
      <c r="C793" s="13"/>
      <c r="D793" s="13"/>
      <c r="E793" s="42"/>
      <c r="F793" s="13"/>
    </row>
    <row r="794" spans="2:6" x14ac:dyDescent="0.3">
      <c r="B794" s="13" t="str">
        <v>Emily Molina</v>
      </c>
      <c r="C794" s="13"/>
      <c r="D794" s="13"/>
      <c r="E794" s="42"/>
      <c r="F794" s="13"/>
    </row>
    <row r="795" spans="2:6" x14ac:dyDescent="0.3">
      <c r="B795" s="13" t="str">
        <v>Michael Phillips</v>
      </c>
      <c r="C795" s="13"/>
      <c r="D795" s="13"/>
      <c r="E795" s="42"/>
      <c r="F795" s="13"/>
    </row>
    <row r="796" spans="2:6" x14ac:dyDescent="0.3">
      <c r="B796" s="13" t="str">
        <v>Amanda Nelson</v>
      </c>
      <c r="C796" s="13"/>
      <c r="D796" s="13"/>
      <c r="E796" s="42"/>
      <c r="F796" s="13"/>
    </row>
    <row r="797" spans="2:6" x14ac:dyDescent="0.3">
      <c r="B797" s="13" t="str">
        <v>Beth Parker</v>
      </c>
      <c r="C797" s="13"/>
      <c r="D797" s="13"/>
      <c r="E797" s="42"/>
      <c r="F797" s="13"/>
    </row>
    <row r="798" spans="2:6" x14ac:dyDescent="0.3">
      <c r="B798" s="13" t="str">
        <v>Rodney Bradshaw</v>
      </c>
      <c r="C798" s="13"/>
      <c r="D798" s="13"/>
      <c r="E798" s="42"/>
      <c r="F798" s="13"/>
    </row>
    <row r="799" spans="2:6" x14ac:dyDescent="0.3">
      <c r="B799" s="13" t="str">
        <v>Crystal Mullins</v>
      </c>
      <c r="C799" s="13"/>
      <c r="D799" s="13"/>
      <c r="E799" s="42"/>
      <c r="F799" s="13"/>
    </row>
    <row r="800" spans="2:6" x14ac:dyDescent="0.3">
      <c r="B800" s="13" t="str">
        <v>Jamie Jones</v>
      </c>
      <c r="C800" s="13"/>
      <c r="D800" s="13"/>
      <c r="E800" s="42"/>
      <c r="F800" s="13"/>
    </row>
    <row r="801" spans="2:6" x14ac:dyDescent="0.3">
      <c r="B801" s="13" t="str">
        <v>Mark Hernandez</v>
      </c>
      <c r="C801" s="13"/>
      <c r="D801" s="13"/>
      <c r="E801" s="42"/>
      <c r="F801" s="13"/>
    </row>
    <row r="802" spans="2:6" x14ac:dyDescent="0.3">
      <c r="B802" s="13" t="str">
        <v>Shane Daniels</v>
      </c>
      <c r="C802" s="13"/>
      <c r="D802" s="13"/>
      <c r="E802" s="42"/>
      <c r="F802" s="13"/>
    </row>
    <row r="803" spans="2:6" x14ac:dyDescent="0.3">
      <c r="B803" s="13" t="str">
        <v>Christopher Fletcher</v>
      </c>
      <c r="C803" s="13"/>
      <c r="D803" s="13"/>
      <c r="E803" s="42"/>
      <c r="F803" s="13"/>
    </row>
    <row r="804" spans="2:6" x14ac:dyDescent="0.3">
      <c r="B804" s="13" t="str">
        <v>Nathan Conner</v>
      </c>
      <c r="C804" s="13"/>
      <c r="D804" s="13"/>
      <c r="E804" s="42"/>
      <c r="F804" s="13"/>
    </row>
    <row r="805" spans="2:6" x14ac:dyDescent="0.3">
      <c r="B805" s="13" t="str">
        <v>Beverly Lowe</v>
      </c>
      <c r="C805" s="13"/>
      <c r="D805" s="13"/>
      <c r="E805" s="42"/>
      <c r="F805" s="13"/>
    </row>
    <row r="806" spans="2:6" x14ac:dyDescent="0.3">
      <c r="B806" s="13" t="str">
        <v>Melissa Leach</v>
      </c>
      <c r="C806" s="13"/>
      <c r="D806" s="13"/>
      <c r="E806" s="42"/>
      <c r="F806" s="13"/>
    </row>
    <row r="807" spans="2:6" x14ac:dyDescent="0.3">
      <c r="B807" s="13" t="str">
        <v>Catherine Miller</v>
      </c>
      <c r="C807" s="13"/>
      <c r="D807" s="13"/>
      <c r="E807" s="42"/>
      <c r="F807" s="13"/>
    </row>
    <row r="808" spans="2:6" x14ac:dyDescent="0.3">
      <c r="B808" s="13" t="str">
        <v>Michael David</v>
      </c>
      <c r="C808" s="13"/>
      <c r="D808" s="13"/>
      <c r="E808" s="42"/>
      <c r="F808" s="13"/>
    </row>
    <row r="809" spans="2:6" x14ac:dyDescent="0.3">
      <c r="B809" s="13" t="str">
        <v>Morgan Thomas</v>
      </c>
      <c r="C809" s="13"/>
      <c r="D809" s="13"/>
      <c r="E809" s="42"/>
      <c r="F809" s="13"/>
    </row>
    <row r="810" spans="2:6" x14ac:dyDescent="0.3">
      <c r="B810" s="13" t="str">
        <v>Tara Patel</v>
      </c>
      <c r="C810" s="13"/>
      <c r="D810" s="13"/>
      <c r="E810" s="42"/>
      <c r="F810" s="13"/>
    </row>
    <row r="811" spans="2:6" x14ac:dyDescent="0.3">
      <c r="B811" s="13" t="str">
        <v>Stephanie Ellis</v>
      </c>
      <c r="C811" s="13"/>
      <c r="D811" s="13"/>
      <c r="E811" s="42"/>
      <c r="F811" s="13"/>
    </row>
    <row r="812" spans="2:6" x14ac:dyDescent="0.3">
      <c r="B812" s="13" t="str">
        <v>Debra Powell</v>
      </c>
      <c r="C812" s="13"/>
      <c r="D812" s="13"/>
      <c r="E812" s="42"/>
      <c r="F812" s="13"/>
    </row>
    <row r="813" spans="2:6" x14ac:dyDescent="0.3">
      <c r="B813" s="13" t="str">
        <v>Troy Richards</v>
      </c>
      <c r="C813" s="13"/>
      <c r="D813" s="13"/>
      <c r="E813" s="42"/>
      <c r="F813" s="13"/>
    </row>
    <row r="814" spans="2:6" x14ac:dyDescent="0.3">
      <c r="B814" s="13" t="str">
        <v>Joseph Mata</v>
      </c>
      <c r="C814" s="13"/>
      <c r="D814" s="13"/>
      <c r="E814" s="42"/>
      <c r="F814" s="13"/>
    </row>
    <row r="815" spans="2:6" x14ac:dyDescent="0.3">
      <c r="B815" s="13" t="str">
        <v>Brian Campbell</v>
      </c>
      <c r="C815" s="13"/>
      <c r="D815" s="13"/>
      <c r="E815" s="42"/>
      <c r="F815" s="13"/>
    </row>
    <row r="816" spans="2:6" x14ac:dyDescent="0.3">
      <c r="B816" s="13" t="str">
        <v>Jasmine Smith</v>
      </c>
      <c r="C816" s="13"/>
      <c r="D816" s="13"/>
      <c r="E816" s="42"/>
      <c r="F816" s="13"/>
    </row>
    <row r="817" spans="2:6" x14ac:dyDescent="0.3">
      <c r="B817" s="13" t="str">
        <v>Alan Nicholson</v>
      </c>
      <c r="C817" s="13"/>
      <c r="D817" s="13"/>
      <c r="E817" s="42"/>
      <c r="F817" s="13"/>
    </row>
    <row r="818" spans="2:6" x14ac:dyDescent="0.3">
      <c r="B818" s="13" t="str">
        <v>Megan Wallace</v>
      </c>
      <c r="C818" s="13"/>
      <c r="D818" s="13"/>
      <c r="E818" s="42"/>
      <c r="F818" s="13"/>
    </row>
    <row r="819" spans="2:6" x14ac:dyDescent="0.3">
      <c r="B819" s="13" t="str">
        <v>William Brown</v>
      </c>
      <c r="C819" s="13"/>
      <c r="D819" s="13"/>
      <c r="E819" s="42"/>
      <c r="F819" s="13"/>
    </row>
    <row r="820" spans="2:6" x14ac:dyDescent="0.3">
      <c r="B820" s="13" t="str">
        <v>Eric Freeman</v>
      </c>
      <c r="C820" s="13"/>
      <c r="D820" s="13"/>
      <c r="E820" s="42"/>
      <c r="F820" s="13"/>
    </row>
    <row r="821" spans="2:6" x14ac:dyDescent="0.3">
      <c r="B821" s="13" t="str">
        <v>Bradley Mcmillan</v>
      </c>
      <c r="C821" s="13"/>
      <c r="D821" s="13"/>
      <c r="E821" s="42"/>
      <c r="F821" s="13"/>
    </row>
    <row r="822" spans="2:6" x14ac:dyDescent="0.3">
      <c r="B822" s="13" t="str">
        <v>Susan Benton</v>
      </c>
      <c r="C822" s="13"/>
      <c r="D822" s="13"/>
      <c r="E822" s="42"/>
      <c r="F822" s="13"/>
    </row>
    <row r="823" spans="2:6" x14ac:dyDescent="0.3">
      <c r="B823" s="13" t="str">
        <v>Michael Sanchez</v>
      </c>
      <c r="C823" s="13"/>
      <c r="D823" s="13"/>
      <c r="E823" s="42"/>
      <c r="F823" s="13"/>
    </row>
    <row r="824" spans="2:6" x14ac:dyDescent="0.3">
      <c r="B824" s="13" t="str">
        <v>James Parker</v>
      </c>
      <c r="C824" s="13"/>
      <c r="D824" s="13"/>
      <c r="E824" s="42"/>
      <c r="F824" s="13"/>
    </row>
    <row r="825" spans="2:6" x14ac:dyDescent="0.3">
      <c r="B825" s="13" t="str">
        <v>Rachel Cook</v>
      </c>
      <c r="C825" s="13"/>
      <c r="D825" s="13"/>
      <c r="E825" s="42"/>
      <c r="F825" s="13"/>
    </row>
    <row r="826" spans="2:6" x14ac:dyDescent="0.3">
      <c r="B826" s="13" t="str">
        <v>Shawn Zimmerman</v>
      </c>
      <c r="C826" s="13"/>
      <c r="D826" s="13"/>
      <c r="E826" s="42"/>
      <c r="F826" s="13"/>
    </row>
    <row r="827" spans="2:6" x14ac:dyDescent="0.3">
      <c r="B827" s="13" t="str">
        <v>Ashley Harris</v>
      </c>
      <c r="C827" s="13"/>
      <c r="D827" s="13"/>
      <c r="E827" s="42"/>
      <c r="F827" s="13"/>
    </row>
    <row r="828" spans="2:6" x14ac:dyDescent="0.3">
      <c r="B828" s="13" t="str">
        <v>Amanda Gonzalez</v>
      </c>
      <c r="C828" s="13"/>
      <c r="D828" s="13"/>
      <c r="E828" s="42"/>
      <c r="F828" s="13"/>
    </row>
    <row r="829" spans="2:6" x14ac:dyDescent="0.3">
      <c r="B829" s="13" t="str">
        <v>James Odonnell</v>
      </c>
      <c r="C829" s="13"/>
      <c r="D829" s="13"/>
      <c r="E829" s="42"/>
      <c r="F829" s="13"/>
    </row>
    <row r="830" spans="2:6" x14ac:dyDescent="0.3">
      <c r="B830" s="13" t="str">
        <v>Gail Hunt</v>
      </c>
      <c r="C830" s="13"/>
      <c r="D830" s="13"/>
      <c r="E830" s="42"/>
      <c r="F830" s="13"/>
    </row>
    <row r="831" spans="2:6" x14ac:dyDescent="0.3">
      <c r="B831" s="13" t="str">
        <v>Jessica Davis</v>
      </c>
      <c r="C831" s="13"/>
      <c r="D831" s="13"/>
      <c r="E831" s="42"/>
      <c r="F831" s="13"/>
    </row>
    <row r="832" spans="2:6" x14ac:dyDescent="0.3">
      <c r="B832" s="13" t="str">
        <v>Jose Curry</v>
      </c>
      <c r="C832" s="13"/>
      <c r="D832" s="13"/>
      <c r="E832" s="42"/>
      <c r="F832" s="13"/>
    </row>
    <row r="833" spans="2:6" x14ac:dyDescent="0.3">
      <c r="B833" s="13" t="str">
        <v>Lorraine Irwin</v>
      </c>
      <c r="C833" s="13"/>
      <c r="D833" s="13"/>
      <c r="E833" s="42"/>
      <c r="F833" s="13"/>
    </row>
    <row r="834" spans="2:6" x14ac:dyDescent="0.3">
      <c r="B834" s="13" t="str">
        <v>Tim Meyer</v>
      </c>
      <c r="C834" s="13"/>
      <c r="D834" s="13"/>
      <c r="E834" s="42"/>
      <c r="F834" s="13"/>
    </row>
    <row r="835" spans="2:6" x14ac:dyDescent="0.3">
      <c r="B835" s="13" t="str">
        <v>Tonya Erickson</v>
      </c>
      <c r="C835" s="13"/>
      <c r="D835" s="13"/>
      <c r="E835" s="42"/>
      <c r="F835" s="13"/>
    </row>
    <row r="836" spans="2:6" x14ac:dyDescent="0.3">
      <c r="B836" s="13" t="str">
        <v>Jessica Wheeler</v>
      </c>
      <c r="C836" s="13"/>
      <c r="D836" s="13"/>
      <c r="E836" s="42"/>
      <c r="F836" s="13"/>
    </row>
    <row r="837" spans="2:6" x14ac:dyDescent="0.3">
      <c r="B837" s="13" t="str">
        <v>Katherine Woods</v>
      </c>
      <c r="C837" s="13"/>
      <c r="D837" s="13"/>
      <c r="E837" s="42"/>
      <c r="F837" s="13"/>
    </row>
    <row r="838" spans="2:6" x14ac:dyDescent="0.3">
      <c r="B838" s="13" t="str">
        <v>Michelle Mcbride</v>
      </c>
      <c r="C838" s="13"/>
      <c r="D838" s="13"/>
      <c r="E838" s="42"/>
      <c r="F838" s="13"/>
    </row>
    <row r="839" spans="2:6" x14ac:dyDescent="0.3">
      <c r="B839" s="13" t="str">
        <v>Lori Rodriguez</v>
      </c>
      <c r="C839" s="13"/>
      <c r="D839" s="13"/>
      <c r="E839" s="42"/>
      <c r="F839" s="13"/>
    </row>
    <row r="840" spans="2:6" x14ac:dyDescent="0.3">
      <c r="B840" s="13" t="str">
        <v>Ellen Palmer</v>
      </c>
      <c r="C840" s="13"/>
      <c r="D840" s="13"/>
      <c r="E840" s="42"/>
      <c r="F840" s="13"/>
    </row>
    <row r="841" spans="2:6" x14ac:dyDescent="0.3">
      <c r="B841" s="13" t="str">
        <v>Diane Tran</v>
      </c>
      <c r="C841" s="13"/>
      <c r="D841" s="13"/>
      <c r="E841" s="42"/>
      <c r="F841" s="13"/>
    </row>
    <row r="842" spans="2:6" x14ac:dyDescent="0.3">
      <c r="B842" s="13" t="str">
        <v>Scott Morgan</v>
      </c>
      <c r="C842" s="13"/>
      <c r="D842" s="13"/>
      <c r="E842" s="42"/>
      <c r="F842" s="13"/>
    </row>
    <row r="843" spans="2:6" x14ac:dyDescent="0.3">
      <c r="B843" s="13" t="str">
        <v>Matthew Rivas</v>
      </c>
      <c r="C843" s="13"/>
      <c r="D843" s="13"/>
      <c r="E843" s="42"/>
      <c r="F843" s="13"/>
    </row>
    <row r="844" spans="2:6" x14ac:dyDescent="0.3">
      <c r="B844" s="13" t="str">
        <v>Christina Davidson</v>
      </c>
      <c r="C844" s="13"/>
      <c r="D844" s="13"/>
      <c r="E844" s="42"/>
      <c r="F844" s="13"/>
    </row>
    <row r="845" spans="2:6" x14ac:dyDescent="0.3">
      <c r="B845" s="13" t="str">
        <v>Carl Jackson</v>
      </c>
      <c r="C845" s="13"/>
      <c r="D845" s="13"/>
      <c r="E845" s="42"/>
      <c r="F845" s="13"/>
    </row>
    <row r="846" spans="2:6" x14ac:dyDescent="0.3">
      <c r="B846" s="13" t="str">
        <v>Chad Guzman</v>
      </c>
      <c r="C846" s="13"/>
      <c r="D846" s="13"/>
      <c r="E846" s="42"/>
      <c r="F846" s="13"/>
    </row>
    <row r="847" spans="2:6" x14ac:dyDescent="0.3">
      <c r="B847" s="13" t="str">
        <v>Bradley Jackson</v>
      </c>
      <c r="C847" s="13"/>
      <c r="D847" s="13"/>
      <c r="E847" s="42"/>
      <c r="F847" s="13"/>
    </row>
    <row r="848" spans="2:6" x14ac:dyDescent="0.3">
      <c r="B848" s="13" t="str">
        <v>Shawn Graves</v>
      </c>
      <c r="C848" s="13"/>
      <c r="D848" s="13"/>
      <c r="E848" s="42"/>
      <c r="F848" s="13"/>
    </row>
    <row r="849" spans="2:6" x14ac:dyDescent="0.3">
      <c r="B849" s="13" t="str">
        <v>James Lewis</v>
      </c>
      <c r="C849" s="13"/>
      <c r="D849" s="13"/>
      <c r="E849" s="42"/>
      <c r="F849" s="13"/>
    </row>
    <row r="850" spans="2:6" x14ac:dyDescent="0.3">
      <c r="B850" s="13" t="str">
        <v>Ryan Garcia</v>
      </c>
      <c r="C850" s="13"/>
      <c r="D850" s="13"/>
      <c r="E850" s="42"/>
      <c r="F850" s="13"/>
    </row>
    <row r="851" spans="2:6" x14ac:dyDescent="0.3">
      <c r="B851" s="13" t="str">
        <v>Charles Green</v>
      </c>
      <c r="C851" s="13"/>
      <c r="D851" s="13"/>
      <c r="E851" s="42"/>
      <c r="F851" s="13"/>
    </row>
    <row r="852" spans="2:6" x14ac:dyDescent="0.3">
      <c r="B852" s="13" t="str">
        <v>Jeffrey Hamilton</v>
      </c>
      <c r="C852" s="13"/>
      <c r="D852" s="13"/>
      <c r="E852" s="42"/>
      <c r="F852" s="13"/>
    </row>
    <row r="853" spans="2:6" x14ac:dyDescent="0.3">
      <c r="B853" s="13" t="str">
        <v>Joseph Thomas</v>
      </c>
      <c r="C853" s="13"/>
      <c r="D853" s="13"/>
      <c r="E853" s="42"/>
      <c r="F853" s="13"/>
    </row>
    <row r="854" spans="2:6" x14ac:dyDescent="0.3">
      <c r="B854" s="13" t="str">
        <v>Amber Mueller</v>
      </c>
      <c r="C854" s="13"/>
      <c r="D854" s="13"/>
      <c r="E854" s="42"/>
      <c r="F854" s="13"/>
    </row>
    <row r="855" spans="2:6" x14ac:dyDescent="0.3">
      <c r="B855" s="13" t="str">
        <v>Brenda Stevens</v>
      </c>
      <c r="C855" s="13"/>
      <c r="D855" s="13"/>
      <c r="E855" s="42"/>
      <c r="F855" s="13"/>
    </row>
    <row r="856" spans="2:6" x14ac:dyDescent="0.3">
      <c r="B856" s="13" t="str">
        <v>Howard Jackson</v>
      </c>
      <c r="C856" s="13"/>
      <c r="D856" s="13"/>
      <c r="E856" s="42"/>
      <c r="F856" s="13"/>
    </row>
    <row r="857" spans="2:6" x14ac:dyDescent="0.3">
      <c r="B857" s="13" t="str">
        <v>Victor Camacho</v>
      </c>
      <c r="C857" s="13"/>
      <c r="D857" s="13"/>
      <c r="E857" s="42"/>
      <c r="F857" s="13"/>
    </row>
    <row r="858" spans="2:6" x14ac:dyDescent="0.3">
      <c r="B858" s="13" t="str">
        <v>Anthony Hansen</v>
      </c>
      <c r="C858" s="13"/>
      <c r="D858" s="13"/>
      <c r="E858" s="42"/>
      <c r="F858" s="13"/>
    </row>
    <row r="859" spans="2:6" x14ac:dyDescent="0.3">
      <c r="B859" s="13" t="str">
        <v>Michael Holt</v>
      </c>
      <c r="C859" s="13"/>
      <c r="D859" s="13"/>
      <c r="E859" s="42"/>
      <c r="F859" s="13"/>
    </row>
    <row r="860" spans="2:6" x14ac:dyDescent="0.3">
      <c r="B860" s="13" t="str">
        <v>Patrick Johnson</v>
      </c>
      <c r="C860" s="13"/>
      <c r="D860" s="13"/>
      <c r="E860" s="42"/>
      <c r="F860" s="13"/>
    </row>
    <row r="861" spans="2:6" x14ac:dyDescent="0.3">
      <c r="B861" s="13" t="str">
        <v>Lisa Parker</v>
      </c>
      <c r="C861" s="13"/>
      <c r="D861" s="13"/>
      <c r="E861" s="42"/>
      <c r="F861" s="13"/>
    </row>
    <row r="862" spans="2:6" x14ac:dyDescent="0.3">
      <c r="B862" s="13" t="str">
        <v>Charles Flores</v>
      </c>
      <c r="C862" s="13"/>
      <c r="D862" s="13"/>
      <c r="E862" s="42"/>
      <c r="F862" s="13"/>
    </row>
    <row r="863" spans="2:6" x14ac:dyDescent="0.3">
      <c r="B863" s="13" t="str">
        <v>Alexis Bell</v>
      </c>
      <c r="C863" s="13"/>
      <c r="D863" s="13"/>
      <c r="E863" s="42"/>
      <c r="F863" s="13"/>
    </row>
    <row r="864" spans="2:6" x14ac:dyDescent="0.3">
      <c r="B864" s="13" t="str">
        <v>Holly Harris</v>
      </c>
      <c r="C864" s="13"/>
      <c r="D864" s="13"/>
      <c r="E864" s="42"/>
      <c r="F864" s="13"/>
    </row>
    <row r="865" spans="2:6" x14ac:dyDescent="0.3">
      <c r="B865" s="13" t="str">
        <v>Seth West</v>
      </c>
      <c r="C865" s="13"/>
      <c r="D865" s="13"/>
      <c r="E865" s="42"/>
      <c r="F865" s="13"/>
    </row>
    <row r="866" spans="2:6" x14ac:dyDescent="0.3">
      <c r="B866" s="13" t="str">
        <v>Brittany Arnold</v>
      </c>
      <c r="C866" s="13"/>
      <c r="D866" s="13"/>
      <c r="E866" s="42"/>
      <c r="F866" s="13"/>
    </row>
    <row r="867" spans="2:6" x14ac:dyDescent="0.3">
      <c r="B867" s="13" t="str">
        <v>Melissa Poole</v>
      </c>
      <c r="C867" s="13"/>
      <c r="D867" s="13"/>
      <c r="E867" s="42"/>
      <c r="F867" s="13"/>
    </row>
    <row r="868" spans="2:6" x14ac:dyDescent="0.3">
      <c r="B868" s="13" t="str">
        <v>Anthony Taylor</v>
      </c>
      <c r="C868" s="13"/>
      <c r="D868" s="13"/>
      <c r="E868" s="42"/>
      <c r="F868" s="13"/>
    </row>
    <row r="869" spans="2:6" x14ac:dyDescent="0.3">
      <c r="B869" s="13" t="str">
        <v>Donald Murray</v>
      </c>
      <c r="C869" s="13"/>
      <c r="D869" s="13"/>
      <c r="E869" s="42"/>
      <c r="F869" s="13"/>
    </row>
    <row r="870" spans="2:6" x14ac:dyDescent="0.3">
      <c r="B870" s="13" t="str">
        <v>Amanda Dickerson</v>
      </c>
      <c r="C870" s="13"/>
      <c r="D870" s="13"/>
      <c r="E870" s="42"/>
      <c r="F870" s="13"/>
    </row>
    <row r="871" spans="2:6" x14ac:dyDescent="0.3">
      <c r="B871" s="13" t="str">
        <v>Ronald Ramsey</v>
      </c>
      <c r="C871" s="13"/>
      <c r="D871" s="13"/>
      <c r="E871" s="42"/>
      <c r="F871" s="13"/>
    </row>
    <row r="872" spans="2:6" x14ac:dyDescent="0.3">
      <c r="B872" s="13" t="str">
        <v>Anthony Wright</v>
      </c>
      <c r="C872" s="13"/>
      <c r="D872" s="13"/>
      <c r="E872" s="42"/>
      <c r="F872" s="13"/>
    </row>
    <row r="873" spans="2:6" x14ac:dyDescent="0.3">
      <c r="B873" s="13" t="str">
        <v>Nicole Morris</v>
      </c>
      <c r="C873" s="13"/>
      <c r="D873" s="13"/>
      <c r="E873" s="42"/>
      <c r="F873" s="13"/>
    </row>
    <row r="874" spans="2:6" x14ac:dyDescent="0.3">
      <c r="B874" s="13" t="str">
        <v>Derek Archer</v>
      </c>
      <c r="C874" s="13"/>
      <c r="D874" s="13"/>
      <c r="E874" s="42"/>
      <c r="F874" s="13"/>
    </row>
    <row r="875" spans="2:6" x14ac:dyDescent="0.3">
      <c r="B875" s="13" t="str">
        <v>Joseph Johnson</v>
      </c>
      <c r="C875" s="13"/>
      <c r="D875" s="13"/>
      <c r="E875" s="42"/>
      <c r="F875" s="13"/>
    </row>
    <row r="876" spans="2:6" x14ac:dyDescent="0.3">
      <c r="B876" s="13" t="str">
        <v>Robert Joyce</v>
      </c>
      <c r="C876" s="13"/>
      <c r="D876" s="13"/>
      <c r="E876" s="42"/>
      <c r="F876" s="13"/>
    </row>
    <row r="877" spans="2:6" x14ac:dyDescent="0.3">
      <c r="B877" s="13" t="str">
        <v>Amy Cochran</v>
      </c>
      <c r="C877" s="13"/>
      <c r="D877" s="13"/>
      <c r="E877" s="42"/>
      <c r="F877" s="13"/>
    </row>
    <row r="878" spans="2:6" x14ac:dyDescent="0.3">
      <c r="B878" s="13" t="str">
        <v>Michael Hayes</v>
      </c>
      <c r="C878" s="13"/>
      <c r="D878" s="13"/>
      <c r="E878" s="42"/>
      <c r="F878" s="13"/>
    </row>
    <row r="879" spans="2:6" x14ac:dyDescent="0.3">
      <c r="B879" s="13" t="str">
        <v>Erin Larson</v>
      </c>
      <c r="C879" s="13"/>
      <c r="D879" s="13"/>
      <c r="E879" s="42"/>
      <c r="F879" s="13"/>
    </row>
    <row r="880" spans="2:6" x14ac:dyDescent="0.3">
      <c r="B880" s="13" t="str">
        <v>Billy Smith</v>
      </c>
      <c r="C880" s="13"/>
      <c r="D880" s="13"/>
      <c r="E880" s="42"/>
      <c r="F880" s="13"/>
    </row>
    <row r="881" spans="2:6" x14ac:dyDescent="0.3">
      <c r="B881" s="13" t="str">
        <v>Savannah Warner</v>
      </c>
      <c r="C881" s="13"/>
      <c r="D881" s="13"/>
      <c r="E881" s="42"/>
      <c r="F881" s="13"/>
    </row>
    <row r="882" spans="2:6" x14ac:dyDescent="0.3">
      <c r="B882" s="13" t="str">
        <v>Christina Le</v>
      </c>
      <c r="C882" s="13"/>
      <c r="D882" s="13"/>
      <c r="E882" s="42"/>
      <c r="F882" s="13"/>
    </row>
    <row r="883" spans="2:6" x14ac:dyDescent="0.3">
      <c r="B883" s="13" t="str">
        <v>Kyle Mcgee</v>
      </c>
      <c r="C883" s="13"/>
      <c r="D883" s="13"/>
      <c r="E883" s="42"/>
      <c r="F883" s="13"/>
    </row>
    <row r="884" spans="2:6" x14ac:dyDescent="0.3">
      <c r="B884" s="13" t="str">
        <v>Tyler Kaufman</v>
      </c>
      <c r="C884" s="13"/>
      <c r="D884" s="13"/>
      <c r="E884" s="42"/>
      <c r="F884" s="13"/>
    </row>
    <row r="885" spans="2:6" x14ac:dyDescent="0.3">
      <c r="B885" s="13" t="str">
        <v>Daniel Lewis</v>
      </c>
      <c r="C885" s="13"/>
      <c r="D885" s="13"/>
      <c r="E885" s="42"/>
      <c r="F885" s="13"/>
    </row>
    <row r="886" spans="2:6" x14ac:dyDescent="0.3">
      <c r="B886" s="13" t="str">
        <v>Kristy Mitchell</v>
      </c>
      <c r="C886" s="13"/>
      <c r="D886" s="13"/>
      <c r="E886" s="42"/>
      <c r="F886" s="13"/>
    </row>
    <row r="887" spans="2:6" x14ac:dyDescent="0.3">
      <c r="B887" s="13" t="str">
        <v>Christopher Alexander</v>
      </c>
      <c r="C887" s="13"/>
      <c r="D887" s="13"/>
      <c r="E887" s="42"/>
      <c r="F887" s="13"/>
    </row>
    <row r="888" spans="2:6" x14ac:dyDescent="0.3">
      <c r="B888" s="13" t="str">
        <v>David Henderson</v>
      </c>
      <c r="C888" s="13"/>
      <c r="D888" s="13"/>
      <c r="E888" s="42"/>
      <c r="F888" s="13"/>
    </row>
    <row r="889" spans="2:6" x14ac:dyDescent="0.3">
      <c r="B889" s="13" t="str">
        <v>Brandon Rivers</v>
      </c>
      <c r="C889" s="13"/>
      <c r="D889" s="13"/>
      <c r="E889" s="42"/>
      <c r="F889" s="13"/>
    </row>
    <row r="890" spans="2:6" x14ac:dyDescent="0.3">
      <c r="B890" s="13" t="str">
        <v>Samantha Mendoza</v>
      </c>
      <c r="C890" s="13"/>
      <c r="D890" s="13"/>
      <c r="E890" s="42"/>
      <c r="F890" s="13"/>
    </row>
    <row r="891" spans="2:6" x14ac:dyDescent="0.3">
      <c r="B891" s="13" t="str">
        <v>Marcus Sanders</v>
      </c>
      <c r="C891" s="13"/>
      <c r="D891" s="13"/>
      <c r="E891" s="42"/>
      <c r="F891" s="13"/>
    </row>
    <row r="892" spans="2:6" x14ac:dyDescent="0.3">
      <c r="B892" s="13" t="str">
        <v>Lisa Miller</v>
      </c>
      <c r="C892" s="13"/>
      <c r="D892" s="13"/>
      <c r="E892" s="42"/>
      <c r="F892" s="13"/>
    </row>
    <row r="893" spans="2:6" x14ac:dyDescent="0.3">
      <c r="B893" s="13" t="str">
        <v>Laura Park</v>
      </c>
      <c r="C893" s="13"/>
      <c r="D893" s="13"/>
      <c r="E893" s="42"/>
      <c r="F893" s="13"/>
    </row>
    <row r="894" spans="2:6" x14ac:dyDescent="0.3">
      <c r="B894" s="13" t="str">
        <v>Amy Compton</v>
      </c>
      <c r="C894" s="13"/>
      <c r="D894" s="13"/>
      <c r="E894" s="42"/>
      <c r="F894" s="13"/>
    </row>
    <row r="895" spans="2:6" x14ac:dyDescent="0.3">
      <c r="B895" s="13" t="str">
        <v>Amber Rodriguez</v>
      </c>
      <c r="C895" s="13"/>
      <c r="D895" s="13"/>
      <c r="E895" s="42"/>
      <c r="F895" s="13"/>
    </row>
    <row r="896" spans="2:6" x14ac:dyDescent="0.3">
      <c r="B896" s="13" t="str">
        <v>Caitlyn Cole</v>
      </c>
      <c r="C896" s="13"/>
      <c r="D896" s="13"/>
      <c r="E896" s="42"/>
      <c r="F896" s="13"/>
    </row>
    <row r="897" spans="2:6" x14ac:dyDescent="0.3">
      <c r="B897" s="13" t="str">
        <v>Jeremy Drake</v>
      </c>
      <c r="C897" s="13"/>
      <c r="D897" s="13"/>
      <c r="E897" s="42"/>
      <c r="F897" s="13"/>
    </row>
    <row r="898" spans="2:6" x14ac:dyDescent="0.3">
      <c r="B898" s="13" t="str">
        <v>Nicole Newton</v>
      </c>
      <c r="C898" s="13"/>
      <c r="D898" s="13"/>
      <c r="E898" s="42"/>
      <c r="F898" s="13"/>
    </row>
    <row r="899" spans="2:6" x14ac:dyDescent="0.3">
      <c r="B899" s="13" t="str">
        <v>Adam White</v>
      </c>
      <c r="C899" s="13"/>
      <c r="D899" s="13"/>
      <c r="E899" s="42"/>
      <c r="F899" s="13"/>
    </row>
    <row r="900" spans="2:6" x14ac:dyDescent="0.3">
      <c r="B900" s="13" t="str">
        <v>Sarah Anderson</v>
      </c>
      <c r="C900" s="13"/>
      <c r="D900" s="13"/>
      <c r="E900" s="42"/>
      <c r="F900" s="13"/>
    </row>
    <row r="901" spans="2:6" x14ac:dyDescent="0.3">
      <c r="B901" s="13" t="str">
        <v>Jesse Williams</v>
      </c>
      <c r="C901" s="13"/>
      <c r="D901" s="13"/>
      <c r="E901" s="42"/>
      <c r="F901" s="13"/>
    </row>
    <row r="902" spans="2:6" x14ac:dyDescent="0.3">
      <c r="B902" s="13" t="str">
        <v>Dr. Jennifer Washington DVM</v>
      </c>
      <c r="C902" s="13"/>
      <c r="D902" s="13"/>
      <c r="E902" s="42"/>
      <c r="F902" s="13"/>
    </row>
    <row r="903" spans="2:6" x14ac:dyDescent="0.3">
      <c r="B903" s="13" t="str">
        <v>Holly Davenport</v>
      </c>
      <c r="C903" s="13"/>
      <c r="D903" s="13"/>
      <c r="E903" s="42"/>
      <c r="F903" s="13"/>
    </row>
    <row r="904" spans="2:6" x14ac:dyDescent="0.3">
      <c r="B904" s="13" t="str">
        <v>Daniel Shelton</v>
      </c>
      <c r="C904" s="13"/>
      <c r="D904" s="13"/>
      <c r="E904" s="42"/>
      <c r="F904" s="13"/>
    </row>
    <row r="905" spans="2:6" x14ac:dyDescent="0.3">
      <c r="B905" s="13" t="str">
        <v>Dr. Karen Avila</v>
      </c>
      <c r="C905" s="13"/>
      <c r="D905" s="13"/>
      <c r="E905" s="42"/>
      <c r="F905" s="13"/>
    </row>
    <row r="906" spans="2:6" x14ac:dyDescent="0.3">
      <c r="B906" s="13" t="str">
        <v>Dr. Andrew Conrad</v>
      </c>
      <c r="C906" s="13"/>
      <c r="D906" s="13"/>
      <c r="E906" s="42"/>
      <c r="F906" s="13"/>
    </row>
    <row r="907" spans="2:6" x14ac:dyDescent="0.3">
      <c r="B907" s="13" t="str">
        <v>Allen Evans</v>
      </c>
      <c r="C907" s="13"/>
      <c r="D907" s="13"/>
      <c r="E907" s="42"/>
      <c r="F907" s="13"/>
    </row>
    <row r="908" spans="2:6" x14ac:dyDescent="0.3">
      <c r="B908" s="13" t="str">
        <v>Joseph Burns</v>
      </c>
      <c r="C908" s="13"/>
      <c r="D908" s="13"/>
      <c r="E908" s="42"/>
      <c r="F908" s="13"/>
    </row>
    <row r="909" spans="2:6" x14ac:dyDescent="0.3">
      <c r="B909" s="13" t="str">
        <v>Anthony Dawson</v>
      </c>
      <c r="C909" s="13"/>
      <c r="D909" s="13"/>
      <c r="E909" s="42"/>
      <c r="F909" s="13"/>
    </row>
    <row r="910" spans="2:6" x14ac:dyDescent="0.3">
      <c r="B910" s="13" t="str">
        <v>Judy Allison</v>
      </c>
      <c r="C910" s="13"/>
      <c r="D910" s="13"/>
      <c r="E910" s="42"/>
      <c r="F910" s="13"/>
    </row>
    <row r="911" spans="2:6" x14ac:dyDescent="0.3">
      <c r="B911" s="13" t="str">
        <v>Tina Griffith</v>
      </c>
      <c r="C911" s="13"/>
      <c r="D911" s="13"/>
      <c r="E911" s="42"/>
      <c r="F911" s="13"/>
    </row>
    <row r="912" spans="2:6" x14ac:dyDescent="0.3">
      <c r="B912" s="13" t="str">
        <v>Carol Malone</v>
      </c>
      <c r="C912" s="13"/>
      <c r="D912" s="13"/>
      <c r="E912" s="42"/>
      <c r="F912" s="13"/>
    </row>
    <row r="913" spans="2:6" x14ac:dyDescent="0.3">
      <c r="B913" s="13" t="str">
        <v>Mary Arnold</v>
      </c>
      <c r="C913" s="13"/>
      <c r="D913" s="13"/>
      <c r="E913" s="42"/>
      <c r="F913" s="13"/>
    </row>
    <row r="914" spans="2:6" x14ac:dyDescent="0.3">
      <c r="B914" s="13" t="str">
        <v>Amanda Lambert</v>
      </c>
      <c r="C914" s="13"/>
      <c r="D914" s="13"/>
      <c r="E914" s="42"/>
      <c r="F914" s="13"/>
    </row>
    <row r="915" spans="2:6" x14ac:dyDescent="0.3">
      <c r="B915" s="13" t="str">
        <v>Tom Le</v>
      </c>
      <c r="C915" s="13"/>
      <c r="D915" s="13"/>
      <c r="E915" s="42"/>
      <c r="F915" s="13"/>
    </row>
    <row r="916" spans="2:6" x14ac:dyDescent="0.3">
      <c r="B916" s="13" t="str">
        <v>Gina Smith</v>
      </c>
      <c r="C916" s="13"/>
      <c r="D916" s="13"/>
      <c r="E916" s="42"/>
      <c r="F916" s="13"/>
    </row>
    <row r="917" spans="2:6" x14ac:dyDescent="0.3">
      <c r="B917" s="13" t="str">
        <v>Monica Wilson</v>
      </c>
      <c r="C917" s="13"/>
      <c r="D917" s="13"/>
      <c r="E917" s="42"/>
      <c r="F917" s="13"/>
    </row>
    <row r="918" spans="2:6" x14ac:dyDescent="0.3">
      <c r="B918" s="13" t="str">
        <v>Maxwell Miller</v>
      </c>
      <c r="C918" s="13"/>
      <c r="D918" s="13"/>
      <c r="E918" s="42"/>
      <c r="F918" s="13"/>
    </row>
    <row r="919" spans="2:6" x14ac:dyDescent="0.3">
      <c r="B919" s="13" t="str">
        <v>Jonathan Phillips DDS</v>
      </c>
      <c r="C919" s="13"/>
      <c r="D919" s="13"/>
      <c r="E919" s="42"/>
      <c r="F919" s="13"/>
    </row>
    <row r="920" spans="2:6" x14ac:dyDescent="0.3">
      <c r="B920" s="13" t="str">
        <v>Brandon Sanford</v>
      </c>
      <c r="C920" s="13"/>
      <c r="D920" s="13"/>
      <c r="E920" s="42"/>
      <c r="F920" s="13"/>
    </row>
    <row r="921" spans="2:6" x14ac:dyDescent="0.3">
      <c r="B921" s="13" t="str">
        <v>Felicia Smith</v>
      </c>
      <c r="C921" s="13"/>
      <c r="D921" s="13"/>
      <c r="E921" s="42"/>
      <c r="F921" s="13"/>
    </row>
    <row r="922" spans="2:6" x14ac:dyDescent="0.3">
      <c r="B922" s="13" t="str">
        <v>Sean Barnett</v>
      </c>
      <c r="C922" s="13"/>
      <c r="D922" s="13"/>
      <c r="E922" s="42"/>
      <c r="F922" s="13"/>
    </row>
    <row r="923" spans="2:6" x14ac:dyDescent="0.3">
      <c r="B923" s="13" t="str">
        <v>Laura Holt</v>
      </c>
      <c r="C923" s="13"/>
      <c r="D923" s="13"/>
      <c r="E923" s="42"/>
      <c r="F923" s="13"/>
    </row>
    <row r="924" spans="2:6" x14ac:dyDescent="0.3">
      <c r="B924" s="13" t="str">
        <v>Julie Miller</v>
      </c>
      <c r="C924" s="13"/>
      <c r="D924" s="13"/>
      <c r="E924" s="42"/>
      <c r="F924" s="13"/>
    </row>
    <row r="925" spans="2:6" x14ac:dyDescent="0.3">
      <c r="B925" s="13" t="str">
        <v>Jason Kim</v>
      </c>
      <c r="C925" s="13"/>
      <c r="D925" s="13"/>
      <c r="E925" s="42"/>
      <c r="F925" s="13"/>
    </row>
    <row r="926" spans="2:6" x14ac:dyDescent="0.3">
      <c r="B926" s="13" t="str">
        <v>Jennifer Evans</v>
      </c>
      <c r="C926" s="13"/>
      <c r="D926" s="13"/>
      <c r="E926" s="42"/>
      <c r="F926" s="13"/>
    </row>
    <row r="927" spans="2:6" x14ac:dyDescent="0.3">
      <c r="B927" s="13" t="str">
        <v>Kathryn Taylor</v>
      </c>
      <c r="C927" s="13"/>
      <c r="D927" s="13"/>
      <c r="E927" s="42"/>
      <c r="F927" s="13"/>
    </row>
    <row r="928" spans="2:6" x14ac:dyDescent="0.3">
      <c r="B928" s="13" t="str">
        <v>Amy Perez</v>
      </c>
      <c r="C928" s="13"/>
      <c r="D928" s="13"/>
      <c r="E928" s="42"/>
      <c r="F928" s="13"/>
    </row>
    <row r="929" spans="2:6" x14ac:dyDescent="0.3">
      <c r="B929" s="13" t="str">
        <v>Vincent Hicks</v>
      </c>
      <c r="C929" s="13"/>
      <c r="D929" s="13"/>
      <c r="E929" s="42"/>
      <c r="F929" s="13"/>
    </row>
    <row r="930" spans="2:6" x14ac:dyDescent="0.3">
      <c r="B930" s="13" t="str">
        <v>Ashley Patel</v>
      </c>
      <c r="C930" s="13"/>
      <c r="D930" s="13"/>
      <c r="E930" s="42"/>
      <c r="F930" s="13"/>
    </row>
    <row r="931" spans="2:6" x14ac:dyDescent="0.3">
      <c r="B931" s="13" t="str">
        <v>Ashley Brown</v>
      </c>
      <c r="C931" s="13"/>
      <c r="D931" s="13"/>
      <c r="E931" s="42"/>
      <c r="F931" s="13"/>
    </row>
    <row r="932" spans="2:6" x14ac:dyDescent="0.3">
      <c r="B932" s="13" t="str">
        <v>Peggy Daniels</v>
      </c>
      <c r="C932" s="13"/>
      <c r="D932" s="13"/>
      <c r="E932" s="42"/>
      <c r="F932" s="13"/>
    </row>
    <row r="933" spans="2:6" x14ac:dyDescent="0.3">
      <c r="B933" s="13" t="str">
        <v>Monique Rodriguez</v>
      </c>
      <c r="C933" s="13"/>
      <c r="D933" s="13"/>
      <c r="E933" s="42"/>
      <c r="F933" s="13"/>
    </row>
    <row r="934" spans="2:6" x14ac:dyDescent="0.3">
      <c r="B934" s="13" t="str">
        <v>Dawn Randall</v>
      </c>
      <c r="C934" s="13"/>
      <c r="D934" s="13"/>
      <c r="E934" s="42"/>
      <c r="F934" s="13"/>
    </row>
    <row r="935" spans="2:6" x14ac:dyDescent="0.3">
      <c r="B935" s="13" t="str">
        <v>Elizabeth Glass</v>
      </c>
      <c r="C935" s="13"/>
      <c r="D935" s="13"/>
      <c r="E935" s="42"/>
      <c r="F935" s="13"/>
    </row>
    <row r="936" spans="2:6" x14ac:dyDescent="0.3">
      <c r="B936" s="13" t="str">
        <v>Timothy Owens</v>
      </c>
      <c r="C936" s="13"/>
      <c r="D936" s="13"/>
      <c r="E936" s="42"/>
      <c r="F936" s="13"/>
    </row>
    <row r="937" spans="2:6" x14ac:dyDescent="0.3">
      <c r="B937" s="13" t="str">
        <v>Jennifer Luna</v>
      </c>
      <c r="C937" s="13"/>
      <c r="D937" s="13"/>
      <c r="E937" s="42"/>
      <c r="F937" s="13"/>
    </row>
    <row r="938" spans="2:6" x14ac:dyDescent="0.3">
      <c r="B938" s="13" t="str">
        <v>Alexander Johnson DVM</v>
      </c>
      <c r="C938" s="13"/>
      <c r="D938" s="13"/>
      <c r="E938" s="42"/>
      <c r="F938" s="13"/>
    </row>
    <row r="939" spans="2:6" x14ac:dyDescent="0.3">
      <c r="B939" s="13" t="str">
        <v>Justin Wilkerson</v>
      </c>
      <c r="C939" s="13"/>
      <c r="D939" s="13"/>
      <c r="E939" s="42"/>
      <c r="F939" s="13"/>
    </row>
    <row r="940" spans="2:6" x14ac:dyDescent="0.3">
      <c r="B940" s="13" t="str">
        <v>Anna Garza</v>
      </c>
      <c r="C940" s="13"/>
      <c r="D940" s="13"/>
      <c r="E940" s="42"/>
      <c r="F940" s="13"/>
    </row>
    <row r="941" spans="2:6" x14ac:dyDescent="0.3">
      <c r="B941" s="13" t="str">
        <v>Dr. Sean Allen</v>
      </c>
      <c r="C941" s="13"/>
      <c r="D941" s="13"/>
      <c r="E941" s="42"/>
      <c r="F941" s="13"/>
    </row>
    <row r="942" spans="2:6" x14ac:dyDescent="0.3">
      <c r="B942" s="13" t="str">
        <v>Jim Glover</v>
      </c>
      <c r="C942" s="13"/>
      <c r="D942" s="13"/>
      <c r="E942" s="42"/>
      <c r="F942" s="13"/>
    </row>
    <row r="943" spans="2:6" x14ac:dyDescent="0.3">
      <c r="B943" s="13" t="str">
        <v>Stacy Meyer</v>
      </c>
      <c r="C943" s="13"/>
      <c r="D943" s="13"/>
      <c r="E943" s="42"/>
      <c r="F943" s="13"/>
    </row>
    <row r="944" spans="2:6" x14ac:dyDescent="0.3">
      <c r="B944" s="13" t="str">
        <v>Ashley Mitchell</v>
      </c>
      <c r="C944" s="13"/>
      <c r="D944" s="13"/>
      <c r="E944" s="42"/>
      <c r="F944" s="13"/>
    </row>
    <row r="945" spans="2:6" x14ac:dyDescent="0.3">
      <c r="B945" s="13" t="str">
        <v>Mark Davis</v>
      </c>
      <c r="C945" s="13"/>
      <c r="D945" s="13"/>
      <c r="E945" s="42"/>
      <c r="F945" s="13"/>
    </row>
    <row r="946" spans="2:6" x14ac:dyDescent="0.3">
      <c r="B946" s="13" t="str">
        <v>Heather Townsend</v>
      </c>
      <c r="C946" s="13"/>
      <c r="D946" s="13"/>
      <c r="E946" s="42"/>
      <c r="F946" s="13"/>
    </row>
    <row r="947" spans="2:6" x14ac:dyDescent="0.3">
      <c r="B947" s="13" t="str">
        <v>Jesus Chan</v>
      </c>
      <c r="C947" s="13"/>
      <c r="D947" s="13"/>
      <c r="E947" s="42"/>
      <c r="F947" s="13"/>
    </row>
    <row r="948" spans="2:6" x14ac:dyDescent="0.3">
      <c r="B948" s="13" t="str">
        <v>Henry Williamson</v>
      </c>
      <c r="C948" s="13"/>
      <c r="D948" s="13"/>
      <c r="E948" s="42"/>
      <c r="F948" s="13"/>
    </row>
    <row r="949" spans="2:6" x14ac:dyDescent="0.3">
      <c r="B949" s="13" t="str">
        <v>Antonio Rios</v>
      </c>
      <c r="C949" s="13"/>
      <c r="D949" s="13"/>
      <c r="E949" s="42"/>
      <c r="F949" s="13"/>
    </row>
    <row r="950" spans="2:6" x14ac:dyDescent="0.3">
      <c r="B950" s="13" t="str">
        <v>Andrew Long</v>
      </c>
      <c r="C950" s="13"/>
      <c r="D950" s="13"/>
      <c r="E950" s="42"/>
      <c r="F950" s="13"/>
    </row>
    <row r="951" spans="2:6" x14ac:dyDescent="0.3">
      <c r="B951" s="13" t="str">
        <v>Chelsea Hampton</v>
      </c>
      <c r="C951" s="13"/>
      <c r="D951" s="13"/>
      <c r="E951" s="42"/>
      <c r="F951" s="13"/>
    </row>
    <row r="952" spans="2:6" x14ac:dyDescent="0.3">
      <c r="B952" s="13" t="str">
        <v>Briana Sellers</v>
      </c>
      <c r="C952" s="13"/>
      <c r="D952" s="13"/>
      <c r="E952" s="42"/>
      <c r="F952" s="13"/>
    </row>
    <row r="953" spans="2:6" x14ac:dyDescent="0.3">
      <c r="B953" s="13" t="str">
        <v>Calvin Gould</v>
      </c>
      <c r="C953" s="13"/>
      <c r="D953" s="13"/>
      <c r="E953" s="42"/>
      <c r="F953" s="13"/>
    </row>
    <row r="954" spans="2:6" x14ac:dyDescent="0.3">
      <c r="B954" s="13" t="str">
        <v>Amanda Whitehead</v>
      </c>
      <c r="C954" s="13"/>
      <c r="D954" s="13"/>
      <c r="E954" s="42"/>
      <c r="F954" s="13"/>
    </row>
    <row r="955" spans="2:6" x14ac:dyDescent="0.3">
      <c r="B955" s="13" t="str">
        <v>Gabriela Cook</v>
      </c>
      <c r="C955" s="13"/>
      <c r="D955" s="13"/>
      <c r="E955" s="42"/>
      <c r="F955" s="13"/>
    </row>
    <row r="956" spans="2:6" x14ac:dyDescent="0.3">
      <c r="B956" s="13" t="str">
        <v>Heather Copeland</v>
      </c>
      <c r="C956" s="13"/>
      <c r="D956" s="13"/>
      <c r="E956" s="42"/>
      <c r="F956" s="13"/>
    </row>
    <row r="957" spans="2:6" x14ac:dyDescent="0.3">
      <c r="B957" s="13" t="str">
        <v>Kelly Anderson</v>
      </c>
      <c r="C957" s="13"/>
      <c r="D957" s="13"/>
      <c r="E957" s="42"/>
      <c r="F957" s="13"/>
    </row>
    <row r="958" spans="2:6" x14ac:dyDescent="0.3">
      <c r="B958" s="13" t="str">
        <v>Tammy Duncan</v>
      </c>
      <c r="C958" s="13"/>
      <c r="D958" s="13"/>
      <c r="E958" s="42"/>
      <c r="F958" s="13"/>
    </row>
    <row r="959" spans="2:6" x14ac:dyDescent="0.3">
      <c r="B959" s="13" t="str">
        <v>Shawna Smith</v>
      </c>
      <c r="C959" s="13"/>
      <c r="D959" s="13"/>
      <c r="E959" s="42"/>
      <c r="F959" s="13"/>
    </row>
    <row r="960" spans="2:6" x14ac:dyDescent="0.3">
      <c r="B960" s="13" t="str">
        <v>Jane Rodriguez</v>
      </c>
      <c r="C960" s="13"/>
      <c r="D960" s="13"/>
      <c r="E960" s="42"/>
      <c r="F960" s="13"/>
    </row>
    <row r="961" spans="2:6" x14ac:dyDescent="0.3">
      <c r="B961" s="13" t="str">
        <v>Thomas Shepard</v>
      </c>
      <c r="C961" s="13"/>
      <c r="D961" s="13"/>
      <c r="E961" s="42"/>
      <c r="F961" s="13"/>
    </row>
    <row r="962" spans="2:6" x14ac:dyDescent="0.3">
      <c r="B962" s="13" t="str">
        <v>Joshua Combs</v>
      </c>
      <c r="C962" s="13"/>
      <c r="D962" s="13"/>
      <c r="E962" s="42"/>
      <c r="F962" s="13"/>
    </row>
    <row r="963" spans="2:6" x14ac:dyDescent="0.3">
      <c r="B963" s="13" t="str">
        <v>Brenda Dean</v>
      </c>
      <c r="C963" s="13"/>
      <c r="D963" s="13"/>
      <c r="E963" s="42"/>
      <c r="F963" s="13"/>
    </row>
    <row r="964" spans="2:6" x14ac:dyDescent="0.3">
      <c r="B964" s="13" t="str">
        <v>Erin Salas</v>
      </c>
      <c r="C964" s="13"/>
      <c r="D964" s="13"/>
      <c r="E964" s="42"/>
      <c r="F964" s="13"/>
    </row>
    <row r="965" spans="2:6" x14ac:dyDescent="0.3">
      <c r="B965" s="13" t="str">
        <v>Charles Gonzalez</v>
      </c>
      <c r="C965" s="13"/>
      <c r="D965" s="13"/>
      <c r="E965" s="42"/>
      <c r="F965" s="13"/>
    </row>
    <row r="966" spans="2:6" x14ac:dyDescent="0.3">
      <c r="B966" s="13" t="str">
        <v>Nicole Cabrera</v>
      </c>
      <c r="C966" s="13"/>
      <c r="D966" s="13"/>
      <c r="E966" s="42"/>
      <c r="F966" s="13"/>
    </row>
    <row r="967" spans="2:6" x14ac:dyDescent="0.3">
      <c r="B967" s="13" t="str">
        <v>Dr. Matthew Perkins</v>
      </c>
      <c r="C967" s="13"/>
      <c r="D967" s="13"/>
      <c r="E967" s="42"/>
      <c r="F967" s="13"/>
    </row>
    <row r="968" spans="2:6" x14ac:dyDescent="0.3">
      <c r="B968" s="13" t="str">
        <v>Jennifer Hall</v>
      </c>
      <c r="C968" s="13"/>
      <c r="D968" s="13"/>
      <c r="E968" s="42"/>
      <c r="F968" s="13"/>
    </row>
    <row r="969" spans="2:6" x14ac:dyDescent="0.3">
      <c r="B969" s="13" t="str">
        <v>Johnny Lewis</v>
      </c>
      <c r="C969" s="13"/>
      <c r="D969" s="13"/>
      <c r="E969" s="42"/>
      <c r="F969" s="13"/>
    </row>
    <row r="970" spans="2:6" x14ac:dyDescent="0.3">
      <c r="B970" s="13" t="str">
        <v>Francisco Morales</v>
      </c>
      <c r="C970" s="13"/>
      <c r="D970" s="13"/>
      <c r="E970" s="42"/>
      <c r="F970" s="13"/>
    </row>
    <row r="971" spans="2:6" x14ac:dyDescent="0.3">
      <c r="B971" s="13" t="str">
        <v>John Gomez</v>
      </c>
      <c r="C971" s="13"/>
      <c r="D971" s="13"/>
      <c r="E971" s="42"/>
      <c r="F971" s="13"/>
    </row>
    <row r="972" spans="2:6" x14ac:dyDescent="0.3">
      <c r="B972" s="13" t="str">
        <v>Krista Nash</v>
      </c>
      <c r="C972" s="13"/>
      <c r="D972" s="13"/>
      <c r="E972" s="42"/>
      <c r="F972" s="13"/>
    </row>
    <row r="973" spans="2:6" x14ac:dyDescent="0.3">
      <c r="B973" s="13" t="str">
        <v>Karen Lloyd</v>
      </c>
      <c r="C973" s="13"/>
      <c r="D973" s="13"/>
      <c r="E973" s="42"/>
      <c r="F973" s="13"/>
    </row>
    <row r="974" spans="2:6" x14ac:dyDescent="0.3">
      <c r="B974" s="13" t="str">
        <v>Kathleen Melton</v>
      </c>
      <c r="C974" s="13"/>
      <c r="D974" s="13"/>
      <c r="E974" s="42"/>
      <c r="F974" s="13"/>
    </row>
    <row r="975" spans="2:6" x14ac:dyDescent="0.3">
      <c r="B975" s="13" t="str">
        <v>Carl Parker</v>
      </c>
      <c r="C975" s="13"/>
      <c r="D975" s="13"/>
      <c r="E975" s="42"/>
      <c r="F975" s="13"/>
    </row>
    <row r="976" spans="2:6" x14ac:dyDescent="0.3">
      <c r="B976" s="13" t="str">
        <v>Grant Hernandez</v>
      </c>
      <c r="C976" s="13"/>
      <c r="D976" s="13"/>
      <c r="E976" s="42"/>
      <c r="F976" s="13"/>
    </row>
    <row r="977" spans="2:6" x14ac:dyDescent="0.3">
      <c r="B977" s="13" t="str">
        <v>Jill Humphrey</v>
      </c>
      <c r="C977" s="13"/>
      <c r="D977" s="13"/>
      <c r="E977" s="42"/>
      <c r="F977" s="13"/>
    </row>
    <row r="978" spans="2:6" x14ac:dyDescent="0.3">
      <c r="B978" s="13" t="str">
        <v>Teresa Carpenter</v>
      </c>
      <c r="C978" s="13"/>
      <c r="D978" s="13"/>
      <c r="E978" s="42"/>
      <c r="F978" s="13"/>
    </row>
    <row r="979" spans="2:6" x14ac:dyDescent="0.3">
      <c r="B979" s="13" t="str">
        <v>Adam Nguyen</v>
      </c>
      <c r="C979" s="13"/>
      <c r="D979" s="13"/>
      <c r="E979" s="42"/>
      <c r="F979" s="13"/>
    </row>
    <row r="980" spans="2:6" x14ac:dyDescent="0.3">
      <c r="B980" s="13" t="str">
        <v>Judy Scott</v>
      </c>
      <c r="C980" s="13"/>
      <c r="D980" s="13"/>
      <c r="E980" s="42"/>
      <c r="F980" s="13"/>
    </row>
    <row r="981" spans="2:6" x14ac:dyDescent="0.3">
      <c r="B981" s="13" t="str">
        <v>Donna Perez</v>
      </c>
      <c r="C981" s="13"/>
      <c r="D981" s="13"/>
      <c r="E981" s="42"/>
      <c r="F981" s="13"/>
    </row>
    <row r="982" spans="2:6" x14ac:dyDescent="0.3">
      <c r="B982" s="13" t="str">
        <v>Roger Davis</v>
      </c>
      <c r="C982" s="13"/>
      <c r="D982" s="13"/>
      <c r="E982" s="42"/>
      <c r="F982" s="13"/>
    </row>
    <row r="983" spans="2:6" x14ac:dyDescent="0.3">
      <c r="B983" s="13" t="str">
        <v>Aaron Wood</v>
      </c>
      <c r="C983" s="13"/>
      <c r="D983" s="13"/>
      <c r="E983" s="42"/>
      <c r="F983" s="13"/>
    </row>
    <row r="984" spans="2:6" x14ac:dyDescent="0.3">
      <c r="B984" s="13" t="str">
        <v>Jeremiah Hernandez</v>
      </c>
      <c r="C984" s="13"/>
      <c r="D984" s="13"/>
      <c r="E984" s="42"/>
      <c r="F984" s="13"/>
    </row>
    <row r="985" spans="2:6" x14ac:dyDescent="0.3">
      <c r="B985" s="13" t="str">
        <v>Julie Long</v>
      </c>
      <c r="C985" s="13"/>
      <c r="D985" s="13"/>
      <c r="E985" s="42"/>
      <c r="F985" s="13"/>
    </row>
    <row r="986" spans="2:6" x14ac:dyDescent="0.3">
      <c r="B986" s="13" t="str">
        <v>Michelle Willis</v>
      </c>
      <c r="C986" s="13"/>
      <c r="D986" s="13"/>
      <c r="E986" s="42"/>
      <c r="F986" s="13"/>
    </row>
    <row r="987" spans="2:6" x14ac:dyDescent="0.3">
      <c r="B987" s="13" t="str">
        <v>Jacqueline Bell</v>
      </c>
      <c r="C987" s="13"/>
      <c r="D987" s="13"/>
      <c r="E987" s="42"/>
      <c r="F987" s="13"/>
    </row>
    <row r="988" spans="2:6" x14ac:dyDescent="0.3">
      <c r="B988" s="13" t="str">
        <v>Shane Riley</v>
      </c>
      <c r="C988" s="13"/>
      <c r="D988" s="13"/>
      <c r="E988" s="42"/>
      <c r="F988" s="13"/>
    </row>
    <row r="989" spans="2:6" x14ac:dyDescent="0.3">
      <c r="B989" s="13" t="str">
        <v>Ricky Kelly</v>
      </c>
      <c r="C989" s="13"/>
      <c r="D989" s="13"/>
      <c r="E989" s="42"/>
      <c r="F989" s="13"/>
    </row>
    <row r="990" spans="2:6" x14ac:dyDescent="0.3">
      <c r="B990" s="13" t="str">
        <v>Melissa Garcia</v>
      </c>
      <c r="C990" s="13"/>
      <c r="D990" s="13"/>
      <c r="E990" s="42"/>
      <c r="F990" s="13"/>
    </row>
    <row r="991" spans="2:6" x14ac:dyDescent="0.3">
      <c r="B991" s="13" t="str">
        <v>Tamara Navarro</v>
      </c>
      <c r="C991" s="13"/>
      <c r="D991" s="13"/>
      <c r="E991" s="42"/>
      <c r="F991" s="13"/>
    </row>
    <row r="992" spans="2:6" x14ac:dyDescent="0.3">
      <c r="B992" s="13" t="str">
        <v>Stephanie Bailey</v>
      </c>
      <c r="C992" s="13"/>
      <c r="D992" s="13"/>
      <c r="E992" s="42"/>
      <c r="F992" s="13"/>
    </row>
    <row r="993" spans="2:6" x14ac:dyDescent="0.3">
      <c r="B993" s="13" t="str">
        <v>Jonathon Cantu</v>
      </c>
      <c r="C993" s="13"/>
      <c r="D993" s="13"/>
      <c r="E993" s="42"/>
      <c r="F993" s="13"/>
    </row>
    <row r="994" spans="2:6" x14ac:dyDescent="0.3">
      <c r="B994" s="13" t="str">
        <v>Matthew Bradley</v>
      </c>
      <c r="C994" s="13"/>
      <c r="D994" s="13"/>
      <c r="E994" s="42"/>
      <c r="F99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E4E6-0CA3-4F41-AF65-B9D6E9645FBE}">
  <dimension ref="B2:Q38"/>
  <sheetViews>
    <sheetView tabSelected="1" zoomScale="85" zoomScaleNormal="69" workbookViewId="0">
      <selection activeCell="G19" sqref="G19"/>
    </sheetView>
  </sheetViews>
  <sheetFormatPr defaultRowHeight="14.4" x14ac:dyDescent="0.3"/>
  <cols>
    <col min="2" max="2" width="19.88671875" customWidth="1"/>
    <col min="3" max="3" width="13.5546875" customWidth="1"/>
    <col min="4" max="4" width="15.6640625" customWidth="1"/>
    <col min="5" max="5" width="15.21875" customWidth="1"/>
    <col min="6" max="6" width="16.21875" customWidth="1"/>
    <col min="7" max="7" width="14" customWidth="1"/>
    <col min="8" max="8" width="16" customWidth="1"/>
    <col min="9" max="9" width="15.33203125" customWidth="1"/>
    <col min="10" max="10" width="12.77734375" customWidth="1"/>
    <col min="11" max="11" width="10.21875" customWidth="1"/>
    <col min="12" max="12" width="17.88671875" customWidth="1"/>
    <col min="13" max="13" width="17.21875" customWidth="1"/>
    <col min="14" max="14" width="22.109375" customWidth="1"/>
    <col min="15" max="15" width="14.77734375" customWidth="1"/>
    <col min="16" max="16" width="12.6640625" customWidth="1"/>
    <col min="17" max="17" width="13.88671875" customWidth="1"/>
  </cols>
  <sheetData>
    <row r="2" spans="2:17" s="2" customFormat="1" x14ac:dyDescent="0.3">
      <c r="B2" s="16" t="s">
        <v>2288</v>
      </c>
      <c r="C2" s="16" t="s">
        <v>2289</v>
      </c>
      <c r="D2" s="16" t="s">
        <v>2290</v>
      </c>
      <c r="E2" s="16" t="s">
        <v>2291</v>
      </c>
      <c r="F2" s="16" t="s">
        <v>2287</v>
      </c>
      <c r="G2" s="16" t="s">
        <v>2286</v>
      </c>
      <c r="H2" s="16" t="s">
        <v>2283</v>
      </c>
      <c r="I2" s="16" t="s">
        <v>2284</v>
      </c>
      <c r="J2" s="16" t="s">
        <v>2285</v>
      </c>
    </row>
    <row r="3" spans="2:17" x14ac:dyDescent="0.3">
      <c r="B3" s="13" t="str" cm="1">
        <f t="array" ref="B3:B17">_xlfn.UNIQUE('RETAIL SALES DATA.'!$C$2:$C$1001)</f>
        <v>Pen</v>
      </c>
      <c r="C3" s="4" t="s">
        <v>19</v>
      </c>
      <c r="D3" s="17">
        <f>SUMIF('RETAIL SALES DATA.'!$C$2:$C$1001,Findings!B3,'RETAIL SALES DATA.'!$H$2:$H$1001)</f>
        <v>1451635.8500000003</v>
      </c>
      <c r="E3" s="13">
        <f>COUNTIF('RETAIL SALES DATA.'!$C$2:$C$1001,Findings!B3)</f>
        <v>59</v>
      </c>
      <c r="F3" s="13">
        <f>SUMIFS('RETAIL SALES DATA.'!$I$2:$I$1001,'RETAIL SALES DATA.'!$C$2:$C$1001,Findings!B3)</f>
        <v>1012285.4199999997</v>
      </c>
      <c r="G3" s="13">
        <f>SUMIFS('RETAIL SALES DATA.'!$J$2:$J$1001,'RETAIL SALES DATA.'!$C$2:$C$1001,Findings!B3)</f>
        <v>439350.43000000011</v>
      </c>
      <c r="H3" s="14">
        <f>AVERAGEIF('RETAIL SALES DATA.'!$C$2:$C$1001,Findings!B3,'RETAIL SALES DATA.'!$H$2:$H$1001)</f>
        <v>24603.997457627123</v>
      </c>
      <c r="I3" s="14">
        <f>AVERAGEIF('RETAIL SALES DATA.'!$C$2:$C$1001,Findings!B3,'RETAIL SALES DATA.'!$J$2:$J$1001)</f>
        <v>7446.6174576271205</v>
      </c>
      <c r="J3" s="14">
        <f>AVERAGEIF('RETAIL SALES DATA.'!$C$2:$C$1001,Findings!B3,'RETAIL SALES DATA.'!$F$2:$F$1001)</f>
        <v>10.728813559322035</v>
      </c>
      <c r="K3" s="7"/>
    </row>
    <row r="4" spans="2:17" x14ac:dyDescent="0.3">
      <c r="B4" s="13" t="str">
        <v>Desk</v>
      </c>
      <c r="C4" s="4" t="s">
        <v>31</v>
      </c>
      <c r="D4" s="17">
        <f>SUMIF('RETAIL SALES DATA.'!$C$2:$C$1001,Findings!B4,'RETAIL SALES DATA.'!$H$2:$H$1001)</f>
        <v>2145826.9299999997</v>
      </c>
      <c r="E4" s="13">
        <f>COUNTIF('RETAIL SALES DATA.'!$C$2:$C$1001,Findings!B4)</f>
        <v>79</v>
      </c>
      <c r="F4" s="13">
        <f>SUMIFS('RETAIL SALES DATA.'!$I$2:$I$1001,'RETAIL SALES DATA.'!$C$2:$C$1001,Findings!B4)</f>
        <v>1445133.2800000003</v>
      </c>
      <c r="G4" s="13">
        <f>SUMIFS('RETAIL SALES DATA.'!$J$2:$J$1001,'RETAIL SALES DATA.'!$C$2:$C$1001,Findings!B4)</f>
        <v>700693.65000000014</v>
      </c>
      <c r="H4" s="14">
        <f>AVERAGEIF('RETAIL SALES DATA.'!$C$2:$C$1001,Findings!B4,'RETAIL SALES DATA.'!$H$2:$H$1001)</f>
        <v>27162.366202531641</v>
      </c>
      <c r="I4" s="14">
        <f>AVERAGEIF('RETAIL SALES DATA.'!$C$2:$C$1001,Findings!B4,'RETAIL SALES DATA.'!$J$2:$J$1001)</f>
        <v>8869.5398734177234</v>
      </c>
      <c r="J4" s="14">
        <f>AVERAGEIF('RETAIL SALES DATA.'!$C$2:$C$1001,Findings!B4,'RETAIL SALES DATA.'!$F$2:$F$1001)</f>
        <v>10.873417721518987</v>
      </c>
    </row>
    <row r="5" spans="2:17" x14ac:dyDescent="0.3">
      <c r="B5" s="13" t="str">
        <v>Marker</v>
      </c>
      <c r="C5" s="4" t="s">
        <v>19</v>
      </c>
      <c r="D5" s="17">
        <f>SUMIF('RETAIL SALES DATA.'!$C$2:$C$1001,Findings!B5,'RETAIL SALES DATA.'!$H$2:$H$1001)</f>
        <v>1522379.88</v>
      </c>
      <c r="E5" s="13">
        <f>COUNTIF('RETAIL SALES DATA.'!$C$2:$C$1001,Findings!B5)</f>
        <v>55</v>
      </c>
      <c r="F5" s="13">
        <f>SUMIFS('RETAIL SALES DATA.'!$I$2:$I$1001,'RETAIL SALES DATA.'!$C$2:$C$1001,Findings!B5)</f>
        <v>1052401.4600000004</v>
      </c>
      <c r="G5" s="13">
        <f>SUMIFS('RETAIL SALES DATA.'!$J$2:$J$1001,'RETAIL SALES DATA.'!$C$2:$C$1001,Findings!B5)</f>
        <v>469978.42</v>
      </c>
      <c r="H5" s="14">
        <f>AVERAGEIF('RETAIL SALES DATA.'!$C$2:$C$1001,Findings!B5,'RETAIL SALES DATA.'!$H$2:$H$1001)</f>
        <v>27679.634181818179</v>
      </c>
      <c r="I5" s="14">
        <f>AVERAGEIF('RETAIL SALES DATA.'!$C$2:$C$1001,Findings!B5,'RETAIL SALES DATA.'!$J$2:$J$1001)</f>
        <v>8545.0621818181808</v>
      </c>
      <c r="J5" s="14">
        <f>AVERAGEIF('RETAIL SALES DATA.'!$C$2:$C$1001,Findings!B5,'RETAIL SALES DATA.'!$F$2:$F$1001)</f>
        <v>10.727272727272727</v>
      </c>
    </row>
    <row r="6" spans="2:17" x14ac:dyDescent="0.3">
      <c r="B6" s="13" t="str">
        <v>Laptop</v>
      </c>
      <c r="C6" s="4" t="s">
        <v>43</v>
      </c>
      <c r="D6" s="17">
        <f>SUMIF('RETAIL SALES DATA.'!$C$2:$C$1001,Findings!B6,'RETAIL SALES DATA.'!$H$2:$H$1001)</f>
        <v>1776611.3199999996</v>
      </c>
      <c r="E6" s="13">
        <f>COUNTIF('RETAIL SALES DATA.'!$C$2:$C$1001,Findings!B6)</f>
        <v>70</v>
      </c>
      <c r="F6" s="13">
        <f>SUMIFS('RETAIL SALES DATA.'!$I$2:$I$1001,'RETAIL SALES DATA.'!$C$2:$C$1001,Findings!B6)</f>
        <v>1267537.93</v>
      </c>
      <c r="G6" s="13">
        <f>SUMIFS('RETAIL SALES DATA.'!$J$2:$J$1001,'RETAIL SALES DATA.'!$C$2:$C$1001,Findings!B6)</f>
        <v>509073.38999999996</v>
      </c>
      <c r="H6" s="14">
        <f>AVERAGEIF('RETAIL SALES DATA.'!$C$2:$C$1001,Findings!B6,'RETAIL SALES DATA.'!$H$2:$H$1001)</f>
        <v>25380.16171428571</v>
      </c>
      <c r="I6" s="14">
        <f>AVERAGEIF('RETAIL SALES DATA.'!$C$2:$C$1001,Findings!B6,'RETAIL SALES DATA.'!$J$2:$J$1001)</f>
        <v>7272.476999999999</v>
      </c>
      <c r="J6" s="14">
        <f>AVERAGEIF('RETAIL SALES DATA.'!$C$2:$C$1001,Findings!B6,'RETAIL SALES DATA.'!$F$2:$F$1001)</f>
        <v>9.8714285714285719</v>
      </c>
    </row>
    <row r="7" spans="2:17" x14ac:dyDescent="0.3">
      <c r="B7" s="13" t="str">
        <v>Mouse</v>
      </c>
      <c r="C7" s="4" t="s">
        <v>43</v>
      </c>
      <c r="D7" s="17">
        <f>SUMIF('RETAIL SALES DATA.'!$C$2:$C$1001,Findings!B7,'RETAIL SALES DATA.'!$H$2:$H$1001)</f>
        <v>1857757.3999999997</v>
      </c>
      <c r="E7" s="13">
        <f>COUNTIF('RETAIL SALES DATA.'!$C$2:$C$1001,Findings!B7)</f>
        <v>74</v>
      </c>
      <c r="F7" s="13">
        <f>SUMIFS('RETAIL SALES DATA.'!$I$2:$I$1001,'RETAIL SALES DATA.'!$C$2:$C$1001,Findings!B7)</f>
        <v>1339072.74</v>
      </c>
      <c r="G7" s="13">
        <f>SUMIFS('RETAIL SALES DATA.'!$J$2:$J$1001,'RETAIL SALES DATA.'!$C$2:$C$1001,Findings!B7)</f>
        <v>518684.6599999998</v>
      </c>
      <c r="H7" s="14">
        <f>AVERAGEIF('RETAIL SALES DATA.'!$C$2:$C$1001,Findings!B7,'RETAIL SALES DATA.'!$H$2:$H$1001)</f>
        <v>25104.829729729725</v>
      </c>
      <c r="I7" s="14">
        <f>AVERAGEIF('RETAIL SALES DATA.'!$C$2:$C$1001,Findings!B7,'RETAIL SALES DATA.'!$J$2:$J$1001)</f>
        <v>7009.252162162159</v>
      </c>
      <c r="J7" s="14">
        <f>AVERAGEIF('RETAIL SALES DATA.'!$C$2:$C$1001,Findings!B7,'RETAIL SALES DATA.'!$F$2:$F$1001)</f>
        <v>10.094594594594595</v>
      </c>
      <c r="L7" s="18" t="s">
        <v>4</v>
      </c>
      <c r="M7" s="16" t="s">
        <v>19</v>
      </c>
      <c r="N7" s="16" t="s">
        <v>31</v>
      </c>
      <c r="O7" s="16" t="s">
        <v>43</v>
      </c>
      <c r="P7" s="66" t="s">
        <v>2294</v>
      </c>
      <c r="Q7" s="66" t="s">
        <v>2295</v>
      </c>
    </row>
    <row r="8" spans="2:17" x14ac:dyDescent="0.3">
      <c r="B8" s="13" t="str">
        <v>Notebook</v>
      </c>
      <c r="C8" s="4" t="s">
        <v>19</v>
      </c>
      <c r="D8" s="17">
        <f>SUMIF('RETAIL SALES DATA.'!$C$2:$C$1001,Findings!B8,'RETAIL SALES DATA.'!$H$2:$H$1001)</f>
        <v>1538795.4900000002</v>
      </c>
      <c r="E8" s="13">
        <f>COUNTIF('RETAIL SALES DATA.'!$C$2:$C$1001,Findings!B8)</f>
        <v>61</v>
      </c>
      <c r="F8" s="13">
        <f>SUMIFS('RETAIL SALES DATA.'!$I$2:$I$1001,'RETAIL SALES DATA.'!$C$2:$C$1001,Findings!B8)</f>
        <v>1074770.4100000001</v>
      </c>
      <c r="G8" s="13">
        <f>SUMIFS('RETAIL SALES DATA.'!$J$2:$J$1001,'RETAIL SALES DATA.'!$C$2:$C$1001,Findings!B8)</f>
        <v>464025.08000000007</v>
      </c>
      <c r="H8" s="14">
        <f>AVERAGEIF('RETAIL SALES DATA.'!$C$2:$C$1001,Findings!B8,'RETAIL SALES DATA.'!$H$2:$H$1001)</f>
        <v>25226.155573770495</v>
      </c>
      <c r="I8" s="14">
        <f>AVERAGEIF('RETAIL SALES DATA.'!$C$2:$C$1001,Findings!B8,'RETAIL SALES DATA.'!$J$2:$J$1001)</f>
        <v>7606.9685245901655</v>
      </c>
      <c r="J8" s="14">
        <f>AVERAGEIF('RETAIL SALES DATA.'!$C$2:$C$1001,Findings!B8,'RETAIL SALES DATA.'!$F$2:$F$1001)</f>
        <v>10.409836065573771</v>
      </c>
      <c r="L8" s="19" t="s">
        <v>20</v>
      </c>
      <c r="M8" s="14">
        <f>SUMIFS('RETAIL SALES DATA.'!$H$2:$H$1001,'RETAIL SALES DATA.'!$E$2:$E$1001,'RETAIL SALES DATA.'!E2,'RETAIL SALES DATA.'!$D$2:$D$1001,'RETAIL SALES DATA.'!D2)</f>
        <v>2140164.9700000002</v>
      </c>
      <c r="N8" s="14">
        <f>SUMIFS('RETAIL SALES DATA.'!$H$2:$H$1001,'RETAIL SALES DATA.'!$E$2:$E$1001,'RETAIL SALES DATA.'!E2,'RETAIL SALES DATA.'!$D$2:$D$1001,'RETAIL SALES DATA.'!D4)</f>
        <v>2077898.47</v>
      </c>
      <c r="O8" s="47">
        <f>SUMIFS('RETAIL SALES DATA.'!$H$2:$H$1001,'RETAIL SALES DATA.'!$E$2:$E$1001,'RETAIL SALES DATA.'!E2,'RETAIL SALES DATA.'!$D$2:$D$1001,'RETAIL SALES DATA.'!D6)</f>
        <v>1750132.9599999995</v>
      </c>
      <c r="P8" s="13">
        <f>MAX(M8:O8)</f>
        <v>2140164.9700000002</v>
      </c>
      <c r="Q8" s="47">
        <f>MIN(M8:P8)</f>
        <v>1750132.9599999995</v>
      </c>
    </row>
    <row r="9" spans="2:17" x14ac:dyDescent="0.3">
      <c r="B9" s="13" t="str">
        <v>Table</v>
      </c>
      <c r="C9" s="4" t="s">
        <v>31</v>
      </c>
      <c r="D9" s="17">
        <f>SUMIF('RETAIL SALES DATA.'!$C$2:$C$1001,Findings!B9,'RETAIL SALES DATA.'!$H$2:$H$1001)</f>
        <v>1725285.42</v>
      </c>
      <c r="E9" s="13">
        <f>COUNTIF('RETAIL SALES DATA.'!$C$2:$C$1001,Findings!B9)</f>
        <v>73</v>
      </c>
      <c r="F9" s="13">
        <f>SUMIFS('RETAIL SALES DATA.'!$I$2:$I$1001,'RETAIL SALES DATA.'!$C$2:$C$1001,Findings!B9)</f>
        <v>1181110.4200000002</v>
      </c>
      <c r="G9" s="13">
        <f>SUMIFS('RETAIL SALES DATA.'!$J$2:$J$1001,'RETAIL SALES DATA.'!$C$2:$C$1001,Findings!B9)</f>
        <v>544175</v>
      </c>
      <c r="H9" s="14">
        <f>AVERAGEIF('RETAIL SALES DATA.'!$C$2:$C$1001,Findings!B9,'RETAIL SALES DATA.'!$H$2:$H$1001)</f>
        <v>23634.046849315069</v>
      </c>
      <c r="I9" s="14">
        <f>AVERAGEIF('RETAIL SALES DATA.'!$C$2:$C$1001,Findings!B9,'RETAIL SALES DATA.'!$J$2:$J$1001)</f>
        <v>7454.4520547945203</v>
      </c>
      <c r="J9" s="14">
        <f>AVERAGEIF('RETAIL SALES DATA.'!$C$2:$C$1001,Findings!B9,'RETAIL SALES DATA.'!$F$2:$F$1001)</f>
        <v>9.4246575342465757</v>
      </c>
      <c r="L9" s="19" t="s">
        <v>25</v>
      </c>
      <c r="M9" s="13">
        <f>SUMIFS('RETAIL SALES DATA.'!$H$2:$H$1001,'RETAIL SALES DATA.'!$E$2:$E$1001,'RETAIL SALES DATA.'!E4,'RETAIL SALES DATA.'!$D$2:$D$1001,'RETAIL SALES DATA.'!D3)</f>
        <v>2366969.1900000009</v>
      </c>
      <c r="N9" s="13">
        <f>SUMIFS('RETAIL SALES DATA.'!$H$2:$H$1001,'RETAIL SALES DATA.'!$E$2:$E$1001,'RETAIL SALES DATA.'!E3,'RETAIL SALES DATA.'!$D$2:$D$1001,'RETAIL SALES DATA.'!D4)</f>
        <v>2197906.7100000004</v>
      </c>
      <c r="O9" s="13">
        <f>SUMIFS('RETAIL SALES DATA.'!$H$2:$H$1001,'RETAIL SALES DATA.'!$E$2:$E$1001,'RETAIL SALES DATA.'!E3,'RETAIL SALES DATA.'!$D$2:$D$1001,'RETAIL SALES DATA.'!D7)</f>
        <v>2029226.96</v>
      </c>
      <c r="P9" s="13">
        <f t="shared" ref="P9:P11" si="0">MAX(M9:O9)</f>
        <v>2366969.1900000009</v>
      </c>
      <c r="Q9" s="13">
        <f t="shared" ref="Q9:Q11" si="1">MIN(M9:P9)</f>
        <v>2029226.96</v>
      </c>
    </row>
    <row r="10" spans="2:17" x14ac:dyDescent="0.3">
      <c r="B10" s="13" t="str">
        <v>Chair</v>
      </c>
      <c r="C10" s="4" t="s">
        <v>31</v>
      </c>
      <c r="D10" s="17">
        <f>SUMIF('RETAIL SALES DATA.'!$C$2:$C$1001,Findings!B10,'RETAIL SALES DATA.'!$H$2:$H$1001)</f>
        <v>1896807.11</v>
      </c>
      <c r="E10" s="13">
        <f>COUNTIF('RETAIL SALES DATA.'!$C$2:$C$1001,Findings!B10)</f>
        <v>68</v>
      </c>
      <c r="F10" s="13">
        <f>SUMIFS('RETAIL SALES DATA.'!$I$2:$I$1001,'RETAIL SALES DATA.'!$C$2:$C$1001,Findings!B10)</f>
        <v>1259143.1199999999</v>
      </c>
      <c r="G10" s="13">
        <f>SUMIFS('RETAIL SALES DATA.'!$J$2:$J$1001,'RETAIL SALES DATA.'!$C$2:$C$1001,Findings!B10)</f>
        <v>637663.98999999987</v>
      </c>
      <c r="H10" s="14">
        <f>AVERAGEIF('RETAIL SALES DATA.'!$C$2:$C$1001,Findings!B10,'RETAIL SALES DATA.'!$H$2:$H$1001)</f>
        <v>27894.222205882354</v>
      </c>
      <c r="I10" s="14">
        <f>AVERAGEIF('RETAIL SALES DATA.'!$C$2:$C$1001,Findings!B10,'RETAIL SALES DATA.'!$J$2:$J$1001)</f>
        <v>9377.4116176470561</v>
      </c>
      <c r="J10" s="14">
        <f>AVERAGEIF('RETAIL SALES DATA.'!$C$2:$C$1001,Findings!B10,'RETAIL SALES DATA.'!$F$2:$F$1001)</f>
        <v>11.294117647058824</v>
      </c>
      <c r="L10" s="19" t="s">
        <v>2293</v>
      </c>
      <c r="M10" s="45">
        <f>SUMIFS('RETAIL SALES DATA.'!$H$2:$H$1001,'RETAIL SALES DATA.'!$E$2:$E$1001,'RETAIL SALES DATA.'!E4,'RETAIL SALES DATA.'!$D$2:$D$1001,'RETAIL SALES DATA.'!D4)</f>
        <v>2785048.2599999993</v>
      </c>
      <c r="N10" s="13">
        <f>SUMIFS('RETAIL SALES DATA.'!$H$2:$H$1001,'RETAIL SALES DATA.'!$E$2:$E$1001,'RETAIL SALES DATA.'!E4,'RETAIL SALES DATA.'!$D$2:$D$1001,'RETAIL SALES DATA.'!D4)</f>
        <v>2785048.2599999993</v>
      </c>
      <c r="O10" s="13">
        <f>SUMIFS('RETAIL SALES DATA.'!$H$2:$H$1001,'RETAIL SALES DATA.'!$E$2:$E$1001,'RETAIL SALES DATA.'!E4,'RETAIL SALES DATA.'!$D$2:$D$1001,'RETAIL SALES DATA.'!D8)</f>
        <v>2536765.1100000008</v>
      </c>
      <c r="P10" s="45">
        <f t="shared" si="0"/>
        <v>2785048.2599999993</v>
      </c>
      <c r="Q10" s="13">
        <f t="shared" si="1"/>
        <v>2536765.1100000008</v>
      </c>
    </row>
    <row r="11" spans="2:17" x14ac:dyDescent="0.3">
      <c r="B11" s="13" t="str">
        <v>Cupboard</v>
      </c>
      <c r="C11" s="4" t="s">
        <v>31</v>
      </c>
      <c r="D11" s="17">
        <f>SUMIF('RETAIL SALES DATA.'!$C$2:$C$1001,Findings!B11,'RETAIL SALES DATA.'!$H$2:$H$1001)</f>
        <v>1946675.6000000006</v>
      </c>
      <c r="E11" s="13">
        <f>COUNTIF('RETAIL SALES DATA.'!$C$2:$C$1001,Findings!B11)</f>
        <v>68</v>
      </c>
      <c r="F11" s="13">
        <f>SUMIFS('RETAIL SALES DATA.'!$I$2:$I$1001,'RETAIL SALES DATA.'!$C$2:$C$1001,Findings!B11)</f>
        <v>1348687.14</v>
      </c>
      <c r="G11" s="13">
        <f>SUMIFS('RETAIL SALES DATA.'!$J$2:$J$1001,'RETAIL SALES DATA.'!$C$2:$C$1001,Findings!B11)</f>
        <v>597988.46000000008</v>
      </c>
      <c r="H11" s="14">
        <f>AVERAGEIF('RETAIL SALES DATA.'!$C$2:$C$1001,Findings!B11,'RETAIL SALES DATA.'!$H$2:$H$1001)</f>
        <v>28627.582352941186</v>
      </c>
      <c r="I11" s="14">
        <f>AVERAGEIF('RETAIL SALES DATA.'!$C$2:$C$1001,Findings!B11,'RETAIL SALES DATA.'!$J$2:$J$1001)</f>
        <v>8793.9479411764714</v>
      </c>
      <c r="J11" s="14">
        <f>AVERAGEIF('RETAIL SALES DATA.'!$C$2:$C$1001,Findings!B11,'RETAIL SALES DATA.'!$F$2:$F$1001)</f>
        <v>9.882352941176471</v>
      </c>
      <c r="L11" s="19" t="s">
        <v>44</v>
      </c>
      <c r="M11" s="13">
        <f>SUMIFS('RETAIL SALES DATA.'!$H$2:$H$1001,'RETAIL SALES DATA.'!$E$2:$E$1001,'RETAIL SALES DATA.'!E6,'RETAIL SALES DATA.'!$D$2:$D$1001,'RETAIL SALES DATA.'!D5)</f>
        <v>1770495.3400000003</v>
      </c>
      <c r="N11" s="13">
        <f>SUMIFS('RETAIL SALES DATA.'!$H$2:$H$1001,'RETAIL SALES DATA.'!$E$2:$E$1001,'RETAIL SALES DATA.'!E6,'RETAIL SALES DATA.'!$D$2:$D$1001,'RETAIL SALES DATA.'!D4)</f>
        <v>2244148.810000001</v>
      </c>
      <c r="O11" s="13">
        <f>SUMIFS('RETAIL SALES DATA.'!$H$2:$H$1001,'RETAIL SALES DATA.'!$E$2:$E$1001,'RETAIL SALES DATA.'!E6,'RETAIL SALES DATA.'!$D$2:$D$1001,'RETAIL SALES DATA.'!D6)</f>
        <v>2145539.5499999998</v>
      </c>
      <c r="P11" s="13">
        <f t="shared" si="0"/>
        <v>2244148.810000001</v>
      </c>
      <c r="Q11" s="13">
        <f t="shared" si="1"/>
        <v>1770495.3400000003</v>
      </c>
    </row>
    <row r="12" spans="2:17" x14ac:dyDescent="0.3">
      <c r="B12" s="13" t="str">
        <v>Printer</v>
      </c>
      <c r="C12" s="4" t="s">
        <v>43</v>
      </c>
      <c r="D12" s="17">
        <f>SUMIF('RETAIL SALES DATA.'!$C$2:$C$1001,Findings!B12,'RETAIL SALES DATA.'!$H$2:$H$1001)</f>
        <v>2194736.5700000003</v>
      </c>
      <c r="E12" s="13">
        <f>COUNTIF('RETAIL SALES DATA.'!$C$2:$C$1001,Findings!B12)</f>
        <v>73</v>
      </c>
      <c r="F12" s="13">
        <f>SUMIFS('RETAIL SALES DATA.'!$I$2:$I$1001,'RETAIL SALES DATA.'!$C$2:$C$1001,Findings!B12)</f>
        <v>1510910.8699999996</v>
      </c>
      <c r="G12" s="13">
        <f>SUMIFS('RETAIL SALES DATA.'!$J$2:$J$1001,'RETAIL SALES DATA.'!$C$2:$C$1001,Findings!B12)</f>
        <v>683825.69999999984</v>
      </c>
      <c r="H12" s="14">
        <f>AVERAGEIF('RETAIL SALES DATA.'!$C$2:$C$1001,Findings!B12,'RETAIL SALES DATA.'!$H$2:$H$1001)</f>
        <v>30064.884520547948</v>
      </c>
      <c r="I12" s="14">
        <f>AVERAGEIF('RETAIL SALES DATA.'!$C$2:$C$1001,Findings!B12,'RETAIL SALES DATA.'!$J$2:$J$1001)</f>
        <v>9367.475342465752</v>
      </c>
      <c r="J12" s="14">
        <f>AVERAGEIF('RETAIL SALES DATA.'!$C$2:$C$1001,Findings!B12,'RETAIL SALES DATA.'!$F$2:$F$1001)</f>
        <v>11.397260273972602</v>
      </c>
      <c r="L12" s="66" t="s">
        <v>2294</v>
      </c>
      <c r="M12" s="45">
        <f>MAX(M8:M11)</f>
        <v>2785048.2599999993</v>
      </c>
      <c r="N12" s="13">
        <f>MAX(N8:N11)</f>
        <v>2785048.2599999993</v>
      </c>
      <c r="O12" s="13">
        <f>MAX(O8:O11)</f>
        <v>2536765.1100000008</v>
      </c>
      <c r="P12" s="13"/>
      <c r="Q12" s="13"/>
    </row>
    <row r="13" spans="2:17" x14ac:dyDescent="0.3">
      <c r="B13" s="13" t="str">
        <v>Sofa</v>
      </c>
      <c r="C13" s="4" t="s">
        <v>31</v>
      </c>
      <c r="D13" s="17">
        <f>SUMIF('RETAIL SALES DATA.'!$C$2:$C$1001,Findings!B13,'RETAIL SALES DATA.'!$H$2:$H$1001)</f>
        <v>1590407.19</v>
      </c>
      <c r="E13" s="13">
        <f>COUNTIF('RETAIL SALES DATA.'!$C$2:$C$1001,Findings!B13)</f>
        <v>65</v>
      </c>
      <c r="F13" s="13">
        <f>SUMIFS('RETAIL SALES DATA.'!$I$2:$I$1001,'RETAIL SALES DATA.'!$C$2:$C$1001,Findings!B13)</f>
        <v>1087252.3799999997</v>
      </c>
      <c r="G13" s="13">
        <f>SUMIFS('RETAIL SALES DATA.'!$J$2:$J$1001,'RETAIL SALES DATA.'!$C$2:$C$1001,Findings!B13)</f>
        <v>503154.81000000006</v>
      </c>
      <c r="H13" s="14">
        <f>AVERAGEIF('RETAIL SALES DATA.'!$C$2:$C$1001,Findings!B13,'RETAIL SALES DATA.'!$H$2:$H$1001)</f>
        <v>24467.802923076921</v>
      </c>
      <c r="I13" s="14">
        <f>AVERAGEIF('RETAIL SALES DATA.'!$C$2:$C$1001,Findings!B13,'RETAIL SALES DATA.'!$J$2:$J$1001)</f>
        <v>7740.8432307692319</v>
      </c>
      <c r="J13" s="14">
        <f>AVERAGEIF('RETAIL SALES DATA.'!$C$2:$C$1001,Findings!B13,'RETAIL SALES DATA.'!$F$2:$F$1001)</f>
        <v>10.661538461538461</v>
      </c>
      <c r="L13" s="66" t="s">
        <v>2295</v>
      </c>
      <c r="M13" s="13">
        <f>MIN(M8:M12)</f>
        <v>1770495.3400000003</v>
      </c>
      <c r="N13" s="13">
        <f>MIN(N8:N11)</f>
        <v>2077898.47</v>
      </c>
      <c r="O13" s="47">
        <f>MIN(O8:O10)</f>
        <v>1750132.9599999995</v>
      </c>
      <c r="P13" s="13"/>
      <c r="Q13" s="13"/>
    </row>
    <row r="14" spans="2:17" x14ac:dyDescent="0.3">
      <c r="B14" s="13" t="str">
        <v>File</v>
      </c>
      <c r="C14" s="4" t="s">
        <v>19</v>
      </c>
      <c r="D14" s="17">
        <f>SUMIF('RETAIL SALES DATA.'!$C$2:$C$1001,Findings!B14,'RETAIL SALES DATA.'!$H$2:$H$1001)</f>
        <v>1996928.96</v>
      </c>
      <c r="E14" s="13">
        <f>COUNTIF('RETAIL SALES DATA.'!$C$2:$C$1001,Findings!B14)</f>
        <v>65</v>
      </c>
      <c r="F14" s="13">
        <f>SUMIFS('RETAIL SALES DATA.'!$I$2:$I$1001,'RETAIL SALES DATA.'!$C$2:$C$1001,Findings!B14)</f>
        <v>1352865.77</v>
      </c>
      <c r="G14" s="13">
        <f>SUMIFS('RETAIL SALES DATA.'!$J$2:$J$1001,'RETAIL SALES DATA.'!$C$2:$C$1001,Findings!B14)</f>
        <v>644063.19000000006</v>
      </c>
      <c r="H14" s="14">
        <f>AVERAGEIF('RETAIL SALES DATA.'!$C$2:$C$1001,Findings!B14,'RETAIL SALES DATA.'!$H$2:$H$1001)</f>
        <v>30721.984</v>
      </c>
      <c r="I14" s="14">
        <f>AVERAGEIF('RETAIL SALES DATA.'!$C$2:$C$1001,Findings!B14,'RETAIL SALES DATA.'!$J$2:$J$1001)</f>
        <v>9908.664461538463</v>
      </c>
      <c r="J14" s="14">
        <f>AVERAGEIF('RETAIL SALES DATA.'!$C$2:$C$1001,Findings!B14,'RETAIL SALES DATA.'!$F$2:$F$1001)</f>
        <v>11.8</v>
      </c>
      <c r="L14" s="80" t="s">
        <v>2327</v>
      </c>
      <c r="M14" s="80"/>
      <c r="N14" s="80"/>
      <c r="O14" s="10"/>
      <c r="P14" s="61" t="s">
        <v>2296</v>
      </c>
      <c r="Q14" s="62" t="s">
        <v>2345</v>
      </c>
    </row>
    <row r="15" spans="2:17" x14ac:dyDescent="0.3">
      <c r="B15" s="13" t="str">
        <v>Keyboard</v>
      </c>
      <c r="C15" s="4" t="s">
        <v>43</v>
      </c>
      <c r="D15" s="17">
        <f>SUMIF('RETAIL SALES DATA.'!$C$2:$C$1001,Findings!B15,'RETAIL SALES DATA.'!$H$2:$H$1001)</f>
        <v>1747834.4899999995</v>
      </c>
      <c r="E15" s="13">
        <f>COUNTIF('RETAIL SALES DATA.'!$C$2:$C$1001,Findings!B15)</f>
        <v>67</v>
      </c>
      <c r="F15" s="13">
        <f>SUMIFS('RETAIL SALES DATA.'!$I$2:$I$1001,'RETAIL SALES DATA.'!$C$2:$C$1001,Findings!B15)</f>
        <v>1232029.3900000001</v>
      </c>
      <c r="G15" s="13">
        <f>SUMIFS('RETAIL SALES DATA.'!$J$2:$J$1001,'RETAIL SALES DATA.'!$C$2:$C$1001,Findings!B15)</f>
        <v>515805.10000000003</v>
      </c>
      <c r="H15" s="14">
        <f>AVERAGEIF('RETAIL SALES DATA.'!$C$2:$C$1001,Findings!B15,'RETAIL SALES DATA.'!$H$2:$H$1001)</f>
        <v>26087.0819402985</v>
      </c>
      <c r="I15" s="14">
        <f>AVERAGEIF('RETAIL SALES DATA.'!$C$2:$C$1001,Findings!B15,'RETAIL SALES DATA.'!$J$2:$J$1001)</f>
        <v>7698.5835820895527</v>
      </c>
      <c r="J15" s="14">
        <f>AVERAGEIF('RETAIL SALES DATA.'!$C$2:$C$1001,Findings!B15,'RETAIL SALES DATA.'!$F$2:$F$1001)</f>
        <v>10.014925373134329</v>
      </c>
      <c r="L15" s="81" t="s">
        <v>2328</v>
      </c>
      <c r="M15" s="81"/>
      <c r="N15" s="81"/>
      <c r="O15" s="10"/>
      <c r="P15" s="61">
        <f>MAX(L8:N11)</f>
        <v>2785048.2599999993</v>
      </c>
      <c r="Q15" s="64">
        <f>MIN(M8:O11)</f>
        <v>1750132.9599999995</v>
      </c>
    </row>
    <row r="16" spans="2:17" x14ac:dyDescent="0.3">
      <c r="B16" s="13" t="str">
        <v>Monitor</v>
      </c>
      <c r="C16" s="4" t="s">
        <v>43</v>
      </c>
      <c r="D16" s="17">
        <f>SUMIF('RETAIL SALES DATA.'!$C$2:$C$1001,Findings!B16,'RETAIL SALES DATA.'!$H$2:$H$1001)</f>
        <v>1563522.4599999995</v>
      </c>
      <c r="E16" s="13">
        <f>COUNTIF('RETAIL SALES DATA.'!$C$2:$C$1001,Findings!B16)</f>
        <v>65</v>
      </c>
      <c r="F16" s="13">
        <f>SUMIFS('RETAIL SALES DATA.'!$I$2:$I$1001,'RETAIL SALES DATA.'!$C$2:$C$1001,Findings!B16)</f>
        <v>1059673.4600000004</v>
      </c>
      <c r="G16" s="13">
        <f>SUMIFS('RETAIL SALES DATA.'!$J$2:$J$1001,'RETAIL SALES DATA.'!$C$2:$C$1001,Findings!B16)</f>
        <v>503848.99999999983</v>
      </c>
      <c r="H16" s="14">
        <f>AVERAGEIF('RETAIL SALES DATA.'!$C$2:$C$1001,Findings!B16,'RETAIL SALES DATA.'!$H$2:$H$1001)</f>
        <v>24054.191692307686</v>
      </c>
      <c r="I16" s="14">
        <f>AVERAGEIF('RETAIL SALES DATA.'!$C$2:$C$1001,Findings!B16,'RETAIL SALES DATA.'!$J$2:$J$1001)</f>
        <v>7751.5230769230739</v>
      </c>
      <c r="J16" s="14">
        <f>AVERAGEIF('RETAIL SALES DATA.'!$C$2:$C$1001,Findings!B16,'RETAIL SALES DATA.'!$F$2:$F$1001)</f>
        <v>10.107692307692307</v>
      </c>
    </row>
    <row r="17" spans="2:16" x14ac:dyDescent="0.3">
      <c r="B17" s="13" t="str">
        <v>Smartphone</v>
      </c>
      <c r="C17" s="4" t="s">
        <v>43</v>
      </c>
      <c r="D17" s="17">
        <f>SUMIF('RETAIL SALES DATA.'!$C$2:$C$1001,Findings!B17,'RETAIL SALES DATA.'!$H$2:$H$1001)</f>
        <v>1515938.9099999997</v>
      </c>
      <c r="E17" s="13">
        <f>COUNTIF('RETAIL SALES DATA.'!$C$2:$C$1001,Findings!B17)</f>
        <v>58</v>
      </c>
      <c r="F17" s="13">
        <f>SUMIFS('RETAIL SALES DATA.'!$I$2:$I$1001,'RETAIL SALES DATA.'!$C$2:$C$1001,Findings!B17)</f>
        <v>1044138.3799999999</v>
      </c>
      <c r="G17" s="13">
        <f>SUMIFS('RETAIL SALES DATA.'!$J$2:$J$1001,'RETAIL SALES DATA.'!$C$2:$C$1001,Findings!B17)</f>
        <v>471800.53</v>
      </c>
      <c r="H17" s="14">
        <f>AVERAGEIF('RETAIL SALES DATA.'!$C$2:$C$1001,Findings!B17,'RETAIL SALES DATA.'!$H$2:$H$1001)</f>
        <v>26136.877758620685</v>
      </c>
      <c r="I17" s="14">
        <f>AVERAGEIF('RETAIL SALES DATA.'!$C$2:$C$1001,Findings!B17,'RETAIL SALES DATA.'!$J$2:$J$1001)</f>
        <v>8134.4918965517245</v>
      </c>
      <c r="J17" s="14">
        <f>AVERAGEIF('RETAIL SALES DATA.'!$C$2:$C$1001,Findings!B17,'RETAIL SALES DATA.'!$F$2:$F$1001)</f>
        <v>10.396551724137931</v>
      </c>
    </row>
    <row r="18" spans="2:16" x14ac:dyDescent="0.3">
      <c r="J18" s="3"/>
    </row>
    <row r="19" spans="2:16" x14ac:dyDescent="0.3">
      <c r="C19" s="6" t="s">
        <v>2292</v>
      </c>
      <c r="D19" s="20">
        <f>SUM(D3:D17)</f>
        <v>26471143.580000002</v>
      </c>
      <c r="E19" s="20">
        <f>SUM(E3:E17)</f>
        <v>1000</v>
      </c>
      <c r="F19" s="20">
        <f>SUM(F3:F17)</f>
        <v>18267012.169999998</v>
      </c>
      <c r="G19" s="20">
        <f>SUM(G3:G17)</f>
        <v>8204131.4100000001</v>
      </c>
      <c r="J19" s="7"/>
    </row>
    <row r="21" spans="2:16" ht="15" thickBot="1" x14ac:dyDescent="0.35"/>
    <row r="22" spans="2:16" s="2" customFormat="1" ht="15" thickBot="1" x14ac:dyDescent="0.35">
      <c r="B22" s="21" t="s">
        <v>2297</v>
      </c>
      <c r="C22" s="21" t="s">
        <v>2298</v>
      </c>
      <c r="D22" s="21" t="s">
        <v>2299</v>
      </c>
      <c r="F22" s="65" t="s">
        <v>2302</v>
      </c>
      <c r="G22" s="65" t="s">
        <v>2303</v>
      </c>
      <c r="H22" s="65" t="s">
        <v>2295</v>
      </c>
      <c r="J22" s="78"/>
      <c r="K22" s="78"/>
      <c r="L22" s="79" t="s">
        <v>2325</v>
      </c>
      <c r="M22" s="79"/>
      <c r="O22" s="79" t="s">
        <v>2326</v>
      </c>
      <c r="P22" s="79"/>
    </row>
    <row r="23" spans="2:16" x14ac:dyDescent="0.3">
      <c r="B23" s="22"/>
      <c r="C23" s="23" t="s">
        <v>2300</v>
      </c>
      <c r="D23" s="24">
        <f>AVERAGEIF('RETAIL SALES DATA.'!$D$2:$D$1001,'RETAIL SALES DATA.'!D977,'RETAIL SALES DATA.'!$H$2:$H$1001)</f>
        <v>27809.829872204471</v>
      </c>
      <c r="F23" s="5"/>
      <c r="G23" s="5"/>
      <c r="H23" s="5"/>
      <c r="L23" s="13" t="str" cm="1">
        <f t="array" ref="L23:L37">_xlfn.UNIQUE('RETAIL SALES DATA.'!$C$2:$C$1001)</f>
        <v>Pen</v>
      </c>
      <c r="M23" s="13">
        <f>SUMIFS('RETAIL SALES DATA.'!$F$2:$F$1001,'RETAIL SALES DATA.'!$C$2:$C$1001,Findings!L23,'RETAIL SALES DATA.'!$E$2:$E$1001,'RETAIL SALES DATA.'!$E$4)</f>
        <v>216</v>
      </c>
      <c r="O23" s="13" t="str" cm="1">
        <f t="array" ref="O23:O37">_xlfn.UNIQUE('RETAIL SALES DATA.'!$C$2:$C$1001)</f>
        <v>Pen</v>
      </c>
      <c r="P23" s="58">
        <f>SUMIFS('RETAIL SALES DATA.'!$F$2:$F$1001,'RETAIL SALES DATA.'!$C$2:$C$1001,Findings!O23,'RETAIL SALES DATA.'!$E$2:$E$1001,'RETAIL SALES DATA.'!$E$6)</f>
        <v>101</v>
      </c>
    </row>
    <row r="24" spans="2:16" x14ac:dyDescent="0.3">
      <c r="B24" s="22" t="s">
        <v>19</v>
      </c>
      <c r="C24" s="25" t="s">
        <v>2301</v>
      </c>
      <c r="D24" s="26">
        <f>AVERAGEIF('RETAIL SALES DATA.'!$D$2:$D$1001,'RETAIL SALES DATA.'!D2,'RETAIL SALES DATA.'!$J$2:$J$1001)</f>
        <v>8630.1687539936102</v>
      </c>
      <c r="F24" s="12" t="s">
        <v>19</v>
      </c>
      <c r="G24" s="13">
        <f>_xlfn.MAXIFS('RETAIL SALES DATA.'!$J$2:$J$1001,'RETAIL SALES DATA.'!D2:D1001,'RETAIL SALES DATA.'!D2)</f>
        <v>40635.019999999997</v>
      </c>
      <c r="H24" s="31">
        <f>_xlfn.MINIFS('RETAIL SALES DATA.'!$J$2:$J$1001,'RETAIL SALES DATA.'!$D$2:$D$1001,'RETAIL SALES DATA.'!D986)</f>
        <v>10.48</v>
      </c>
      <c r="L24" s="13" t="str">
        <v>Desk</v>
      </c>
      <c r="M24" s="13">
        <f>SUMIFS('RETAIL SALES DATA.'!$F$2:$F$1001,'RETAIL SALES DATA.'!$C$2:$C$1001,Findings!L24,'RETAIL SALES DATA.'!$E$2:$E$1001,'RETAIL SALES DATA.'!$E$4)</f>
        <v>214</v>
      </c>
      <c r="O24" s="13" t="str">
        <v>Desk</v>
      </c>
      <c r="P24" s="13">
        <f>SUMIFS('RETAIL SALES DATA.'!$F$2:$F$1001,'RETAIL SALES DATA.'!$C$2:$C$1001,Findings!O24,'RETAIL SALES DATA.'!$E$2:$E$1001,'RETAIL SALES DATA.'!$E$6)</f>
        <v>201</v>
      </c>
    </row>
    <row r="25" spans="2:16" ht="15" thickBot="1" x14ac:dyDescent="0.35">
      <c r="B25" s="27"/>
      <c r="C25" s="28" t="s">
        <v>2285</v>
      </c>
      <c r="D25" s="29">
        <f>AVERAGEIF('RETAIL SALES DATA.'!$D$2:$D$1001,'RETAIL SALES DATA.'!D2,'RETAIL SALES DATA.'!$F$2:$F$1001)</f>
        <v>11.044728434504792</v>
      </c>
      <c r="F25" s="13"/>
      <c r="G25" s="13"/>
      <c r="H25" s="31"/>
      <c r="L25" s="13" t="str">
        <v>Marker</v>
      </c>
      <c r="M25" s="13">
        <f>SUMIFS('RETAIL SALES DATA.'!$F$2:$F$1001,'RETAIL SALES DATA.'!$C$2:$C$1001,Findings!L25,'RETAIL SALES DATA.'!$E$2:$E$1001,'RETAIL SALES DATA.'!$E$4)</f>
        <v>171</v>
      </c>
      <c r="O25" s="13" t="str">
        <v>Marker</v>
      </c>
      <c r="P25" s="13">
        <f>SUMIFS('RETAIL SALES DATA.'!$F$2:$F$1001,'RETAIL SALES DATA.'!$C$2:$C$1001,Findings!O25,'RETAIL SALES DATA.'!$E$2:$E$1001,'RETAIL SALES DATA.'!$E$6)</f>
        <v>184</v>
      </c>
    </row>
    <row r="26" spans="2:16" x14ac:dyDescent="0.3">
      <c r="B26" s="22"/>
      <c r="C26" s="23" t="s">
        <v>2300</v>
      </c>
      <c r="D26" s="30">
        <f>AVERAGEIF('RETAIL SALES DATA.'!$D$2:$D$1001,'RETAIL SALES DATA.'!D4,'RETAIL SALES DATA.'!$H$2:$H$1001)</f>
        <v>26359.779745042499</v>
      </c>
      <c r="F26" s="12" t="s">
        <v>31</v>
      </c>
      <c r="G26" s="13">
        <f>_xlfn.MAXIFS('RETAIL SALES DATA.'!$J$2:$J$1001,'RETAIL SALES DATA.'!$D$2:$D$1001,'RETAIL SALES DATA.'!D4)</f>
        <v>41219.440000000002</v>
      </c>
      <c r="H26" s="31">
        <f>_xlfn.MINIFS('RETAIL SALES DATA.'!$J$2:$J$1001,'RETAIL SALES DATA.'!$D$2:$D$1001,'RETAIL SALES DATA.'!D988)</f>
        <v>63.65</v>
      </c>
      <c r="L26" s="13" t="str">
        <v>Laptop</v>
      </c>
      <c r="M26" s="13">
        <f>SUMIFS('RETAIL SALES DATA.'!$F$2:$F$1001,'RETAIL SALES DATA.'!$C$2:$C$1001,Findings!L26,'RETAIL SALES DATA.'!$E$2:$E$1001,'RETAIL SALES DATA.'!$E$4)</f>
        <v>211</v>
      </c>
      <c r="O26" s="13" t="str">
        <v>Laptop</v>
      </c>
      <c r="P26" s="13">
        <f>SUMIFS('RETAIL SALES DATA.'!$F$2:$F$1001,'RETAIL SALES DATA.'!$C$2:$C$1001,Findings!O26,'RETAIL SALES DATA.'!$E$2:$E$1001,'RETAIL SALES DATA.'!$E$6)</f>
        <v>210</v>
      </c>
    </row>
    <row r="27" spans="2:16" x14ac:dyDescent="0.3">
      <c r="B27" s="22" t="s">
        <v>31</v>
      </c>
      <c r="C27" s="25" t="s">
        <v>2301</v>
      </c>
      <c r="D27" s="26">
        <f>AVERAGEIF('RETAIL SALES DATA.'!$D$2:$D$1001,'RETAIL SALES DATA.'!D4,'RETAIL SALES DATA.'!$J$2:$J$1001)</f>
        <v>8452.3396883852765</v>
      </c>
      <c r="F27" s="13"/>
      <c r="G27" s="13"/>
      <c r="H27" s="31"/>
      <c r="L27" s="13" t="str">
        <v>Mouse</v>
      </c>
      <c r="M27" s="13">
        <f>SUMIFS('RETAIL SALES DATA.'!$F$2:$F$1001,'RETAIL SALES DATA.'!$C$2:$C$1001,Findings!L27,'RETAIL SALES DATA.'!$E$2:$E$1001,'RETAIL SALES DATA.'!$E$4)</f>
        <v>167</v>
      </c>
      <c r="O27" s="13" t="str">
        <v>Mouse</v>
      </c>
      <c r="P27" s="13">
        <f>SUMIFS('RETAIL SALES DATA.'!$F$2:$F$1001,'RETAIL SALES DATA.'!$C$2:$C$1001,Findings!O27,'RETAIL SALES DATA.'!$E$2:$E$1001,'RETAIL SALES DATA.'!$E$6)</f>
        <v>228</v>
      </c>
    </row>
    <row r="28" spans="2:16" ht="15" thickBot="1" x14ac:dyDescent="0.35">
      <c r="B28" s="27"/>
      <c r="C28" s="28" t="s">
        <v>2285</v>
      </c>
      <c r="D28" s="29">
        <f>AVERAGEIF('RETAIL SALES DATA.'!$D$2:$D$1001,'RETAIL SALES DATA.'!D4,'RETAIL SALES DATA.'!$F$2:$F$1001)</f>
        <v>10.424929178470254</v>
      </c>
      <c r="F28" s="12" t="s">
        <v>43</v>
      </c>
      <c r="G28" s="13">
        <f>_xlfn.MAXIFS('RETAIL SALES DATA.'!$J$2:$J$1001,'RETAIL SALES DATA.'!$D$2:$D$1001,'RETAIL SALES DATA.'!D982)</f>
        <v>36970.5</v>
      </c>
      <c r="H28" s="31">
        <f>_xlfn.MINIFS('RETAIL SALES DATA.'!$J$2:$J$1001,'RETAIL SALES DATA.'!$D$2:$D$1001,'RETAIL SALES DATA.'!D990)</f>
        <v>17.45</v>
      </c>
      <c r="L28" s="13" t="str">
        <v>Notebook</v>
      </c>
      <c r="M28" s="13">
        <f>SUMIFS('RETAIL SALES DATA.'!$F$2:$F$1001,'RETAIL SALES DATA.'!$C$2:$C$1001,Findings!L28,'RETAIL SALES DATA.'!$E$2:$E$1001,'RETAIL SALES DATA.'!$E$4)</f>
        <v>164</v>
      </c>
      <c r="O28" s="13" t="str">
        <v>Notebook</v>
      </c>
      <c r="P28" s="13">
        <f>SUMIFS('RETAIL SALES DATA.'!$F$2:$F$1001,'RETAIL SALES DATA.'!$C$2:$C$1001,Findings!O28,'RETAIL SALES DATA.'!$E$2:$E$1001,'RETAIL SALES DATA.'!$E$6)</f>
        <v>116</v>
      </c>
    </row>
    <row r="29" spans="2:16" x14ac:dyDescent="0.3">
      <c r="B29" s="22"/>
      <c r="C29" s="23" t="s">
        <v>2300</v>
      </c>
      <c r="D29" s="24">
        <f>AVERAGEIF('RETAIL SALES DATA.'!$D$2:$D$1001,'RETAIL SALES DATA.'!D6,'RETAIL SALES DATA.'!$H$2:$H$1001)</f>
        <v>25334.325089820359</v>
      </c>
      <c r="F29" s="13"/>
      <c r="G29" s="13"/>
      <c r="H29" s="13"/>
      <c r="L29" s="13" t="str">
        <v>Table</v>
      </c>
      <c r="M29" s="13">
        <f>SUMIFS('RETAIL SALES DATA.'!$F$2:$F$1001,'RETAIL SALES DATA.'!$C$2:$C$1001,Findings!L29,'RETAIL SALES DATA.'!$E$2:$E$1001,'RETAIL SALES DATA.'!$E$4)</f>
        <v>220</v>
      </c>
      <c r="O29" s="13" t="str">
        <v>Table</v>
      </c>
      <c r="P29" s="13">
        <f>SUMIFS('RETAIL SALES DATA.'!$F$2:$F$1001,'RETAIL SALES DATA.'!$C$2:$C$1001,Findings!O29,'RETAIL SALES DATA.'!$E$2:$E$1001,'RETAIL SALES DATA.'!$E$6)</f>
        <v>172</v>
      </c>
    </row>
    <row r="30" spans="2:16" x14ac:dyDescent="0.3">
      <c r="B30" s="22" t="s">
        <v>43</v>
      </c>
      <c r="C30" s="25" t="s">
        <v>2301</v>
      </c>
      <c r="D30" s="26">
        <f>AVERAGEIF('RETAIL SALES DATA.'!$D$2:$D$1001,'RETAIL SALES DATA.'!D7,'RETAIL SALES DATA.'!$J$2:$J$1001)</f>
        <v>7542.5529341317324</v>
      </c>
      <c r="L30" s="13" t="str">
        <v>Chair</v>
      </c>
      <c r="M30" s="58">
        <f>SUMIFS('RETAIL SALES DATA.'!$F$2:$F$1001,'RETAIL SALES DATA.'!$C$2:$C$1001,Findings!L30,'RETAIL SALES DATA.'!$E$2:$E$1001,'RETAIL SALES DATA.'!$E$4)</f>
        <v>237</v>
      </c>
      <c r="O30" s="13" t="str">
        <v>Chair</v>
      </c>
      <c r="P30" s="13">
        <f>SUMIFS('RETAIL SALES DATA.'!$F$2:$F$1001,'RETAIL SALES DATA.'!$C$2:$C$1001,Findings!O30,'RETAIL SALES DATA.'!$E$2:$E$1001,'RETAIL SALES DATA.'!$E$6)</f>
        <v>149</v>
      </c>
    </row>
    <row r="31" spans="2:16" ht="15" thickBot="1" x14ac:dyDescent="0.35">
      <c r="B31" s="27"/>
      <c r="C31" s="28" t="s">
        <v>2285</v>
      </c>
      <c r="D31" s="29">
        <f>AVERAGEIF('RETAIL SALES DATA.'!$D$2:$D$1001,'RETAIL SALES DATA.'!D7,'RETAIL SALES DATA.'!$F$2:$F$1001)</f>
        <v>10.08682634730539</v>
      </c>
      <c r="L31" s="13" t="str">
        <v>Cupboard</v>
      </c>
      <c r="M31" s="13">
        <f>SUMIFS('RETAIL SALES DATA.'!$F$2:$F$1001,'RETAIL SALES DATA.'!$C$2:$C$1001,Findings!L31,'RETAIL SALES DATA.'!$E$2:$E$1001,'RETAIL SALES DATA.'!$E$4)</f>
        <v>213</v>
      </c>
      <c r="O31" s="13" t="str">
        <v>Cupboard</v>
      </c>
      <c r="P31" s="59">
        <f>SUMIFS('RETAIL SALES DATA.'!$F$2:$F$1001,'RETAIL SALES DATA.'!$C$2:$C$1001,Findings!O31,'RETAIL SALES DATA.'!$E$2:$E$1001,'RETAIL SALES DATA.'!$E$6)</f>
        <v>229</v>
      </c>
    </row>
    <row r="32" spans="2:16" x14ac:dyDescent="0.3">
      <c r="L32" s="13" t="str">
        <v>Printer</v>
      </c>
      <c r="M32" s="13">
        <f>SUMIFS('RETAIL SALES DATA.'!$F$2:$F$1001,'RETAIL SALES DATA.'!$C$2:$C$1001,Findings!L32,'RETAIL SALES DATA.'!$E$2:$E$1001,'RETAIL SALES DATA.'!$E$4)</f>
        <v>213</v>
      </c>
      <c r="O32" s="13" t="str">
        <v>Printer</v>
      </c>
      <c r="P32" s="13">
        <f>SUMIFS('RETAIL SALES DATA.'!$F$2:$F$1001,'RETAIL SALES DATA.'!$C$2:$C$1001,Findings!O32,'RETAIL SALES DATA.'!$E$2:$E$1001,'RETAIL SALES DATA.'!$E$6)</f>
        <v>176</v>
      </c>
    </row>
    <row r="33" spans="2:16" x14ac:dyDescent="0.3">
      <c r="L33" s="13" t="str">
        <v>Sofa</v>
      </c>
      <c r="M33" s="13">
        <f>SUMIFS('RETAIL SALES DATA.'!$F$2:$F$1001,'RETAIL SALES DATA.'!$C$2:$C$1001,Findings!L33,'RETAIL SALES DATA.'!$E$2:$E$1001,'RETAIL SALES DATA.'!$E$4)</f>
        <v>160</v>
      </c>
      <c r="O33" s="13" t="str">
        <v>Sofa</v>
      </c>
      <c r="P33" s="13">
        <f>SUMIFS('RETAIL SALES DATA.'!$F$2:$F$1001,'RETAIL SALES DATA.'!$C$2:$C$1001,Findings!O33,'RETAIL SALES DATA.'!$E$2:$E$1001,'RETAIL SALES DATA.'!$E$6)</f>
        <v>198</v>
      </c>
    </row>
    <row r="34" spans="2:16" x14ac:dyDescent="0.3">
      <c r="B34" s="32" t="s">
        <v>20</v>
      </c>
      <c r="C34" s="14">
        <f>SUMIF('RETAIL SALES DATA.'!$E$2:$E$1001,'RETAIL SALES DATA.'!E2,'RETAIL SALES DATA.'!$H$2:$H$1001)</f>
        <v>5968196.4000000013</v>
      </c>
      <c r="D34" s="14">
        <f>SUMIF('RETAIL SALES DATA.'!$E$2:$E$1001,'RETAIL SALES DATA.'!E2,'RETAIL SALES DATA.'!$J$2:$J$1001)</f>
        <v>1810833.8399999999</v>
      </c>
      <c r="F34" s="32" t="s">
        <v>20</v>
      </c>
      <c r="G34" s="13">
        <f>COUNTIF('RETAIL SALES DATA.'!$E$2:$E$1001,'RETAIL SALES DATA.'!E2)</f>
        <v>230</v>
      </c>
      <c r="I34" s="33" t="s">
        <v>19</v>
      </c>
      <c r="J34" s="13">
        <f>COUNTIF('RETAIL SALES DATA.'!$D$2:$D$1001,'RETAIL SALES DATA.'!D2)</f>
        <v>313</v>
      </c>
      <c r="L34" s="13" t="str">
        <v>File</v>
      </c>
      <c r="M34" s="13">
        <f>SUMIFS('RETAIL SALES DATA.'!$F$2:$F$1001,'RETAIL SALES DATA.'!$C$2:$C$1001,Findings!L34,'RETAIL SALES DATA.'!$E$2:$E$1001,'RETAIL SALES DATA.'!$E$4)</f>
        <v>195</v>
      </c>
      <c r="O34" s="13" t="str">
        <v>File</v>
      </c>
      <c r="P34" s="13">
        <f>SUMIFS('RETAIL SALES DATA.'!$F$2:$F$1001,'RETAIL SALES DATA.'!$C$2:$C$1001,Findings!O34,'RETAIL SALES DATA.'!$E$2:$E$1001,'RETAIL SALES DATA.'!$E$6)</f>
        <v>138</v>
      </c>
    </row>
    <row r="35" spans="2:16" x14ac:dyDescent="0.3">
      <c r="B35" s="32" t="s">
        <v>25</v>
      </c>
      <c r="C35" s="14">
        <f>SUMIF('RETAIL SALES DATA.'!$E$2:$E$1001,'RETAIL SALES DATA.'!E3,'RETAIL SALES DATA.'!$H$2:$H$1001)</f>
        <v>6653980.9200000009</v>
      </c>
      <c r="D35" s="14">
        <f>SUMIF('RETAIL SALES DATA.'!$E$2:$E$1001,'RETAIL SALES DATA.'!E3,'RETAIL SALES DATA.'!$J$2:$J$1002)</f>
        <v>1996841.3499999996</v>
      </c>
      <c r="F35" s="32" t="s">
        <v>25</v>
      </c>
      <c r="G35" s="13">
        <f>COUNTIF('RETAIL SALES DATA.'!$E$3:$E$1002,'RETAIL SALES DATA.'!E3)</f>
        <v>251</v>
      </c>
      <c r="I35" s="33" t="s">
        <v>31</v>
      </c>
      <c r="J35" s="13">
        <f>COUNTIF('RETAIL SALES DATA.'!$D$2:$D$1002,'RETAIL SALES DATA.'!D4)</f>
        <v>353</v>
      </c>
      <c r="L35" s="13" t="str">
        <v>Keyboard</v>
      </c>
      <c r="M35" s="13">
        <f>SUMIFS('RETAIL SALES DATA.'!$F$2:$F$1001,'RETAIL SALES DATA.'!$C$2:$C$1001,Findings!L35,'RETAIL SALES DATA.'!$E$2:$E$1001,'RETAIL SALES DATA.'!$E$4)</f>
        <v>189</v>
      </c>
      <c r="O35" s="13" t="str">
        <v>Keyboard</v>
      </c>
      <c r="P35" s="13">
        <f>SUMIFS('RETAIL SALES DATA.'!$F$2:$F$1001,'RETAIL SALES DATA.'!$C$2:$C$1001,Findings!O35,'RETAIL SALES DATA.'!$E$2:$E$1001,'RETAIL SALES DATA.'!$E$6)</f>
        <v>143</v>
      </c>
    </row>
    <row r="36" spans="2:16" x14ac:dyDescent="0.3">
      <c r="B36" s="32" t="s">
        <v>32</v>
      </c>
      <c r="C36" s="14">
        <f>SUMIF('RETAIL SALES DATA.'!$E$2:$E$1001,'RETAIL SALES DATA.'!E4,'RETAIL SALES DATA.'!$H$2:$H$1001)</f>
        <v>7688782.5600000005</v>
      </c>
      <c r="D36" s="14">
        <f>SUMIF('RETAIL SALES DATA.'!$E$2:$E$1001,'RETAIL SALES DATA.'!E4,'RETAIL SALES DATA.'!$J$2:$J$1001)</f>
        <v>2558094.4400000013</v>
      </c>
      <c r="F36" s="32" t="s">
        <v>32</v>
      </c>
      <c r="G36" s="13">
        <f>COUNTIF('RETAIL SALES DATA.'!$E$4:$E$1003,'RETAIL SALES DATA.'!E4)</f>
        <v>282</v>
      </c>
      <c r="I36" s="33" t="s">
        <v>43</v>
      </c>
      <c r="J36" s="13">
        <f>COUNTIF('RETAIL SALES DATA.'!$D$2:$D$1003,'RETAIL SALES DATA.'!D6)</f>
        <v>334</v>
      </c>
      <c r="L36" s="13" t="str">
        <v>Monitor</v>
      </c>
      <c r="M36" s="13">
        <f>SUMIFS('RETAIL SALES DATA.'!$F$2:$F$1001,'RETAIL SALES DATA.'!$C$2:$C$1001,Findings!L36,'RETAIL SALES DATA.'!$E$2:$E$1001,'RETAIL SALES DATA.'!$E$4)</f>
        <v>183</v>
      </c>
      <c r="O36" s="13" t="str">
        <v>Monitor</v>
      </c>
      <c r="P36" s="13">
        <f>SUMIFS('RETAIL SALES DATA.'!$F$2:$F$1001,'RETAIL SALES DATA.'!$C$2:$C$1001,Findings!O36,'RETAIL SALES DATA.'!$E$2:$E$1001,'RETAIL SALES DATA.'!$E$6)</f>
        <v>133</v>
      </c>
    </row>
    <row r="37" spans="2:16" x14ac:dyDescent="0.3">
      <c r="B37" s="32" t="s">
        <v>44</v>
      </c>
      <c r="C37" s="14">
        <f>SUMIF('RETAIL SALES DATA.'!$E$2:$E$1001,'RETAIL SALES DATA.'!E6,'RETAIL SALES DATA.'!$H$2:$H$1001)</f>
        <v>6160183.7000000002</v>
      </c>
      <c r="D37" s="14">
        <f>SUMIF('RETAIL SALES DATA.'!$E$5:$E$1001,'RETAIL SALES DATA.'!E6,'RETAIL SALES DATA.'!$J$5:$J$1001)</f>
        <v>1838361.7800000007</v>
      </c>
      <c r="F37" s="32" t="s">
        <v>44</v>
      </c>
      <c r="G37" s="13">
        <f>COUNTIF('RETAIL SALES DATA.'!$E$5:$E$1004,'RETAIL SALES DATA.'!E5)</f>
        <v>250</v>
      </c>
      <c r="L37" s="13" t="str">
        <v>Smartphone</v>
      </c>
      <c r="M37" s="13">
        <f>SUMIFS('RETAIL SALES DATA.'!$F$2:$F$1001,'RETAIL SALES DATA.'!$C$2:$C$1001,Findings!L37,'RETAIL SALES DATA.'!$E$2:$E$1001,'RETAIL SALES DATA.'!$E$4)</f>
        <v>171</v>
      </c>
      <c r="O37" s="13" t="str">
        <v>Smartphone</v>
      </c>
      <c r="P37" s="13">
        <f>SUMIFS('RETAIL SALES DATA.'!$F$2:$F$1001,'RETAIL SALES DATA.'!$C$2:$C$1001,Findings!O37,'RETAIL SALES DATA.'!$E$2:$E$1001,'RETAIL SALES DATA.'!$E$6)</f>
        <v>161</v>
      </c>
    </row>
    <row r="38" spans="2:16" x14ac:dyDescent="0.3">
      <c r="L38" s="63" t="s">
        <v>2308</v>
      </c>
      <c r="M38" s="63">
        <f>MAX(M23:M37)</f>
        <v>237</v>
      </c>
      <c r="O38" s="63" t="s">
        <v>2315</v>
      </c>
      <c r="P38" s="63">
        <f>MIN(P23:P37)</f>
        <v>101</v>
      </c>
    </row>
  </sheetData>
  <mergeCells count="5">
    <mergeCell ref="J22:K22"/>
    <mergeCell ref="L22:M22"/>
    <mergeCell ref="O22:P22"/>
    <mergeCell ref="L14:N14"/>
    <mergeCell ref="L15:N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242B-1CC6-4B31-B0F4-B2B623FD04F0}">
  <dimension ref="A1:F994"/>
  <sheetViews>
    <sheetView zoomScale="58" zoomScaleNormal="58" workbookViewId="0">
      <selection activeCell="A3" sqref="A3"/>
    </sheetView>
  </sheetViews>
  <sheetFormatPr defaultRowHeight="14.4" x14ac:dyDescent="0.3"/>
  <cols>
    <col min="1" max="1" width="33.6640625" customWidth="1"/>
    <col min="2" max="2" width="35.77734375" customWidth="1"/>
    <col min="3" max="3" width="27.88671875" customWidth="1"/>
    <col min="4" max="4" width="29.6640625" customWidth="1"/>
    <col min="5" max="5" width="10.21875" customWidth="1"/>
    <col min="6" max="6" width="16.21875" customWidth="1"/>
  </cols>
  <sheetData>
    <row r="1" spans="1:6" s="2" customFormat="1" ht="23.4" x14ac:dyDescent="0.45">
      <c r="A1" s="15" t="s">
        <v>2304</v>
      </c>
      <c r="B1" s="15" t="s">
        <v>2305</v>
      </c>
      <c r="C1" s="70" t="s">
        <v>2306</v>
      </c>
      <c r="D1" s="15" t="s">
        <v>2307</v>
      </c>
    </row>
    <row r="2" spans="1:6" x14ac:dyDescent="0.3">
      <c r="A2" s="13" t="str" cm="1">
        <f t="array" ref="A2:A993">_xlfn.UNIQUE('RETAIL SALES DATA.'!$B$2:$B$1001)</f>
        <v>Michael Winters</v>
      </c>
      <c r="B2" s="13" t="str" cm="1">
        <f t="array" ref="B2:B993">TRIM(_xlfn.ANCHORARRAY($A$2))</f>
        <v>Michael Winters</v>
      </c>
      <c r="C2" s="42" t="str" cm="1">
        <f t="array" ref="C2:C993">PROPER(_xlfn.ANCHORARRAY($B$2))</f>
        <v>Michael Winters</v>
      </c>
      <c r="D2" s="13">
        <f>SUMIFS('RETAIL SALES DATA.'!$F$2:$F$1001,'RETAIL SALES DATA.'!$B$2:$B$1001,Custom!A2)</f>
        <v>4</v>
      </c>
    </row>
    <row r="3" spans="1:6" x14ac:dyDescent="0.3">
      <c r="A3" s="13" t="str">
        <v>James Olson</v>
      </c>
      <c r="B3" s="13" t="str">
        <v>James Olson</v>
      </c>
      <c r="C3" s="42" t="str">
        <v>James Olson</v>
      </c>
      <c r="D3" s="13">
        <f>SUMIFS('RETAIL SALES DATA.'!$F$2:$F$1001,'RETAIL SALES DATA.'!$B$2:$B$1001,Custom!A3)</f>
        <v>18</v>
      </c>
      <c r="F3" s="8"/>
    </row>
    <row r="4" spans="1:6" x14ac:dyDescent="0.3">
      <c r="A4" s="13" t="str">
        <v>Brittney Simmons</v>
      </c>
      <c r="B4" s="13" t="str">
        <v>Brittney Simmons</v>
      </c>
      <c r="C4" s="42" t="str">
        <v>Brittney Simmons</v>
      </c>
      <c r="D4" s="13">
        <f>SUMIFS('RETAIL SALES DATA.'!$F$2:$F$1001,'RETAIL SALES DATA.'!$B$2:$B$1001,Custom!A4)</f>
        <v>18</v>
      </c>
      <c r="F4" s="8"/>
    </row>
    <row r="5" spans="1:6" x14ac:dyDescent="0.3">
      <c r="A5" s="13" t="str">
        <v>Courtney Park</v>
      </c>
      <c r="B5" s="13" t="str">
        <v>Courtney Park</v>
      </c>
      <c r="C5" s="42" t="str">
        <v>Courtney Park</v>
      </c>
      <c r="D5" s="13">
        <f>SUMIFS('RETAIL SALES DATA.'!$F$2:$F$1001,'RETAIL SALES DATA.'!$B$2:$B$1001,Custom!A5)</f>
        <v>1</v>
      </c>
    </row>
    <row r="6" spans="1:6" x14ac:dyDescent="0.3">
      <c r="A6" s="13" t="str">
        <v>Chloe Villa</v>
      </c>
      <c r="B6" s="13" t="str">
        <v>Chloe Villa</v>
      </c>
      <c r="C6" s="42" t="str">
        <v>Chloe Villa</v>
      </c>
      <c r="D6" s="13">
        <f>SUMIFS('RETAIL SALES DATA.'!$F$2:$F$1001,'RETAIL SALES DATA.'!$B$2:$B$1001,Custom!A6)</f>
        <v>13</v>
      </c>
    </row>
    <row r="7" spans="1:6" x14ac:dyDescent="0.3">
      <c r="A7" s="13" t="str">
        <v>Erin Ross</v>
      </c>
      <c r="B7" s="13" t="str">
        <v>Erin Ross</v>
      </c>
      <c r="C7" s="42" t="str">
        <v>Erin Ross</v>
      </c>
      <c r="D7" s="13">
        <f>SUMIFS('RETAIL SALES DATA.'!$F$2:$F$1001,'RETAIL SALES DATA.'!$B$2:$B$1001,Custom!A7)</f>
        <v>1</v>
      </c>
    </row>
    <row r="8" spans="1:6" x14ac:dyDescent="0.3">
      <c r="A8" s="13" t="str">
        <v>Ryan Brown</v>
      </c>
      <c r="B8" s="13" t="str">
        <v>Ryan Brown</v>
      </c>
      <c r="C8" s="42" t="str">
        <v>Ryan Brown</v>
      </c>
      <c r="D8" s="13">
        <f>SUMIFS('RETAIL SALES DATA.'!$F$2:$F$1001,'RETAIL SALES DATA.'!$B$2:$B$1001,Custom!A8)</f>
        <v>17</v>
      </c>
    </row>
    <row r="9" spans="1:6" x14ac:dyDescent="0.3">
      <c r="A9" s="13" t="str">
        <v>Keith Winters</v>
      </c>
      <c r="B9" s="13" t="str">
        <v>Keith Winters</v>
      </c>
      <c r="C9" s="42" t="str">
        <v>Keith Winters</v>
      </c>
      <c r="D9" s="13">
        <f>SUMIFS('RETAIL SALES DATA.'!$F$2:$F$1001,'RETAIL SALES DATA.'!$B$2:$B$1001,Custom!A9)</f>
        <v>12</v>
      </c>
    </row>
    <row r="10" spans="1:6" x14ac:dyDescent="0.3">
      <c r="A10" s="13" t="str">
        <v>Richard Payne</v>
      </c>
      <c r="B10" s="13" t="str">
        <v>Richard Payne</v>
      </c>
      <c r="C10" s="42" t="str">
        <v>Richard Payne</v>
      </c>
      <c r="D10" s="13">
        <f>SUMIFS('RETAIL SALES DATA.'!$F$2:$F$1001,'RETAIL SALES DATA.'!$B$2:$B$1001,Custom!A10)</f>
        <v>2</v>
      </c>
    </row>
    <row r="11" spans="1:6" x14ac:dyDescent="0.3">
      <c r="A11" s="13" t="str">
        <v>Cory Roberson</v>
      </c>
      <c r="B11" s="13" t="str">
        <v>Cory Roberson</v>
      </c>
      <c r="C11" s="42" t="str">
        <v>Cory Roberson</v>
      </c>
      <c r="D11" s="13">
        <f>SUMIFS('RETAIL SALES DATA.'!$F$2:$F$1001,'RETAIL SALES DATA.'!$B$2:$B$1001,Custom!A11)</f>
        <v>14</v>
      </c>
    </row>
    <row r="12" spans="1:6" x14ac:dyDescent="0.3">
      <c r="A12" s="13" t="str">
        <v>Amanda Cox</v>
      </c>
      <c r="B12" s="13" t="str">
        <v>Amanda Cox</v>
      </c>
      <c r="C12" s="42" t="str">
        <v>Amanda Cox</v>
      </c>
      <c r="D12" s="13">
        <f>SUMIFS('RETAIL SALES DATA.'!$F$2:$F$1001,'RETAIL SALES DATA.'!$B$2:$B$1001,Custom!A12)</f>
        <v>15</v>
      </c>
    </row>
    <row r="13" spans="1:6" x14ac:dyDescent="0.3">
      <c r="A13" s="13" t="str">
        <v>Joseph Allison</v>
      </c>
      <c r="B13" s="13" t="str">
        <v>Joseph Allison</v>
      </c>
      <c r="C13" s="42" t="str">
        <v>Joseph Allison</v>
      </c>
      <c r="D13" s="13">
        <f>SUMIFS('RETAIL SALES DATA.'!$F$2:$F$1001,'RETAIL SALES DATA.'!$B$2:$B$1001,Custom!A13)</f>
        <v>12</v>
      </c>
    </row>
    <row r="14" spans="1:6" x14ac:dyDescent="0.3">
      <c r="A14" s="13" t="str">
        <v>Sarah Hernandez</v>
      </c>
      <c r="B14" s="13" t="str">
        <v>Sarah Hernandez</v>
      </c>
      <c r="C14" s="42" t="str">
        <v>Sarah Hernandez</v>
      </c>
      <c r="D14" s="13">
        <f>SUMIFS('RETAIL SALES DATA.'!$F$2:$F$1001,'RETAIL SALES DATA.'!$B$2:$B$1001,Custom!A14)</f>
        <v>10</v>
      </c>
    </row>
    <row r="15" spans="1:6" x14ac:dyDescent="0.3">
      <c r="A15" s="13" t="str">
        <v>John Dixon</v>
      </c>
      <c r="B15" s="13" t="str">
        <v>John Dixon</v>
      </c>
      <c r="C15" s="42" t="str">
        <v>John Dixon</v>
      </c>
      <c r="D15" s="13">
        <f>SUMIFS('RETAIL SALES DATA.'!$F$2:$F$1001,'RETAIL SALES DATA.'!$B$2:$B$1001,Custom!A15)</f>
        <v>4</v>
      </c>
    </row>
    <row r="16" spans="1:6" x14ac:dyDescent="0.3">
      <c r="A16" s="13" t="str">
        <v>Javier Cole</v>
      </c>
      <c r="B16" s="13" t="str">
        <v>Javier Cole</v>
      </c>
      <c r="C16" s="42" t="str">
        <v>Javier Cole</v>
      </c>
      <c r="D16" s="13">
        <f>SUMIFS('RETAIL SALES DATA.'!$F$2:$F$1001,'RETAIL SALES DATA.'!$B$2:$B$1001,Custom!A16)</f>
        <v>1</v>
      </c>
    </row>
    <row r="17" spans="1:4" x14ac:dyDescent="0.3">
      <c r="A17" s="13" t="str">
        <v>Nathan Kline</v>
      </c>
      <c r="B17" s="13" t="str">
        <v>Nathan Kline</v>
      </c>
      <c r="C17" s="42" t="str">
        <v>Nathan Kline</v>
      </c>
      <c r="D17" s="13">
        <f>SUMIFS('RETAIL SALES DATA.'!$F$2:$F$1001,'RETAIL SALES DATA.'!$B$2:$B$1001,Custom!A17)</f>
        <v>13</v>
      </c>
    </row>
    <row r="18" spans="1:4" x14ac:dyDescent="0.3">
      <c r="A18" s="13" t="str">
        <v>Miss Christina Taylor</v>
      </c>
      <c r="B18" s="13" t="str">
        <v>Miss Christina Taylor</v>
      </c>
      <c r="C18" s="42" t="str">
        <v>Miss Christina Taylor</v>
      </c>
      <c r="D18" s="13">
        <f>SUMIFS('RETAIL SALES DATA.'!$F$2:$F$1001,'RETAIL SALES DATA.'!$B$2:$B$1001,Custom!A18)</f>
        <v>17</v>
      </c>
    </row>
    <row r="19" spans="1:4" x14ac:dyDescent="0.3">
      <c r="A19" s="13" t="str">
        <v>Martin Morton</v>
      </c>
      <c r="B19" s="13" t="str">
        <v>Martin Morton</v>
      </c>
      <c r="C19" s="42" t="str">
        <v>Martin Morton</v>
      </c>
      <c r="D19" s="13">
        <f>SUMIFS('RETAIL SALES DATA.'!$F$2:$F$1001,'RETAIL SALES DATA.'!$B$2:$B$1001,Custom!A19)</f>
        <v>19</v>
      </c>
    </row>
    <row r="20" spans="1:4" x14ac:dyDescent="0.3">
      <c r="A20" s="13" t="str">
        <v>Adam Mullins</v>
      </c>
      <c r="B20" s="13" t="str">
        <v>Adam Mullins</v>
      </c>
      <c r="C20" s="42" t="str">
        <v>Adam Mullins</v>
      </c>
      <c r="D20" s="13">
        <f>SUMIFS('RETAIL SALES DATA.'!$F$2:$F$1001,'RETAIL SALES DATA.'!$B$2:$B$1001,Custom!A20)</f>
        <v>8</v>
      </c>
    </row>
    <row r="21" spans="1:4" x14ac:dyDescent="0.3">
      <c r="A21" s="13" t="str">
        <v>Sean Rodriguez</v>
      </c>
      <c r="B21" s="13" t="str">
        <v>Sean Rodriguez</v>
      </c>
      <c r="C21" s="42" t="str">
        <v>Sean Rodriguez</v>
      </c>
      <c r="D21" s="13">
        <f>SUMIFS('RETAIL SALES DATA.'!$F$2:$F$1001,'RETAIL SALES DATA.'!$B$2:$B$1001,Custom!A21)</f>
        <v>7</v>
      </c>
    </row>
    <row r="22" spans="1:4" x14ac:dyDescent="0.3">
      <c r="A22" s="13" t="str">
        <v>Joseph Mora</v>
      </c>
      <c r="B22" s="13" t="str">
        <v>Joseph Mora</v>
      </c>
      <c r="C22" s="42" t="str">
        <v>Joseph Mora</v>
      </c>
      <c r="D22" s="13">
        <f>SUMIFS('RETAIL SALES DATA.'!$F$2:$F$1001,'RETAIL SALES DATA.'!$B$2:$B$1001,Custom!A22)</f>
        <v>16</v>
      </c>
    </row>
    <row r="23" spans="1:4" x14ac:dyDescent="0.3">
      <c r="A23" s="13" t="str">
        <v>Deborah Hernandez</v>
      </c>
      <c r="B23" s="13" t="str">
        <v>Deborah Hernandez</v>
      </c>
      <c r="C23" s="42" t="str">
        <v>Deborah Hernandez</v>
      </c>
      <c r="D23" s="13">
        <f>SUMIFS('RETAIL SALES DATA.'!$F$2:$F$1001,'RETAIL SALES DATA.'!$B$2:$B$1001,Custom!A23)</f>
        <v>17</v>
      </c>
    </row>
    <row r="24" spans="1:4" x14ac:dyDescent="0.3">
      <c r="A24" s="13" t="str">
        <v>Elizabeth Moore</v>
      </c>
      <c r="B24" s="13" t="str">
        <v>Elizabeth Moore</v>
      </c>
      <c r="C24" s="42" t="str">
        <v>Elizabeth Moore</v>
      </c>
      <c r="D24" s="13">
        <f>SUMIFS('RETAIL SALES DATA.'!$F$2:$F$1001,'RETAIL SALES DATA.'!$B$2:$B$1001,Custom!A24)</f>
        <v>6</v>
      </c>
    </row>
    <row r="25" spans="1:4" x14ac:dyDescent="0.3">
      <c r="A25" s="13" t="str">
        <v>Melissa Davis</v>
      </c>
      <c r="B25" s="13" t="str">
        <v>Melissa Davis</v>
      </c>
      <c r="C25" s="42" t="str">
        <v>Melissa Davis</v>
      </c>
      <c r="D25" s="13">
        <f>SUMIFS('RETAIL SALES DATA.'!$F$2:$F$1001,'RETAIL SALES DATA.'!$B$2:$B$1001,Custom!A25)</f>
        <v>20</v>
      </c>
    </row>
    <row r="26" spans="1:4" x14ac:dyDescent="0.3">
      <c r="A26" s="13" t="str">
        <v>Andrew Gould</v>
      </c>
      <c r="B26" s="13" t="str">
        <v>Andrew Gould</v>
      </c>
      <c r="C26" s="42" t="str">
        <v>Andrew Gould</v>
      </c>
      <c r="D26" s="13">
        <f>SUMIFS('RETAIL SALES DATA.'!$F$2:$F$1001,'RETAIL SALES DATA.'!$B$2:$B$1001,Custom!A26)</f>
        <v>18</v>
      </c>
    </row>
    <row r="27" spans="1:4" x14ac:dyDescent="0.3">
      <c r="A27" s="13" t="str">
        <v>Glen Scott</v>
      </c>
      <c r="B27" s="13" t="str">
        <v>Glen Scott</v>
      </c>
      <c r="C27" s="42" t="str">
        <v>Glen Scott</v>
      </c>
      <c r="D27" s="13">
        <f>SUMIFS('RETAIL SALES DATA.'!$F$2:$F$1001,'RETAIL SALES DATA.'!$B$2:$B$1001,Custom!A27)</f>
        <v>10</v>
      </c>
    </row>
    <row r="28" spans="1:4" x14ac:dyDescent="0.3">
      <c r="A28" s="13" t="str">
        <v>Isaac Fisher</v>
      </c>
      <c r="B28" s="13" t="str">
        <v>Isaac Fisher</v>
      </c>
      <c r="C28" s="42" t="str">
        <v>Isaac Fisher</v>
      </c>
      <c r="D28" s="13">
        <f>SUMIFS('RETAIL SALES DATA.'!$F$2:$F$1001,'RETAIL SALES DATA.'!$B$2:$B$1001,Custom!A28)</f>
        <v>12</v>
      </c>
    </row>
    <row r="29" spans="1:4" x14ac:dyDescent="0.3">
      <c r="A29" s="13" t="str">
        <v>Matthew Hanson</v>
      </c>
      <c r="B29" s="13" t="str">
        <v>Matthew Hanson</v>
      </c>
      <c r="C29" s="42" t="str">
        <v>Matthew Hanson</v>
      </c>
      <c r="D29" s="13">
        <f>SUMIFS('RETAIL SALES DATA.'!$F$2:$F$1001,'RETAIL SALES DATA.'!$B$2:$B$1001,Custom!A29)</f>
        <v>19</v>
      </c>
    </row>
    <row r="30" spans="1:4" x14ac:dyDescent="0.3">
      <c r="A30" s="13" t="str">
        <v>Jamie Benton</v>
      </c>
      <c r="B30" s="13" t="str">
        <v>Jamie Benton</v>
      </c>
      <c r="C30" s="42" t="str">
        <v>Jamie Benton</v>
      </c>
      <c r="D30" s="13">
        <f>SUMIFS('RETAIL SALES DATA.'!$F$2:$F$1001,'RETAIL SALES DATA.'!$B$2:$B$1001,Custom!A30)</f>
        <v>18</v>
      </c>
    </row>
    <row r="31" spans="1:4" x14ac:dyDescent="0.3">
      <c r="A31" s="13" t="str">
        <v>Kristy Sullivan</v>
      </c>
      <c r="B31" s="13" t="str">
        <v>Kristy Sullivan</v>
      </c>
      <c r="C31" s="42" t="str">
        <v>Kristy Sullivan</v>
      </c>
      <c r="D31" s="13">
        <f>SUMIFS('RETAIL SALES DATA.'!$F$2:$F$1001,'RETAIL SALES DATA.'!$B$2:$B$1001,Custom!A31)</f>
        <v>17</v>
      </c>
    </row>
    <row r="32" spans="1:4" x14ac:dyDescent="0.3">
      <c r="A32" s="13" t="str">
        <v>Carolyn Scott</v>
      </c>
      <c r="B32" s="13" t="str">
        <v>Carolyn Scott</v>
      </c>
      <c r="C32" s="42" t="str">
        <v>Carolyn Scott</v>
      </c>
      <c r="D32" s="13">
        <f>SUMIFS('RETAIL SALES DATA.'!$F$2:$F$1001,'RETAIL SALES DATA.'!$B$2:$B$1001,Custom!A32)</f>
        <v>1</v>
      </c>
    </row>
    <row r="33" spans="1:4" x14ac:dyDescent="0.3">
      <c r="A33" s="13" t="str">
        <v>Mary Day</v>
      </c>
      <c r="B33" s="13" t="str">
        <v>Mary Day</v>
      </c>
      <c r="C33" s="42" t="str">
        <v>Mary Day</v>
      </c>
      <c r="D33" s="13">
        <f>SUMIFS('RETAIL SALES DATA.'!$F$2:$F$1001,'RETAIL SALES DATA.'!$B$2:$B$1001,Custom!A33)</f>
        <v>13</v>
      </c>
    </row>
    <row r="34" spans="1:4" x14ac:dyDescent="0.3">
      <c r="A34" s="13" t="str">
        <v>Matthew Fernandez</v>
      </c>
      <c r="B34" s="13" t="str">
        <v>Matthew Fernandez</v>
      </c>
      <c r="C34" s="42" t="str">
        <v>Matthew Fernandez</v>
      </c>
      <c r="D34" s="13">
        <f>SUMIFS('RETAIL SALES DATA.'!$F$2:$F$1001,'RETAIL SALES DATA.'!$B$2:$B$1001,Custom!A34)</f>
        <v>12</v>
      </c>
    </row>
    <row r="35" spans="1:4" x14ac:dyDescent="0.3">
      <c r="A35" s="13" t="str">
        <v>Tonya Gallegos</v>
      </c>
      <c r="B35" s="13" t="str">
        <v>Tonya Gallegos</v>
      </c>
      <c r="C35" s="42" t="str">
        <v>Tonya Gallegos</v>
      </c>
      <c r="D35" s="13">
        <f>SUMIFS('RETAIL SALES DATA.'!$F$2:$F$1001,'RETAIL SALES DATA.'!$B$2:$B$1001,Custom!A35)</f>
        <v>18</v>
      </c>
    </row>
    <row r="36" spans="1:4" x14ac:dyDescent="0.3">
      <c r="A36" s="13" t="str">
        <v>Jody Black</v>
      </c>
      <c r="B36" s="13" t="str">
        <v>Jody Black</v>
      </c>
      <c r="C36" s="42" t="str">
        <v>Jody Black</v>
      </c>
      <c r="D36" s="13">
        <f>SUMIFS('RETAIL SALES DATA.'!$F$2:$F$1001,'RETAIL SALES DATA.'!$B$2:$B$1001,Custom!A36)</f>
        <v>10</v>
      </c>
    </row>
    <row r="37" spans="1:4" x14ac:dyDescent="0.3">
      <c r="A37" s="13" t="str">
        <v>Laurie Flores</v>
      </c>
      <c r="B37" s="13" t="str">
        <v>Laurie Flores</v>
      </c>
      <c r="C37" s="42" t="str">
        <v>Laurie Flores</v>
      </c>
      <c r="D37" s="13">
        <f>SUMIFS('RETAIL SALES DATA.'!$F$2:$F$1001,'RETAIL SALES DATA.'!$B$2:$B$1001,Custom!A37)</f>
        <v>16</v>
      </c>
    </row>
    <row r="38" spans="1:4" x14ac:dyDescent="0.3">
      <c r="A38" s="13" t="str">
        <v>Charles Logan</v>
      </c>
      <c r="B38" s="13" t="str">
        <v>Charles Logan</v>
      </c>
      <c r="C38" s="42" t="str">
        <v>Charles Logan</v>
      </c>
      <c r="D38" s="13">
        <f>SUMIFS('RETAIL SALES DATA.'!$F$2:$F$1001,'RETAIL SALES DATA.'!$B$2:$B$1001,Custom!A38)</f>
        <v>10</v>
      </c>
    </row>
    <row r="39" spans="1:4" x14ac:dyDescent="0.3">
      <c r="A39" s="13" t="str">
        <v>Lori Petersen</v>
      </c>
      <c r="B39" s="13" t="str">
        <v>Lori Petersen</v>
      </c>
      <c r="C39" s="42" t="str">
        <v>Lori Petersen</v>
      </c>
      <c r="D39" s="13">
        <f>SUMIFS('RETAIL SALES DATA.'!$F$2:$F$1001,'RETAIL SALES DATA.'!$B$2:$B$1001,Custom!A39)</f>
        <v>7</v>
      </c>
    </row>
    <row r="40" spans="1:4" x14ac:dyDescent="0.3">
      <c r="A40" s="13" t="str">
        <v>Roger Gutierrez</v>
      </c>
      <c r="B40" s="13" t="str">
        <v>Roger Gutierrez</v>
      </c>
      <c r="C40" s="42" t="str">
        <v>Roger Gutierrez</v>
      </c>
      <c r="D40" s="13">
        <f>SUMIFS('RETAIL SALES DATA.'!$F$2:$F$1001,'RETAIL SALES DATA.'!$B$2:$B$1001,Custom!A40)</f>
        <v>3</v>
      </c>
    </row>
    <row r="41" spans="1:4" x14ac:dyDescent="0.3">
      <c r="A41" s="13" t="str">
        <v>Arthur Anderson</v>
      </c>
      <c r="B41" s="13" t="str">
        <v>Arthur Anderson</v>
      </c>
      <c r="C41" s="42" t="str">
        <v>Arthur Anderson</v>
      </c>
      <c r="D41" s="13">
        <f>SUMIFS('RETAIL SALES DATA.'!$F$2:$F$1001,'RETAIL SALES DATA.'!$B$2:$B$1001,Custom!A41)</f>
        <v>2</v>
      </c>
    </row>
    <row r="42" spans="1:4" x14ac:dyDescent="0.3">
      <c r="A42" s="13" t="str">
        <v>April Schmidt</v>
      </c>
      <c r="B42" s="13" t="str">
        <v>April Schmidt</v>
      </c>
      <c r="C42" s="42" t="str">
        <v>April Schmidt</v>
      </c>
      <c r="D42" s="13">
        <f>SUMIFS('RETAIL SALES DATA.'!$F$2:$F$1001,'RETAIL SALES DATA.'!$B$2:$B$1001,Custom!A42)</f>
        <v>12</v>
      </c>
    </row>
    <row r="43" spans="1:4" x14ac:dyDescent="0.3">
      <c r="A43" s="13" t="str">
        <v>Amanda Holmes</v>
      </c>
      <c r="B43" s="13" t="str">
        <v>Amanda Holmes</v>
      </c>
      <c r="C43" s="42" t="str">
        <v>Amanda Holmes</v>
      </c>
      <c r="D43" s="13">
        <f>SUMIFS('RETAIL SALES DATA.'!$F$2:$F$1001,'RETAIL SALES DATA.'!$B$2:$B$1001,Custom!A43)</f>
        <v>8</v>
      </c>
    </row>
    <row r="44" spans="1:4" x14ac:dyDescent="0.3">
      <c r="A44" s="13" t="str">
        <v>Emily Norton</v>
      </c>
      <c r="B44" s="13" t="str">
        <v>Emily Norton</v>
      </c>
      <c r="C44" s="42" t="str">
        <v>Emily Norton</v>
      </c>
      <c r="D44" s="13">
        <f>SUMIFS('RETAIL SALES DATA.'!$F$2:$F$1001,'RETAIL SALES DATA.'!$B$2:$B$1001,Custom!A44)</f>
        <v>5</v>
      </c>
    </row>
    <row r="45" spans="1:4" x14ac:dyDescent="0.3">
      <c r="A45" s="13" t="str">
        <v>Rachel Hooper</v>
      </c>
      <c r="B45" s="13" t="str">
        <v>Rachel Hooper</v>
      </c>
      <c r="C45" s="42" t="str">
        <v>Rachel Hooper</v>
      </c>
      <c r="D45" s="13">
        <f>SUMIFS('RETAIL SALES DATA.'!$F$2:$F$1001,'RETAIL SALES DATA.'!$B$2:$B$1001,Custom!A45)</f>
        <v>3</v>
      </c>
    </row>
    <row r="46" spans="1:4" x14ac:dyDescent="0.3">
      <c r="A46" s="13" t="str">
        <v>Douglas Herman</v>
      </c>
      <c r="B46" s="13" t="str">
        <v>Douglas Herman</v>
      </c>
      <c r="C46" s="42" t="str">
        <v>Douglas Herman</v>
      </c>
      <c r="D46" s="13">
        <f>SUMIFS('RETAIL SALES DATA.'!$F$2:$F$1001,'RETAIL SALES DATA.'!$B$2:$B$1001,Custom!A46)</f>
        <v>14</v>
      </c>
    </row>
    <row r="47" spans="1:4" x14ac:dyDescent="0.3">
      <c r="A47" s="13" t="str">
        <v>Rebecca Hawkins</v>
      </c>
      <c r="B47" s="13" t="str">
        <v>Rebecca Hawkins</v>
      </c>
      <c r="C47" s="42" t="str">
        <v>Rebecca Hawkins</v>
      </c>
      <c r="D47" s="13">
        <f>SUMIFS('RETAIL SALES DATA.'!$F$2:$F$1001,'RETAIL SALES DATA.'!$B$2:$B$1001,Custom!A47)</f>
        <v>7</v>
      </c>
    </row>
    <row r="48" spans="1:4" x14ac:dyDescent="0.3">
      <c r="A48" s="13" t="str">
        <v>Shannon Harris</v>
      </c>
      <c r="B48" s="13" t="str">
        <v>Shannon Harris</v>
      </c>
      <c r="C48" s="42" t="str">
        <v>Shannon Harris</v>
      </c>
      <c r="D48" s="13">
        <f>SUMIFS('RETAIL SALES DATA.'!$F$2:$F$1001,'RETAIL SALES DATA.'!$B$2:$B$1001,Custom!A48)</f>
        <v>3</v>
      </c>
    </row>
    <row r="49" spans="1:4" x14ac:dyDescent="0.3">
      <c r="A49" s="13" t="str">
        <v>Jennifer Maxwell</v>
      </c>
      <c r="B49" s="13" t="str">
        <v>Jennifer Maxwell</v>
      </c>
      <c r="C49" s="42" t="str">
        <v>Jennifer Maxwell</v>
      </c>
      <c r="D49" s="13">
        <f>SUMIFS('RETAIL SALES DATA.'!$F$2:$F$1001,'RETAIL SALES DATA.'!$B$2:$B$1001,Custom!A49)</f>
        <v>6</v>
      </c>
    </row>
    <row r="50" spans="1:4" x14ac:dyDescent="0.3">
      <c r="A50" s="13" t="str">
        <v>Melissa Edwards</v>
      </c>
      <c r="B50" s="13" t="str">
        <v>Melissa Edwards</v>
      </c>
      <c r="C50" s="42" t="str">
        <v>Melissa Edwards</v>
      </c>
      <c r="D50" s="13">
        <f>SUMIFS('RETAIL SALES DATA.'!$F$2:$F$1001,'RETAIL SALES DATA.'!$B$2:$B$1001,Custom!A50)</f>
        <v>17</v>
      </c>
    </row>
    <row r="51" spans="1:4" x14ac:dyDescent="0.3">
      <c r="A51" s="13" t="str">
        <v>Heather Campbell</v>
      </c>
      <c r="B51" s="13" t="str">
        <v>Heather Campbell</v>
      </c>
      <c r="C51" s="42" t="str">
        <v>Heather Campbell</v>
      </c>
      <c r="D51" s="13">
        <f>SUMIFS('RETAIL SALES DATA.'!$F$2:$F$1001,'RETAIL SALES DATA.'!$B$2:$B$1001,Custom!A51)</f>
        <v>1</v>
      </c>
    </row>
    <row r="52" spans="1:4" x14ac:dyDescent="0.3">
      <c r="A52" s="13" t="str">
        <v>James Green</v>
      </c>
      <c r="B52" s="13" t="str">
        <v>James Green</v>
      </c>
      <c r="C52" s="42" t="str">
        <v>James Green</v>
      </c>
      <c r="D52" s="13">
        <f>SUMIFS('RETAIL SALES DATA.'!$F$2:$F$1001,'RETAIL SALES DATA.'!$B$2:$B$1001,Custom!A52)</f>
        <v>14</v>
      </c>
    </row>
    <row r="53" spans="1:4" x14ac:dyDescent="0.3">
      <c r="A53" s="13" t="str">
        <v>Ashley Bowman</v>
      </c>
      <c r="B53" s="13" t="str">
        <v>Ashley Bowman</v>
      </c>
      <c r="C53" s="42" t="str">
        <v>Ashley Bowman</v>
      </c>
      <c r="D53" s="13">
        <f>SUMIFS('RETAIL SALES DATA.'!$F$2:$F$1001,'RETAIL SALES DATA.'!$B$2:$B$1001,Custom!A53)</f>
        <v>19</v>
      </c>
    </row>
    <row r="54" spans="1:4" x14ac:dyDescent="0.3">
      <c r="A54" s="13" t="str">
        <v>William Allen</v>
      </c>
      <c r="B54" s="13" t="str">
        <v>William Allen</v>
      </c>
      <c r="C54" s="42" t="str">
        <v>William Allen</v>
      </c>
      <c r="D54" s="13">
        <f>SUMIFS('RETAIL SALES DATA.'!$F$2:$F$1001,'RETAIL SALES DATA.'!$B$2:$B$1001,Custom!A54)</f>
        <v>9</v>
      </c>
    </row>
    <row r="55" spans="1:4" x14ac:dyDescent="0.3">
      <c r="A55" s="13" t="str">
        <v>Christina Henderson</v>
      </c>
      <c r="B55" s="13" t="str">
        <v>Christina Henderson</v>
      </c>
      <c r="C55" s="42" t="str">
        <v>Christina Henderson</v>
      </c>
      <c r="D55" s="13">
        <f>SUMIFS('RETAIL SALES DATA.'!$F$2:$F$1001,'RETAIL SALES DATA.'!$B$2:$B$1001,Custom!A55)</f>
        <v>1</v>
      </c>
    </row>
    <row r="56" spans="1:4" x14ac:dyDescent="0.3">
      <c r="A56" s="13" t="str">
        <v>Brian Simon</v>
      </c>
      <c r="B56" s="13" t="str">
        <v>Brian Simon</v>
      </c>
      <c r="C56" s="42" t="str">
        <v>Brian Simon</v>
      </c>
      <c r="D56" s="13">
        <f>SUMIFS('RETAIL SALES DATA.'!$F$2:$F$1001,'RETAIL SALES DATA.'!$B$2:$B$1001,Custom!A56)</f>
        <v>15</v>
      </c>
    </row>
    <row r="57" spans="1:4" x14ac:dyDescent="0.3">
      <c r="A57" s="13" t="str">
        <v>Marc Martinez</v>
      </c>
      <c r="B57" s="13" t="str">
        <v>Marc Martinez</v>
      </c>
      <c r="C57" s="42" t="str">
        <v>Marc Martinez</v>
      </c>
      <c r="D57" s="13">
        <f>SUMIFS('RETAIL SALES DATA.'!$F$2:$F$1001,'RETAIL SALES DATA.'!$B$2:$B$1001,Custom!A57)</f>
        <v>14</v>
      </c>
    </row>
    <row r="58" spans="1:4" x14ac:dyDescent="0.3">
      <c r="A58" s="13" t="str">
        <v>Rose Garcia</v>
      </c>
      <c r="B58" s="13" t="str">
        <v>Rose Garcia</v>
      </c>
      <c r="C58" s="42" t="str">
        <v>Rose Garcia</v>
      </c>
      <c r="D58" s="13">
        <f>SUMIFS('RETAIL SALES DATA.'!$F$2:$F$1001,'RETAIL SALES DATA.'!$B$2:$B$1001,Custom!A58)</f>
        <v>16</v>
      </c>
    </row>
    <row r="59" spans="1:4" x14ac:dyDescent="0.3">
      <c r="A59" s="13" t="str">
        <v>Christopher Richardson</v>
      </c>
      <c r="B59" s="13" t="str">
        <v>Christopher Richardson</v>
      </c>
      <c r="C59" s="42" t="str">
        <v>Christopher Richardson</v>
      </c>
      <c r="D59" s="13">
        <f>SUMIFS('RETAIL SALES DATA.'!$F$2:$F$1001,'RETAIL SALES DATA.'!$B$2:$B$1001,Custom!A59)</f>
        <v>22</v>
      </c>
    </row>
    <row r="60" spans="1:4" x14ac:dyDescent="0.3">
      <c r="A60" s="13" t="str">
        <v>Larry Johnson</v>
      </c>
      <c r="B60" s="13" t="str">
        <v>Larry Johnson</v>
      </c>
      <c r="C60" s="42" t="str">
        <v>Larry Johnson</v>
      </c>
      <c r="D60" s="13">
        <f>SUMIFS('RETAIL SALES DATA.'!$F$2:$F$1001,'RETAIL SALES DATA.'!$B$2:$B$1001,Custom!A60)</f>
        <v>17</v>
      </c>
    </row>
    <row r="61" spans="1:4" x14ac:dyDescent="0.3">
      <c r="A61" s="13" t="str">
        <v>Mark Yang</v>
      </c>
      <c r="B61" s="13" t="str">
        <v>Mark Yang</v>
      </c>
      <c r="C61" s="42" t="str">
        <v>Mark Yang</v>
      </c>
      <c r="D61" s="13">
        <f>SUMIFS('RETAIL SALES DATA.'!$F$2:$F$1001,'RETAIL SALES DATA.'!$B$2:$B$1001,Custom!A61)</f>
        <v>3</v>
      </c>
    </row>
    <row r="62" spans="1:4" x14ac:dyDescent="0.3">
      <c r="A62" s="13" t="str">
        <v>Jill Garcia</v>
      </c>
      <c r="B62" s="13" t="str">
        <v>Jill Garcia</v>
      </c>
      <c r="C62" s="42" t="str">
        <v>Jill Garcia</v>
      </c>
      <c r="D62" s="13">
        <f>SUMIFS('RETAIL SALES DATA.'!$F$2:$F$1001,'RETAIL SALES DATA.'!$B$2:$B$1001,Custom!A62)</f>
        <v>16</v>
      </c>
    </row>
    <row r="63" spans="1:4" x14ac:dyDescent="0.3">
      <c r="A63" s="13" t="str">
        <v>Anne Rodriguez</v>
      </c>
      <c r="B63" s="13" t="str">
        <v>Anne Rodriguez</v>
      </c>
      <c r="C63" s="42" t="str">
        <v>Anne Rodriguez</v>
      </c>
      <c r="D63" s="13">
        <f>SUMIFS('RETAIL SALES DATA.'!$F$2:$F$1001,'RETAIL SALES DATA.'!$B$2:$B$1001,Custom!A63)</f>
        <v>8</v>
      </c>
    </row>
    <row r="64" spans="1:4" x14ac:dyDescent="0.3">
      <c r="A64" s="13" t="str">
        <v>Christopher Daniels</v>
      </c>
      <c r="B64" s="13" t="str">
        <v>Christopher Daniels</v>
      </c>
      <c r="C64" s="42" t="str">
        <v>Christopher Daniels</v>
      </c>
      <c r="D64" s="13">
        <f>SUMIFS('RETAIL SALES DATA.'!$F$2:$F$1001,'RETAIL SALES DATA.'!$B$2:$B$1001,Custom!A64)</f>
        <v>9</v>
      </c>
    </row>
    <row r="65" spans="1:4" x14ac:dyDescent="0.3">
      <c r="A65" s="13" t="str">
        <v>Joshua Stevenson</v>
      </c>
      <c r="B65" s="13" t="str">
        <v>Joshua Stevenson</v>
      </c>
      <c r="C65" s="42" t="str">
        <v>Joshua Stevenson</v>
      </c>
      <c r="D65" s="13">
        <f>SUMIFS('RETAIL SALES DATA.'!$F$2:$F$1001,'RETAIL SALES DATA.'!$B$2:$B$1001,Custom!A65)</f>
        <v>15</v>
      </c>
    </row>
    <row r="66" spans="1:4" x14ac:dyDescent="0.3">
      <c r="A66" s="13" t="str">
        <v>Caleb Schneider</v>
      </c>
      <c r="B66" s="13" t="str">
        <v>Caleb Schneider</v>
      </c>
      <c r="C66" s="42" t="str">
        <v>Caleb Schneider</v>
      </c>
      <c r="D66" s="13">
        <f>SUMIFS('RETAIL SALES DATA.'!$F$2:$F$1001,'RETAIL SALES DATA.'!$B$2:$B$1001,Custom!A66)</f>
        <v>6</v>
      </c>
    </row>
    <row r="67" spans="1:4" x14ac:dyDescent="0.3">
      <c r="A67" s="13" t="str">
        <v>Rhonda Stone</v>
      </c>
      <c r="B67" s="13" t="str">
        <v>Rhonda Stone</v>
      </c>
      <c r="C67" s="42" t="str">
        <v>Rhonda Stone</v>
      </c>
      <c r="D67" s="13">
        <f>SUMIFS('RETAIL SALES DATA.'!$F$2:$F$1001,'RETAIL SALES DATA.'!$B$2:$B$1001,Custom!A67)</f>
        <v>12</v>
      </c>
    </row>
    <row r="68" spans="1:4" x14ac:dyDescent="0.3">
      <c r="A68" s="13" t="str">
        <v>Ricky Conner</v>
      </c>
      <c r="B68" s="13" t="str">
        <v>Ricky Conner</v>
      </c>
      <c r="C68" s="42" t="str">
        <v>Ricky Conner</v>
      </c>
      <c r="D68" s="13">
        <f>SUMIFS('RETAIL SALES DATA.'!$F$2:$F$1001,'RETAIL SALES DATA.'!$B$2:$B$1001,Custom!A68)</f>
        <v>10</v>
      </c>
    </row>
    <row r="69" spans="1:4" x14ac:dyDescent="0.3">
      <c r="A69" s="13" t="str">
        <v>Alyssa Osborne</v>
      </c>
      <c r="B69" s="13" t="str">
        <v>Alyssa Osborne</v>
      </c>
      <c r="C69" s="42" t="str">
        <v>Alyssa Osborne</v>
      </c>
      <c r="D69" s="13">
        <f>SUMIFS('RETAIL SALES DATA.'!$F$2:$F$1001,'RETAIL SALES DATA.'!$B$2:$B$1001,Custom!A69)</f>
        <v>6</v>
      </c>
    </row>
    <row r="70" spans="1:4" x14ac:dyDescent="0.3">
      <c r="A70" s="13" t="str">
        <v>Travis Avila</v>
      </c>
      <c r="B70" s="13" t="str">
        <v>Travis Avila</v>
      </c>
      <c r="C70" s="42" t="str">
        <v>Travis Avila</v>
      </c>
      <c r="D70" s="13">
        <f>SUMIFS('RETAIL SALES DATA.'!$F$2:$F$1001,'RETAIL SALES DATA.'!$B$2:$B$1001,Custom!A70)</f>
        <v>7</v>
      </c>
    </row>
    <row r="71" spans="1:4" x14ac:dyDescent="0.3">
      <c r="A71" s="13" t="str">
        <v>Anthony Watts</v>
      </c>
      <c r="B71" s="13" t="str">
        <v>Anthony Watts</v>
      </c>
      <c r="C71" s="42" t="str">
        <v>Anthony Watts</v>
      </c>
      <c r="D71" s="13">
        <f>SUMIFS('RETAIL SALES DATA.'!$F$2:$F$1001,'RETAIL SALES DATA.'!$B$2:$B$1001,Custom!A71)</f>
        <v>3</v>
      </c>
    </row>
    <row r="72" spans="1:4" x14ac:dyDescent="0.3">
      <c r="A72" s="13" t="str">
        <v>Brenda Mitchell</v>
      </c>
      <c r="B72" s="13" t="str">
        <v>Brenda Mitchell</v>
      </c>
      <c r="C72" s="42" t="str">
        <v>Brenda Mitchell</v>
      </c>
      <c r="D72" s="13">
        <f>SUMIFS('RETAIL SALES DATA.'!$F$2:$F$1001,'RETAIL SALES DATA.'!$B$2:$B$1001,Custom!A72)</f>
        <v>13</v>
      </c>
    </row>
    <row r="73" spans="1:4" x14ac:dyDescent="0.3">
      <c r="A73" s="13" t="str">
        <v>Elizabeth Warren</v>
      </c>
      <c r="B73" s="13" t="str">
        <v>Elizabeth Warren</v>
      </c>
      <c r="C73" s="42" t="str">
        <v>Elizabeth Warren</v>
      </c>
      <c r="D73" s="13">
        <f>SUMIFS('RETAIL SALES DATA.'!$F$2:$F$1001,'RETAIL SALES DATA.'!$B$2:$B$1001,Custom!A73)</f>
        <v>17</v>
      </c>
    </row>
    <row r="74" spans="1:4" x14ac:dyDescent="0.3">
      <c r="A74" s="13" t="str">
        <v>Mrs. Annette Phillips</v>
      </c>
      <c r="B74" s="13" t="str">
        <v>Mrs. Annette Phillips</v>
      </c>
      <c r="C74" s="42" t="str">
        <v>Mrs. Annette Phillips</v>
      </c>
      <c r="D74" s="13">
        <f>SUMIFS('RETAIL SALES DATA.'!$F$2:$F$1001,'RETAIL SALES DATA.'!$B$2:$B$1001,Custom!A74)</f>
        <v>13</v>
      </c>
    </row>
    <row r="75" spans="1:4" x14ac:dyDescent="0.3">
      <c r="A75" s="13" t="str">
        <v>Brandon Ford</v>
      </c>
      <c r="B75" s="13" t="str">
        <v>Brandon Ford</v>
      </c>
      <c r="C75" s="42" t="str">
        <v>Brandon Ford</v>
      </c>
      <c r="D75" s="13">
        <f>SUMIFS('RETAIL SALES DATA.'!$F$2:$F$1001,'RETAIL SALES DATA.'!$B$2:$B$1001,Custom!A75)</f>
        <v>9</v>
      </c>
    </row>
    <row r="76" spans="1:4" x14ac:dyDescent="0.3">
      <c r="A76" s="13" t="str">
        <v>Shelia Hayes</v>
      </c>
      <c r="B76" s="13" t="str">
        <v>Shelia Hayes</v>
      </c>
      <c r="C76" s="42" t="str">
        <v>Shelia Hayes</v>
      </c>
      <c r="D76" s="13">
        <f>SUMIFS('RETAIL SALES DATA.'!$F$2:$F$1001,'RETAIL SALES DATA.'!$B$2:$B$1001,Custom!A76)</f>
        <v>18</v>
      </c>
    </row>
    <row r="77" spans="1:4" x14ac:dyDescent="0.3">
      <c r="A77" s="13" t="str">
        <v>John Williams</v>
      </c>
      <c r="B77" s="13" t="str">
        <v>John Williams</v>
      </c>
      <c r="C77" s="42" t="str">
        <v>John Williams</v>
      </c>
      <c r="D77" s="13">
        <f>SUMIFS('RETAIL SALES DATA.'!$F$2:$F$1001,'RETAIL SALES DATA.'!$B$2:$B$1001,Custom!A77)</f>
        <v>19</v>
      </c>
    </row>
    <row r="78" spans="1:4" x14ac:dyDescent="0.3">
      <c r="A78" s="13" t="str">
        <v>Stacy Davis</v>
      </c>
      <c r="B78" s="13" t="str">
        <v>Stacy Davis</v>
      </c>
      <c r="C78" s="42" t="str">
        <v>Stacy Davis</v>
      </c>
      <c r="D78" s="13">
        <f>SUMIFS('RETAIL SALES DATA.'!$F$2:$F$1001,'RETAIL SALES DATA.'!$B$2:$B$1001,Custom!A78)</f>
        <v>19</v>
      </c>
    </row>
    <row r="79" spans="1:4" x14ac:dyDescent="0.3">
      <c r="A79" s="13" t="str">
        <v>Deborah Fields</v>
      </c>
      <c r="B79" s="13" t="str">
        <v>Deborah Fields</v>
      </c>
      <c r="C79" s="42" t="str">
        <v>Deborah Fields</v>
      </c>
      <c r="D79" s="13">
        <f>SUMIFS('RETAIL SALES DATA.'!$F$2:$F$1001,'RETAIL SALES DATA.'!$B$2:$B$1001,Custom!A79)</f>
        <v>5</v>
      </c>
    </row>
    <row r="80" spans="1:4" x14ac:dyDescent="0.3">
      <c r="A80" s="13" t="str">
        <v>Shane Singleton</v>
      </c>
      <c r="B80" s="13" t="str">
        <v>Shane Singleton</v>
      </c>
      <c r="C80" s="42" t="str">
        <v>Shane Singleton</v>
      </c>
      <c r="D80" s="13">
        <f>SUMIFS('RETAIL SALES DATA.'!$F$2:$F$1001,'RETAIL SALES DATA.'!$B$2:$B$1001,Custom!A80)</f>
        <v>10</v>
      </c>
    </row>
    <row r="81" spans="1:4" x14ac:dyDescent="0.3">
      <c r="A81" s="13" t="str">
        <v>Robin Moore</v>
      </c>
      <c r="B81" s="13" t="str">
        <v>Robin Moore</v>
      </c>
      <c r="C81" s="42" t="str">
        <v>Robin Moore</v>
      </c>
      <c r="D81" s="13">
        <f>SUMIFS('RETAIL SALES DATA.'!$F$2:$F$1001,'RETAIL SALES DATA.'!$B$2:$B$1001,Custom!A81)</f>
        <v>16</v>
      </c>
    </row>
    <row r="82" spans="1:4" x14ac:dyDescent="0.3">
      <c r="A82" s="13" t="str">
        <v>Michael Rodriguez</v>
      </c>
      <c r="B82" s="13" t="str">
        <v>Michael Rodriguez</v>
      </c>
      <c r="C82" s="42" t="str">
        <v>Michael Rodriguez</v>
      </c>
      <c r="D82" s="13">
        <f>SUMIFS('RETAIL SALES DATA.'!$F$2:$F$1001,'RETAIL SALES DATA.'!$B$2:$B$1001,Custom!A82)</f>
        <v>20</v>
      </c>
    </row>
    <row r="83" spans="1:4" x14ac:dyDescent="0.3">
      <c r="A83" s="13" t="str">
        <v>Benjamin Cummings</v>
      </c>
      <c r="B83" s="13" t="str">
        <v>Benjamin Cummings</v>
      </c>
      <c r="C83" s="42" t="str">
        <v>Benjamin Cummings</v>
      </c>
      <c r="D83" s="13">
        <f>SUMIFS('RETAIL SALES DATA.'!$F$2:$F$1001,'RETAIL SALES DATA.'!$B$2:$B$1001,Custom!A83)</f>
        <v>17</v>
      </c>
    </row>
    <row r="84" spans="1:4" x14ac:dyDescent="0.3">
      <c r="A84" s="13" t="str">
        <v>Dale Cook</v>
      </c>
      <c r="B84" s="13" t="str">
        <v>Dale Cook</v>
      </c>
      <c r="C84" s="42" t="str">
        <v>Dale Cook</v>
      </c>
      <c r="D84" s="13">
        <f>SUMIFS('RETAIL SALES DATA.'!$F$2:$F$1001,'RETAIL SALES DATA.'!$B$2:$B$1001,Custom!A84)</f>
        <v>15</v>
      </c>
    </row>
    <row r="85" spans="1:4" x14ac:dyDescent="0.3">
      <c r="A85" s="13" t="str">
        <v>Nancy Scott</v>
      </c>
      <c r="B85" s="13" t="str">
        <v>Nancy Scott</v>
      </c>
      <c r="C85" s="42" t="str">
        <v>Nancy Scott</v>
      </c>
      <c r="D85" s="13">
        <f>SUMIFS('RETAIL SALES DATA.'!$F$2:$F$1001,'RETAIL SALES DATA.'!$B$2:$B$1001,Custom!A85)</f>
        <v>16</v>
      </c>
    </row>
    <row r="86" spans="1:4" x14ac:dyDescent="0.3">
      <c r="A86" s="13" t="str">
        <v>Juan Perry</v>
      </c>
      <c r="B86" s="13" t="str">
        <v>Juan Perry</v>
      </c>
      <c r="C86" s="42" t="str">
        <v>Juan Perry</v>
      </c>
      <c r="D86" s="13">
        <f>SUMIFS('RETAIL SALES DATA.'!$F$2:$F$1001,'RETAIL SALES DATA.'!$B$2:$B$1001,Custom!A86)</f>
        <v>18</v>
      </c>
    </row>
    <row r="87" spans="1:4" x14ac:dyDescent="0.3">
      <c r="A87" s="13" t="str">
        <v>Christopher Johnson</v>
      </c>
      <c r="B87" s="13" t="str">
        <v>Christopher Johnson</v>
      </c>
      <c r="C87" s="42" t="str">
        <v>Christopher Johnson</v>
      </c>
      <c r="D87" s="13">
        <f>SUMIFS('RETAIL SALES DATA.'!$F$2:$F$1001,'RETAIL SALES DATA.'!$B$2:$B$1001,Custom!A87)</f>
        <v>8</v>
      </c>
    </row>
    <row r="88" spans="1:4" x14ac:dyDescent="0.3">
      <c r="A88" s="13" t="str">
        <v>Christopher Noble</v>
      </c>
      <c r="B88" s="13" t="str">
        <v>Christopher Noble</v>
      </c>
      <c r="C88" s="42" t="str">
        <v>Christopher Noble</v>
      </c>
      <c r="D88" s="13">
        <f>SUMIFS('RETAIL SALES DATA.'!$F$2:$F$1001,'RETAIL SALES DATA.'!$B$2:$B$1001,Custom!A88)</f>
        <v>19</v>
      </c>
    </row>
    <row r="89" spans="1:4" x14ac:dyDescent="0.3">
      <c r="A89" s="13" t="str">
        <v>Alejandro Wilson</v>
      </c>
      <c r="B89" s="13" t="str">
        <v>Alejandro Wilson</v>
      </c>
      <c r="C89" s="42" t="str">
        <v>Alejandro Wilson</v>
      </c>
      <c r="D89" s="13">
        <f>SUMIFS('RETAIL SALES DATA.'!$F$2:$F$1001,'RETAIL SALES DATA.'!$B$2:$B$1001,Custom!A89)</f>
        <v>7</v>
      </c>
    </row>
    <row r="90" spans="1:4" x14ac:dyDescent="0.3">
      <c r="A90" s="13" t="str">
        <v>Raymond Perez</v>
      </c>
      <c r="B90" s="13" t="str">
        <v>Raymond Perez</v>
      </c>
      <c r="C90" s="42" t="str">
        <v>Raymond Perez</v>
      </c>
      <c r="D90" s="13">
        <f>SUMIFS('RETAIL SALES DATA.'!$F$2:$F$1001,'RETAIL SALES DATA.'!$B$2:$B$1001,Custom!A90)</f>
        <v>11</v>
      </c>
    </row>
    <row r="91" spans="1:4" x14ac:dyDescent="0.3">
      <c r="A91" s="13" t="str">
        <v>Tracy Parker</v>
      </c>
      <c r="B91" s="13" t="str">
        <v>Tracy Parker</v>
      </c>
      <c r="C91" s="42" t="str">
        <v>Tracy Parker</v>
      </c>
      <c r="D91" s="13">
        <f>SUMIFS('RETAIL SALES DATA.'!$F$2:$F$1001,'RETAIL SALES DATA.'!$B$2:$B$1001,Custom!A91)</f>
        <v>10</v>
      </c>
    </row>
    <row r="92" spans="1:4" x14ac:dyDescent="0.3">
      <c r="A92" s="13" t="str">
        <v>Katelyn Woods</v>
      </c>
      <c r="B92" s="13" t="str">
        <v>Katelyn Woods</v>
      </c>
      <c r="C92" s="42" t="str">
        <v>Katelyn Woods</v>
      </c>
      <c r="D92" s="13">
        <f>SUMIFS('RETAIL SALES DATA.'!$F$2:$F$1001,'RETAIL SALES DATA.'!$B$2:$B$1001,Custom!A92)</f>
        <v>20</v>
      </c>
    </row>
    <row r="93" spans="1:4" x14ac:dyDescent="0.3">
      <c r="A93" s="13" t="str">
        <v>Michael Lindsey</v>
      </c>
      <c r="B93" s="13" t="str">
        <v>Michael Lindsey</v>
      </c>
      <c r="C93" s="42" t="str">
        <v>Michael Lindsey</v>
      </c>
      <c r="D93" s="13">
        <f>SUMIFS('RETAIL SALES DATA.'!$F$2:$F$1001,'RETAIL SALES DATA.'!$B$2:$B$1001,Custom!A93)</f>
        <v>4</v>
      </c>
    </row>
    <row r="94" spans="1:4" x14ac:dyDescent="0.3">
      <c r="A94" s="13" t="str">
        <v>Jesse Davis</v>
      </c>
      <c r="B94" s="13" t="str">
        <v>Jesse Davis</v>
      </c>
      <c r="C94" s="42" t="str">
        <v>Jesse Davis</v>
      </c>
      <c r="D94" s="13">
        <f>SUMIFS('RETAIL SALES DATA.'!$F$2:$F$1001,'RETAIL SALES DATA.'!$B$2:$B$1001,Custom!A94)</f>
        <v>13</v>
      </c>
    </row>
    <row r="95" spans="1:4" x14ac:dyDescent="0.3">
      <c r="A95" s="13" t="str">
        <v>Katrina Hayes</v>
      </c>
      <c r="B95" s="13" t="str">
        <v>Katrina Hayes</v>
      </c>
      <c r="C95" s="42" t="str">
        <v>Katrina Hayes</v>
      </c>
      <c r="D95" s="13">
        <f>SUMIFS('RETAIL SALES DATA.'!$F$2:$F$1001,'RETAIL SALES DATA.'!$B$2:$B$1001,Custom!A95)</f>
        <v>13</v>
      </c>
    </row>
    <row r="96" spans="1:4" x14ac:dyDescent="0.3">
      <c r="A96" s="13" t="str">
        <v>Jason Weber</v>
      </c>
      <c r="B96" s="13" t="str">
        <v>Jason Weber</v>
      </c>
      <c r="C96" s="42" t="str">
        <v>Jason Weber</v>
      </c>
      <c r="D96" s="13">
        <f>SUMIFS('RETAIL SALES DATA.'!$F$2:$F$1001,'RETAIL SALES DATA.'!$B$2:$B$1001,Custom!A96)</f>
        <v>17</v>
      </c>
    </row>
    <row r="97" spans="1:4" x14ac:dyDescent="0.3">
      <c r="A97" s="13" t="str">
        <v>John Pope</v>
      </c>
      <c r="B97" s="13" t="str">
        <v>John Pope</v>
      </c>
      <c r="C97" s="42" t="str">
        <v>John Pope</v>
      </c>
      <c r="D97" s="13">
        <f>SUMIFS('RETAIL SALES DATA.'!$F$2:$F$1001,'RETAIL SALES DATA.'!$B$2:$B$1001,Custom!A97)</f>
        <v>17</v>
      </c>
    </row>
    <row r="98" spans="1:4" x14ac:dyDescent="0.3">
      <c r="A98" s="13" t="str">
        <v>Dean Herman</v>
      </c>
      <c r="B98" s="13" t="str">
        <v>Dean Herman</v>
      </c>
      <c r="C98" s="42" t="str">
        <v>Dean Herman</v>
      </c>
      <c r="D98" s="13">
        <f>SUMIFS('RETAIL SALES DATA.'!$F$2:$F$1001,'RETAIL SALES DATA.'!$B$2:$B$1001,Custom!A98)</f>
        <v>11</v>
      </c>
    </row>
    <row r="99" spans="1:4" x14ac:dyDescent="0.3">
      <c r="A99" s="13" t="str">
        <v>David Mendez</v>
      </c>
      <c r="B99" s="13" t="str">
        <v>David Mendez</v>
      </c>
      <c r="C99" s="42" t="str">
        <v>David Mendez</v>
      </c>
      <c r="D99" s="13">
        <f>SUMIFS('RETAIL SALES DATA.'!$F$2:$F$1001,'RETAIL SALES DATA.'!$B$2:$B$1001,Custom!A99)</f>
        <v>4</v>
      </c>
    </row>
    <row r="100" spans="1:4" x14ac:dyDescent="0.3">
      <c r="A100" s="13" t="str">
        <v>Joshua Carter</v>
      </c>
      <c r="B100" s="13" t="str">
        <v>Joshua Carter</v>
      </c>
      <c r="C100" s="42" t="str">
        <v>Joshua Carter</v>
      </c>
      <c r="D100" s="13">
        <f>SUMIFS('RETAIL SALES DATA.'!$F$2:$F$1001,'RETAIL SALES DATA.'!$B$2:$B$1001,Custom!A100)</f>
        <v>6</v>
      </c>
    </row>
    <row r="101" spans="1:4" x14ac:dyDescent="0.3">
      <c r="A101" s="13" t="str">
        <v>Lauren Alvarez</v>
      </c>
      <c r="B101" s="13" t="str">
        <v>Lauren Alvarez</v>
      </c>
      <c r="C101" s="42" t="str">
        <v>Lauren Alvarez</v>
      </c>
      <c r="D101" s="13">
        <f>SUMIFS('RETAIL SALES DATA.'!$F$2:$F$1001,'RETAIL SALES DATA.'!$B$2:$B$1001,Custom!A101)</f>
        <v>11</v>
      </c>
    </row>
    <row r="102" spans="1:4" x14ac:dyDescent="0.3">
      <c r="A102" s="13" t="str">
        <v>Mr. Roy Walton</v>
      </c>
      <c r="B102" s="13" t="str">
        <v>Mr. Roy Walton</v>
      </c>
      <c r="C102" s="42" t="str">
        <v>Mr. Roy Walton</v>
      </c>
      <c r="D102" s="13">
        <f>SUMIFS('RETAIL SALES DATA.'!$F$2:$F$1001,'RETAIL SALES DATA.'!$B$2:$B$1001,Custom!A102)</f>
        <v>1</v>
      </c>
    </row>
    <row r="103" spans="1:4" x14ac:dyDescent="0.3">
      <c r="A103" s="13" t="str">
        <v>Kaylee Cordova</v>
      </c>
      <c r="B103" s="13" t="str">
        <v>Kaylee Cordova</v>
      </c>
      <c r="C103" s="42" t="str">
        <v>Kaylee Cordova</v>
      </c>
      <c r="D103" s="13">
        <f>SUMIFS('RETAIL SALES DATA.'!$F$2:$F$1001,'RETAIL SALES DATA.'!$B$2:$B$1001,Custom!A103)</f>
        <v>8</v>
      </c>
    </row>
    <row r="104" spans="1:4" x14ac:dyDescent="0.3">
      <c r="A104" s="13" t="str">
        <v>Tyler Conner</v>
      </c>
      <c r="B104" s="13" t="str">
        <v>Tyler Conner</v>
      </c>
      <c r="C104" s="42" t="str">
        <v>Tyler Conner</v>
      </c>
      <c r="D104" s="13">
        <f>SUMIFS('RETAIL SALES DATA.'!$F$2:$F$1001,'RETAIL SALES DATA.'!$B$2:$B$1001,Custom!A104)</f>
        <v>10</v>
      </c>
    </row>
    <row r="105" spans="1:4" x14ac:dyDescent="0.3">
      <c r="A105" s="13" t="str">
        <v>Douglas Johnson</v>
      </c>
      <c r="B105" s="13" t="str">
        <v>Douglas Johnson</v>
      </c>
      <c r="C105" s="42" t="str">
        <v>Douglas Johnson</v>
      </c>
      <c r="D105" s="13">
        <f>SUMIFS('RETAIL SALES DATA.'!$F$2:$F$1001,'RETAIL SALES DATA.'!$B$2:$B$1001,Custom!A105)</f>
        <v>1</v>
      </c>
    </row>
    <row r="106" spans="1:4" x14ac:dyDescent="0.3">
      <c r="A106" s="13" t="str">
        <v>Todd Brock</v>
      </c>
      <c r="B106" s="13" t="str">
        <v>Todd Brock</v>
      </c>
      <c r="C106" s="42" t="str">
        <v>Todd Brock</v>
      </c>
      <c r="D106" s="13">
        <f>SUMIFS('RETAIL SALES DATA.'!$F$2:$F$1001,'RETAIL SALES DATA.'!$B$2:$B$1001,Custom!A106)</f>
        <v>6</v>
      </c>
    </row>
    <row r="107" spans="1:4" x14ac:dyDescent="0.3">
      <c r="A107" s="13" t="str">
        <v>Derek Bennett</v>
      </c>
      <c r="B107" s="13" t="str">
        <v>Derek Bennett</v>
      </c>
      <c r="C107" s="42" t="str">
        <v>Derek Bennett</v>
      </c>
      <c r="D107" s="13">
        <f>SUMIFS('RETAIL SALES DATA.'!$F$2:$F$1001,'RETAIL SALES DATA.'!$B$2:$B$1001,Custom!A107)</f>
        <v>4</v>
      </c>
    </row>
    <row r="108" spans="1:4" x14ac:dyDescent="0.3">
      <c r="A108" s="13" t="str">
        <v>Rachel Maldonado</v>
      </c>
      <c r="B108" s="13" t="str">
        <v>Rachel Maldonado</v>
      </c>
      <c r="C108" s="42" t="str">
        <v>Rachel Maldonado</v>
      </c>
      <c r="D108" s="13">
        <f>SUMIFS('RETAIL SALES DATA.'!$F$2:$F$1001,'RETAIL SALES DATA.'!$B$2:$B$1001,Custom!A108)</f>
        <v>4</v>
      </c>
    </row>
    <row r="109" spans="1:4" x14ac:dyDescent="0.3">
      <c r="A109" s="13" t="str">
        <v>Shelly Jones</v>
      </c>
      <c r="B109" s="13" t="str">
        <v>Shelly Jones</v>
      </c>
      <c r="C109" s="42" t="str">
        <v>Shelly Jones</v>
      </c>
      <c r="D109" s="13">
        <f>SUMIFS('RETAIL SALES DATA.'!$F$2:$F$1001,'RETAIL SALES DATA.'!$B$2:$B$1001,Custom!A109)</f>
        <v>3</v>
      </c>
    </row>
    <row r="110" spans="1:4" x14ac:dyDescent="0.3">
      <c r="A110" s="13" t="str">
        <v>Cindy Owens</v>
      </c>
      <c r="B110" s="13" t="str">
        <v>Cindy Owens</v>
      </c>
      <c r="C110" s="42" t="str">
        <v>Cindy Owens</v>
      </c>
      <c r="D110" s="13">
        <f>SUMIFS('RETAIL SALES DATA.'!$F$2:$F$1001,'RETAIL SALES DATA.'!$B$2:$B$1001,Custom!A110)</f>
        <v>18</v>
      </c>
    </row>
    <row r="111" spans="1:4" x14ac:dyDescent="0.3">
      <c r="A111" s="13" t="str">
        <v>Barbara Burgess</v>
      </c>
      <c r="B111" s="13" t="str">
        <v>Barbara Burgess</v>
      </c>
      <c r="C111" s="42" t="str">
        <v>Barbara Burgess</v>
      </c>
      <c r="D111" s="13">
        <f>SUMIFS('RETAIL SALES DATA.'!$F$2:$F$1001,'RETAIL SALES DATA.'!$B$2:$B$1001,Custom!A111)</f>
        <v>12</v>
      </c>
    </row>
    <row r="112" spans="1:4" x14ac:dyDescent="0.3">
      <c r="A112" s="13" t="str">
        <v>Kathleen Jones</v>
      </c>
      <c r="B112" s="13" t="str">
        <v>Kathleen Jones</v>
      </c>
      <c r="C112" s="42" t="str">
        <v>Kathleen Jones</v>
      </c>
      <c r="D112" s="13">
        <f>SUMIFS('RETAIL SALES DATA.'!$F$2:$F$1001,'RETAIL SALES DATA.'!$B$2:$B$1001,Custom!A112)</f>
        <v>1</v>
      </c>
    </row>
    <row r="113" spans="1:4" x14ac:dyDescent="0.3">
      <c r="A113" s="13" t="str">
        <v>Cole Li</v>
      </c>
      <c r="B113" s="13" t="str">
        <v>Cole Li</v>
      </c>
      <c r="C113" s="42" t="str">
        <v>Cole Li</v>
      </c>
      <c r="D113" s="13">
        <f>SUMIFS('RETAIL SALES DATA.'!$F$2:$F$1001,'RETAIL SALES DATA.'!$B$2:$B$1001,Custom!A113)</f>
        <v>15</v>
      </c>
    </row>
    <row r="114" spans="1:4" x14ac:dyDescent="0.3">
      <c r="A114" s="13" t="str">
        <v>Erika Rodriguez</v>
      </c>
      <c r="B114" s="13" t="str">
        <v>Erika Rodriguez</v>
      </c>
      <c r="C114" s="42" t="str">
        <v>Erika Rodriguez</v>
      </c>
      <c r="D114" s="13">
        <f>SUMIFS('RETAIL SALES DATA.'!$F$2:$F$1001,'RETAIL SALES DATA.'!$B$2:$B$1001,Custom!A114)</f>
        <v>16</v>
      </c>
    </row>
    <row r="115" spans="1:4" x14ac:dyDescent="0.3">
      <c r="A115" s="13" t="str">
        <v>Brooke Wright</v>
      </c>
      <c r="B115" s="13" t="str">
        <v>Brooke Wright</v>
      </c>
      <c r="C115" s="42" t="str">
        <v>Brooke Wright</v>
      </c>
      <c r="D115" s="13">
        <f>SUMIFS('RETAIL SALES DATA.'!$F$2:$F$1001,'RETAIL SALES DATA.'!$B$2:$B$1001,Custom!A115)</f>
        <v>1</v>
      </c>
    </row>
    <row r="116" spans="1:4" x14ac:dyDescent="0.3">
      <c r="A116" s="13" t="str">
        <v>James Lam</v>
      </c>
      <c r="B116" s="13" t="str">
        <v>James Lam</v>
      </c>
      <c r="C116" s="42" t="str">
        <v>James Lam</v>
      </c>
      <c r="D116" s="13">
        <f>SUMIFS('RETAIL SALES DATA.'!$F$2:$F$1001,'RETAIL SALES DATA.'!$B$2:$B$1001,Custom!A116)</f>
        <v>8</v>
      </c>
    </row>
    <row r="117" spans="1:4" x14ac:dyDescent="0.3">
      <c r="A117" s="13" t="str">
        <v>Blake Hicks</v>
      </c>
      <c r="B117" s="13" t="str">
        <v>Blake Hicks</v>
      </c>
      <c r="C117" s="42" t="str">
        <v>Blake Hicks</v>
      </c>
      <c r="D117" s="13">
        <f>SUMIFS('RETAIL SALES DATA.'!$F$2:$F$1001,'RETAIL SALES DATA.'!$B$2:$B$1001,Custom!A117)</f>
        <v>13</v>
      </c>
    </row>
    <row r="118" spans="1:4" x14ac:dyDescent="0.3">
      <c r="A118" s="13" t="str">
        <v>Elizabeth Garner</v>
      </c>
      <c r="B118" s="13" t="str">
        <v>Elizabeth Garner</v>
      </c>
      <c r="C118" s="42" t="str">
        <v>Elizabeth Garner</v>
      </c>
      <c r="D118" s="13">
        <f>SUMIFS('RETAIL SALES DATA.'!$F$2:$F$1001,'RETAIL SALES DATA.'!$B$2:$B$1001,Custom!A118)</f>
        <v>9</v>
      </c>
    </row>
    <row r="119" spans="1:4" x14ac:dyDescent="0.3">
      <c r="A119" s="13" t="str">
        <v>Nicole Rodriguez</v>
      </c>
      <c r="B119" s="13" t="str">
        <v>Nicole Rodriguez</v>
      </c>
      <c r="C119" s="42" t="str">
        <v>Nicole Rodriguez</v>
      </c>
      <c r="D119" s="13">
        <f>SUMIFS('RETAIL SALES DATA.'!$F$2:$F$1001,'RETAIL SALES DATA.'!$B$2:$B$1001,Custom!A119)</f>
        <v>28</v>
      </c>
    </row>
    <row r="120" spans="1:4" x14ac:dyDescent="0.3">
      <c r="A120" s="13" t="str">
        <v>Jennifer Henderson</v>
      </c>
      <c r="B120" s="13" t="str">
        <v>Jennifer Henderson</v>
      </c>
      <c r="C120" s="42" t="str">
        <v>Jennifer Henderson</v>
      </c>
      <c r="D120" s="13">
        <f>SUMIFS('RETAIL SALES DATA.'!$F$2:$F$1001,'RETAIL SALES DATA.'!$B$2:$B$1001,Custom!A120)</f>
        <v>11</v>
      </c>
    </row>
    <row r="121" spans="1:4" x14ac:dyDescent="0.3">
      <c r="A121" s="13" t="str">
        <v>Kevin Quinn</v>
      </c>
      <c r="B121" s="13" t="str">
        <v>Kevin Quinn</v>
      </c>
      <c r="C121" s="42" t="str">
        <v>Kevin Quinn</v>
      </c>
      <c r="D121" s="13">
        <f>SUMIFS('RETAIL SALES DATA.'!$F$2:$F$1001,'RETAIL SALES DATA.'!$B$2:$B$1001,Custom!A121)</f>
        <v>1</v>
      </c>
    </row>
    <row r="122" spans="1:4" x14ac:dyDescent="0.3">
      <c r="A122" s="13" t="str">
        <v>Robert Williams</v>
      </c>
      <c r="B122" s="13" t="str">
        <v>Robert Williams</v>
      </c>
      <c r="C122" s="42" t="str">
        <v>Robert Williams</v>
      </c>
      <c r="D122" s="13">
        <f>SUMIFS('RETAIL SALES DATA.'!$F$2:$F$1001,'RETAIL SALES DATA.'!$B$2:$B$1001,Custom!A122)</f>
        <v>9</v>
      </c>
    </row>
    <row r="123" spans="1:4" x14ac:dyDescent="0.3">
      <c r="A123" s="13" t="str">
        <v>Lawrence Jackson</v>
      </c>
      <c r="B123" s="13" t="str">
        <v>Lawrence Jackson</v>
      </c>
      <c r="C123" s="42" t="str">
        <v>Lawrence Jackson</v>
      </c>
      <c r="D123" s="13">
        <f>SUMIFS('RETAIL SALES DATA.'!$F$2:$F$1001,'RETAIL SALES DATA.'!$B$2:$B$1001,Custom!A123)</f>
        <v>10</v>
      </c>
    </row>
    <row r="124" spans="1:4" x14ac:dyDescent="0.3">
      <c r="A124" s="13" t="str">
        <v>Linda Campbell</v>
      </c>
      <c r="B124" s="13" t="str">
        <v>Linda Campbell</v>
      </c>
      <c r="C124" s="42" t="str">
        <v>Linda Campbell</v>
      </c>
      <c r="D124" s="13">
        <f>SUMIFS('RETAIL SALES DATA.'!$F$2:$F$1001,'RETAIL SALES DATA.'!$B$2:$B$1001,Custom!A124)</f>
        <v>12</v>
      </c>
    </row>
    <row r="125" spans="1:4" x14ac:dyDescent="0.3">
      <c r="A125" s="13" t="str">
        <v>Ashley Robinson</v>
      </c>
      <c r="B125" s="13" t="str">
        <v>Ashley Robinson</v>
      </c>
      <c r="C125" s="42" t="str">
        <v>Ashley Robinson</v>
      </c>
      <c r="D125" s="13">
        <f>SUMIFS('RETAIL SALES DATA.'!$F$2:$F$1001,'RETAIL SALES DATA.'!$B$2:$B$1001,Custom!A125)</f>
        <v>19</v>
      </c>
    </row>
    <row r="126" spans="1:4" x14ac:dyDescent="0.3">
      <c r="A126" s="13" t="str">
        <v>Joyce Davis</v>
      </c>
      <c r="B126" s="13" t="str">
        <v>Joyce Davis</v>
      </c>
      <c r="C126" s="42" t="str">
        <v>Joyce Davis</v>
      </c>
      <c r="D126" s="13">
        <f>SUMIFS('RETAIL SALES DATA.'!$F$2:$F$1001,'RETAIL SALES DATA.'!$B$2:$B$1001,Custom!A126)</f>
        <v>9</v>
      </c>
    </row>
    <row r="127" spans="1:4" x14ac:dyDescent="0.3">
      <c r="A127" s="13" t="str">
        <v>Richard Brown</v>
      </c>
      <c r="B127" s="13" t="str">
        <v>Richard Brown</v>
      </c>
      <c r="C127" s="42" t="str">
        <v>Richard Brown</v>
      </c>
      <c r="D127" s="13">
        <f>SUMIFS('RETAIL SALES DATA.'!$F$2:$F$1001,'RETAIL SALES DATA.'!$B$2:$B$1001,Custom!A127)</f>
        <v>18</v>
      </c>
    </row>
    <row r="128" spans="1:4" x14ac:dyDescent="0.3">
      <c r="A128" s="13" t="str">
        <v>Cheryl Hoover</v>
      </c>
      <c r="B128" s="13" t="str">
        <v>Cheryl Hoover</v>
      </c>
      <c r="C128" s="42" t="str">
        <v>Cheryl Hoover</v>
      </c>
      <c r="D128" s="13">
        <f>SUMIFS('RETAIL SALES DATA.'!$F$2:$F$1001,'RETAIL SALES DATA.'!$B$2:$B$1001,Custom!A128)</f>
        <v>12</v>
      </c>
    </row>
    <row r="129" spans="1:4" x14ac:dyDescent="0.3">
      <c r="A129" s="13" t="str">
        <v>Sarah Jones</v>
      </c>
      <c r="B129" s="13" t="str">
        <v>Sarah Jones</v>
      </c>
      <c r="C129" s="42" t="str">
        <v>Sarah Jones</v>
      </c>
      <c r="D129" s="13">
        <f>SUMIFS('RETAIL SALES DATA.'!$F$2:$F$1001,'RETAIL SALES DATA.'!$B$2:$B$1001,Custom!A129)</f>
        <v>14</v>
      </c>
    </row>
    <row r="130" spans="1:4" x14ac:dyDescent="0.3">
      <c r="A130" s="13" t="str">
        <v>Thomas Boone</v>
      </c>
      <c r="B130" s="13" t="str">
        <v>Thomas Boone</v>
      </c>
      <c r="C130" s="42" t="str">
        <v>Thomas Boone</v>
      </c>
      <c r="D130" s="13">
        <f>SUMIFS('RETAIL SALES DATA.'!$F$2:$F$1001,'RETAIL SALES DATA.'!$B$2:$B$1001,Custom!A130)</f>
        <v>1</v>
      </c>
    </row>
    <row r="131" spans="1:4" x14ac:dyDescent="0.3">
      <c r="A131" s="13" t="str">
        <v>Daniel Ryan</v>
      </c>
      <c r="B131" s="13" t="str">
        <v>Daniel Ryan</v>
      </c>
      <c r="C131" s="42" t="str">
        <v>Daniel Ryan</v>
      </c>
      <c r="D131" s="13">
        <f>SUMIFS('RETAIL SALES DATA.'!$F$2:$F$1001,'RETAIL SALES DATA.'!$B$2:$B$1001,Custom!A131)</f>
        <v>19</v>
      </c>
    </row>
    <row r="132" spans="1:4" x14ac:dyDescent="0.3">
      <c r="A132" s="13" t="str">
        <v>Willie Stewart</v>
      </c>
      <c r="B132" s="13" t="str">
        <v>Willie Stewart</v>
      </c>
      <c r="C132" s="42" t="str">
        <v>Willie Stewart</v>
      </c>
      <c r="D132" s="13">
        <f>SUMIFS('RETAIL SALES DATA.'!$F$2:$F$1001,'RETAIL SALES DATA.'!$B$2:$B$1001,Custom!A132)</f>
        <v>1</v>
      </c>
    </row>
    <row r="133" spans="1:4" x14ac:dyDescent="0.3">
      <c r="A133" s="13" t="str">
        <v>Michelle Brown</v>
      </c>
      <c r="B133" s="13" t="str">
        <v>Michelle Brown</v>
      </c>
      <c r="C133" s="42" t="str">
        <v>Michelle Brown</v>
      </c>
      <c r="D133" s="13">
        <f>SUMIFS('RETAIL SALES DATA.'!$F$2:$F$1001,'RETAIL SALES DATA.'!$B$2:$B$1001,Custom!A133)</f>
        <v>11</v>
      </c>
    </row>
    <row r="134" spans="1:4" x14ac:dyDescent="0.3">
      <c r="A134" s="13" t="str">
        <v>Theresa Robinson MD</v>
      </c>
      <c r="B134" s="13" t="str">
        <v>Theresa Robinson MD</v>
      </c>
      <c r="C134" s="42" t="str">
        <v>Theresa Robinson Md</v>
      </c>
      <c r="D134" s="13">
        <f>SUMIFS('RETAIL SALES DATA.'!$F$2:$F$1001,'RETAIL SALES DATA.'!$B$2:$B$1001,Custom!A134)</f>
        <v>13</v>
      </c>
    </row>
    <row r="135" spans="1:4" x14ac:dyDescent="0.3">
      <c r="A135" s="13" t="str">
        <v>Timothy Giles</v>
      </c>
      <c r="B135" s="13" t="str">
        <v>Timothy Giles</v>
      </c>
      <c r="C135" s="42" t="str">
        <v>Timothy Giles</v>
      </c>
      <c r="D135" s="13">
        <f>SUMIFS('RETAIL SALES DATA.'!$F$2:$F$1001,'RETAIL SALES DATA.'!$B$2:$B$1001,Custom!A135)</f>
        <v>5</v>
      </c>
    </row>
    <row r="136" spans="1:4" x14ac:dyDescent="0.3">
      <c r="A136" s="13" t="str">
        <v>Donna Barron</v>
      </c>
      <c r="B136" s="13" t="str">
        <v>Donna Barron</v>
      </c>
      <c r="C136" s="42" t="str">
        <v>Donna Barron</v>
      </c>
      <c r="D136" s="13">
        <f>SUMIFS('RETAIL SALES DATA.'!$F$2:$F$1001,'RETAIL SALES DATA.'!$B$2:$B$1001,Custom!A136)</f>
        <v>20</v>
      </c>
    </row>
    <row r="137" spans="1:4" x14ac:dyDescent="0.3">
      <c r="A137" s="13" t="str">
        <v>James Moss</v>
      </c>
      <c r="B137" s="13" t="str">
        <v>James Moss</v>
      </c>
      <c r="C137" s="42" t="str">
        <v>James Moss</v>
      </c>
      <c r="D137" s="13">
        <f>SUMIFS('RETAIL SALES DATA.'!$F$2:$F$1001,'RETAIL SALES DATA.'!$B$2:$B$1001,Custom!A137)</f>
        <v>20</v>
      </c>
    </row>
    <row r="138" spans="1:4" x14ac:dyDescent="0.3">
      <c r="A138" s="13" t="str">
        <v>Christopher Smith</v>
      </c>
      <c r="B138" s="13" t="str">
        <v>Christopher Smith</v>
      </c>
      <c r="C138" s="42" t="str">
        <v>Christopher Smith</v>
      </c>
      <c r="D138" s="13">
        <f>SUMIFS('RETAIL SALES DATA.'!$F$2:$F$1001,'RETAIL SALES DATA.'!$B$2:$B$1001,Custom!A138)</f>
        <v>5</v>
      </c>
    </row>
    <row r="139" spans="1:4" x14ac:dyDescent="0.3">
      <c r="A139" s="13" t="str">
        <v>Nathan Ford</v>
      </c>
      <c r="B139" s="13" t="str">
        <v>Nathan Ford</v>
      </c>
      <c r="C139" s="42" t="str">
        <v>Nathan Ford</v>
      </c>
      <c r="D139" s="13">
        <f>SUMIFS('RETAIL SALES DATA.'!$F$2:$F$1001,'RETAIL SALES DATA.'!$B$2:$B$1001,Custom!A139)</f>
        <v>11</v>
      </c>
    </row>
    <row r="140" spans="1:4" x14ac:dyDescent="0.3">
      <c r="A140" s="13" t="str">
        <v>Jennifer Hill</v>
      </c>
      <c r="B140" s="13" t="str">
        <v>Jennifer Hill</v>
      </c>
      <c r="C140" s="42" t="str">
        <v>Jennifer Hill</v>
      </c>
      <c r="D140" s="13">
        <f>SUMIFS('RETAIL SALES DATA.'!$F$2:$F$1001,'RETAIL SALES DATA.'!$B$2:$B$1001,Custom!A140)</f>
        <v>12</v>
      </c>
    </row>
    <row r="141" spans="1:4" x14ac:dyDescent="0.3">
      <c r="A141" s="13" t="str">
        <v>Adrian Coleman</v>
      </c>
      <c r="B141" s="13" t="str">
        <v>Adrian Coleman</v>
      </c>
      <c r="C141" s="42" t="str">
        <v>Adrian Coleman</v>
      </c>
      <c r="D141" s="13">
        <f>SUMIFS('RETAIL SALES DATA.'!$F$2:$F$1001,'RETAIL SALES DATA.'!$B$2:$B$1001,Custom!A141)</f>
        <v>18</v>
      </c>
    </row>
    <row r="142" spans="1:4" x14ac:dyDescent="0.3">
      <c r="A142" s="13" t="str">
        <v>Aaron Wilson</v>
      </c>
      <c r="B142" s="13" t="str">
        <v>Aaron Wilson</v>
      </c>
      <c r="C142" s="42" t="str">
        <v>Aaron Wilson</v>
      </c>
      <c r="D142" s="13">
        <f>SUMIFS('RETAIL SALES DATA.'!$F$2:$F$1001,'RETAIL SALES DATA.'!$B$2:$B$1001,Custom!A142)</f>
        <v>4</v>
      </c>
    </row>
    <row r="143" spans="1:4" x14ac:dyDescent="0.3">
      <c r="A143" s="13" t="str">
        <v>Matthew Stevens</v>
      </c>
      <c r="B143" s="13" t="str">
        <v>Matthew Stevens</v>
      </c>
      <c r="C143" s="42" t="str">
        <v>Matthew Stevens</v>
      </c>
      <c r="D143" s="13">
        <f>SUMIFS('RETAIL SALES DATA.'!$F$2:$F$1001,'RETAIL SALES DATA.'!$B$2:$B$1001,Custom!A143)</f>
        <v>7</v>
      </c>
    </row>
    <row r="144" spans="1:4" x14ac:dyDescent="0.3">
      <c r="A144" s="13" t="str">
        <v>Jamie Stewart</v>
      </c>
      <c r="B144" s="13" t="str">
        <v>Jamie Stewart</v>
      </c>
      <c r="C144" s="42" t="str">
        <v>Jamie Stewart</v>
      </c>
      <c r="D144" s="13">
        <f>SUMIFS('RETAIL SALES DATA.'!$F$2:$F$1001,'RETAIL SALES DATA.'!$B$2:$B$1001,Custom!A144)</f>
        <v>2</v>
      </c>
    </row>
    <row r="145" spans="1:4" x14ac:dyDescent="0.3">
      <c r="A145" s="13" t="str">
        <v>Mrs. Kimberly Murphy DVM</v>
      </c>
      <c r="B145" s="13" t="str">
        <v>Mrs. Kimberly Murphy DVM</v>
      </c>
      <c r="C145" s="42" t="str">
        <v>Mrs. Kimberly Murphy Dvm</v>
      </c>
      <c r="D145" s="13">
        <f>SUMIFS('RETAIL SALES DATA.'!$F$2:$F$1001,'RETAIL SALES DATA.'!$B$2:$B$1001,Custom!A145)</f>
        <v>2</v>
      </c>
    </row>
    <row r="146" spans="1:4" x14ac:dyDescent="0.3">
      <c r="A146" s="13" t="str">
        <v>Kathleen Davis</v>
      </c>
      <c r="B146" s="13" t="str">
        <v>Kathleen Davis</v>
      </c>
      <c r="C146" s="42" t="str">
        <v>Kathleen Davis</v>
      </c>
      <c r="D146" s="13">
        <f>SUMIFS('RETAIL SALES DATA.'!$F$2:$F$1001,'RETAIL SALES DATA.'!$B$2:$B$1001,Custom!A146)</f>
        <v>17</v>
      </c>
    </row>
    <row r="147" spans="1:4" x14ac:dyDescent="0.3">
      <c r="A147" s="13" t="str">
        <v>Courtney Hanson</v>
      </c>
      <c r="B147" s="13" t="str">
        <v>Courtney Hanson</v>
      </c>
      <c r="C147" s="42" t="str">
        <v>Courtney Hanson</v>
      </c>
      <c r="D147" s="13">
        <f>SUMIFS('RETAIL SALES DATA.'!$F$2:$F$1001,'RETAIL SALES DATA.'!$B$2:$B$1001,Custom!A147)</f>
        <v>4</v>
      </c>
    </row>
    <row r="148" spans="1:4" x14ac:dyDescent="0.3">
      <c r="A148" s="13" t="str">
        <v>John Smith</v>
      </c>
      <c r="B148" s="13" t="str">
        <v>John Smith</v>
      </c>
      <c r="C148" s="42" t="str">
        <v>John Smith</v>
      </c>
      <c r="D148" s="13">
        <f>SUMIFS('RETAIL SALES DATA.'!$F$2:$F$1001,'RETAIL SALES DATA.'!$B$2:$B$1001,Custom!A148)</f>
        <v>4</v>
      </c>
    </row>
    <row r="149" spans="1:4" x14ac:dyDescent="0.3">
      <c r="A149" s="13" t="str">
        <v>Robert Smith</v>
      </c>
      <c r="B149" s="13" t="str">
        <v>Robert Smith</v>
      </c>
      <c r="C149" s="42" t="str">
        <v>Robert Smith</v>
      </c>
      <c r="D149" s="13">
        <f>SUMIFS('RETAIL SALES DATA.'!$F$2:$F$1001,'RETAIL SALES DATA.'!$B$2:$B$1001,Custom!A149)</f>
        <v>2</v>
      </c>
    </row>
    <row r="150" spans="1:4" x14ac:dyDescent="0.3">
      <c r="A150" s="13" t="str">
        <v>Alicia Sheppard</v>
      </c>
      <c r="B150" s="13" t="str">
        <v>Alicia Sheppard</v>
      </c>
      <c r="C150" s="42" t="str">
        <v>Alicia Sheppard</v>
      </c>
      <c r="D150" s="13">
        <f>SUMIFS('RETAIL SALES DATA.'!$F$2:$F$1001,'RETAIL SALES DATA.'!$B$2:$B$1001,Custom!A150)</f>
        <v>15</v>
      </c>
    </row>
    <row r="151" spans="1:4" x14ac:dyDescent="0.3">
      <c r="A151" s="13" t="str">
        <v>Eric Graham MD</v>
      </c>
      <c r="B151" s="13" t="str">
        <v>Eric Graham MD</v>
      </c>
      <c r="C151" s="42" t="str">
        <v>Eric Graham Md</v>
      </c>
      <c r="D151" s="13">
        <f>SUMIFS('RETAIL SALES DATA.'!$F$2:$F$1001,'RETAIL SALES DATA.'!$B$2:$B$1001,Custom!A151)</f>
        <v>19</v>
      </c>
    </row>
    <row r="152" spans="1:4" x14ac:dyDescent="0.3">
      <c r="A152" s="13" t="str">
        <v>Helen Ashley</v>
      </c>
      <c r="B152" s="13" t="str">
        <v>Helen Ashley</v>
      </c>
      <c r="C152" s="42" t="str">
        <v>Helen Ashley</v>
      </c>
      <c r="D152" s="13">
        <f>SUMIFS('RETAIL SALES DATA.'!$F$2:$F$1001,'RETAIL SALES DATA.'!$B$2:$B$1001,Custom!A152)</f>
        <v>9</v>
      </c>
    </row>
    <row r="153" spans="1:4" x14ac:dyDescent="0.3">
      <c r="A153" s="13" t="str">
        <v>Michael Harding</v>
      </c>
      <c r="B153" s="13" t="str">
        <v>Michael Harding</v>
      </c>
      <c r="C153" s="42" t="str">
        <v>Michael Harding</v>
      </c>
      <c r="D153" s="13">
        <f>SUMIFS('RETAIL SALES DATA.'!$F$2:$F$1001,'RETAIL SALES DATA.'!$B$2:$B$1001,Custom!A153)</f>
        <v>18</v>
      </c>
    </row>
    <row r="154" spans="1:4" x14ac:dyDescent="0.3">
      <c r="A154" s="13" t="str">
        <v>Anthony Mcmahon</v>
      </c>
      <c r="B154" s="13" t="str">
        <v>Anthony Mcmahon</v>
      </c>
      <c r="C154" s="42" t="str">
        <v>Anthony Mcmahon</v>
      </c>
      <c r="D154" s="13">
        <f>SUMIFS('RETAIL SALES DATA.'!$F$2:$F$1001,'RETAIL SALES DATA.'!$B$2:$B$1001,Custom!A154)</f>
        <v>6</v>
      </c>
    </row>
    <row r="155" spans="1:4" x14ac:dyDescent="0.3">
      <c r="A155" s="13" t="str">
        <v>Janice Sullivan</v>
      </c>
      <c r="B155" s="13" t="str">
        <v>Janice Sullivan</v>
      </c>
      <c r="C155" s="42" t="str">
        <v>Janice Sullivan</v>
      </c>
      <c r="D155" s="13">
        <f>SUMIFS('RETAIL SALES DATA.'!$F$2:$F$1001,'RETAIL SALES DATA.'!$B$2:$B$1001,Custom!A155)</f>
        <v>2</v>
      </c>
    </row>
    <row r="156" spans="1:4" x14ac:dyDescent="0.3">
      <c r="A156" s="13" t="str">
        <v>Eric Hall</v>
      </c>
      <c r="B156" s="13" t="str">
        <v>Eric Hall</v>
      </c>
      <c r="C156" s="42" t="str">
        <v>Eric Hall</v>
      </c>
      <c r="D156" s="13">
        <f>SUMIFS('RETAIL SALES DATA.'!$F$2:$F$1001,'RETAIL SALES DATA.'!$B$2:$B$1001,Custom!A156)</f>
        <v>7</v>
      </c>
    </row>
    <row r="157" spans="1:4" x14ac:dyDescent="0.3">
      <c r="A157" s="13" t="str">
        <v>Megan Watson</v>
      </c>
      <c r="B157" s="13" t="str">
        <v>Megan Watson</v>
      </c>
      <c r="C157" s="42" t="str">
        <v>Megan Watson</v>
      </c>
      <c r="D157" s="13">
        <f>SUMIFS('RETAIL SALES DATA.'!$F$2:$F$1001,'RETAIL SALES DATA.'!$B$2:$B$1001,Custom!A157)</f>
        <v>12</v>
      </c>
    </row>
    <row r="158" spans="1:4" x14ac:dyDescent="0.3">
      <c r="A158" s="13" t="str">
        <v>Sherri Pena</v>
      </c>
      <c r="B158" s="13" t="str">
        <v>Sherri Pena</v>
      </c>
      <c r="C158" s="42" t="str">
        <v>Sherri Pena</v>
      </c>
      <c r="D158" s="13">
        <f>SUMIFS('RETAIL SALES DATA.'!$F$2:$F$1001,'RETAIL SALES DATA.'!$B$2:$B$1001,Custom!A158)</f>
        <v>10</v>
      </c>
    </row>
    <row r="159" spans="1:4" x14ac:dyDescent="0.3">
      <c r="A159" s="13" t="str">
        <v>Sandy Smith</v>
      </c>
      <c r="B159" s="13" t="str">
        <v>Sandy Smith</v>
      </c>
      <c r="C159" s="42" t="str">
        <v>Sandy Smith</v>
      </c>
      <c r="D159" s="13">
        <f>SUMIFS('RETAIL SALES DATA.'!$F$2:$F$1001,'RETAIL SALES DATA.'!$B$2:$B$1001,Custom!A159)</f>
        <v>19</v>
      </c>
    </row>
    <row r="160" spans="1:4" x14ac:dyDescent="0.3">
      <c r="A160" s="13" t="str">
        <v>Scott Todd</v>
      </c>
      <c r="B160" s="13" t="str">
        <v>Scott Todd</v>
      </c>
      <c r="C160" s="42" t="str">
        <v>Scott Todd</v>
      </c>
      <c r="D160" s="13">
        <f>SUMIFS('RETAIL SALES DATA.'!$F$2:$F$1001,'RETAIL SALES DATA.'!$B$2:$B$1001,Custom!A160)</f>
        <v>17</v>
      </c>
    </row>
    <row r="161" spans="1:4" x14ac:dyDescent="0.3">
      <c r="A161" s="13" t="str">
        <v>Angela Henderson</v>
      </c>
      <c r="B161" s="13" t="str">
        <v>Angela Henderson</v>
      </c>
      <c r="C161" s="42" t="str">
        <v>Angela Henderson</v>
      </c>
      <c r="D161" s="13">
        <f>SUMIFS('RETAIL SALES DATA.'!$F$2:$F$1001,'RETAIL SALES DATA.'!$B$2:$B$1001,Custom!A161)</f>
        <v>11</v>
      </c>
    </row>
    <row r="162" spans="1:4" x14ac:dyDescent="0.3">
      <c r="A162" s="13" t="str">
        <v>Blake Ayala</v>
      </c>
      <c r="B162" s="13" t="str">
        <v>Blake Ayala</v>
      </c>
      <c r="C162" s="42" t="str">
        <v>Blake Ayala</v>
      </c>
      <c r="D162" s="13">
        <f>SUMIFS('RETAIL SALES DATA.'!$F$2:$F$1001,'RETAIL SALES DATA.'!$B$2:$B$1001,Custom!A162)</f>
        <v>9</v>
      </c>
    </row>
    <row r="163" spans="1:4" x14ac:dyDescent="0.3">
      <c r="A163" s="13" t="str">
        <v>Troy Todd</v>
      </c>
      <c r="B163" s="13" t="str">
        <v>Troy Todd</v>
      </c>
      <c r="C163" s="42" t="str">
        <v>Troy Todd</v>
      </c>
      <c r="D163" s="13">
        <f>SUMIFS('RETAIL SALES DATA.'!$F$2:$F$1001,'RETAIL SALES DATA.'!$B$2:$B$1001,Custom!A163)</f>
        <v>9</v>
      </c>
    </row>
    <row r="164" spans="1:4" x14ac:dyDescent="0.3">
      <c r="A164" s="13" t="str">
        <v>Joseph Clark</v>
      </c>
      <c r="B164" s="13" t="str">
        <v>Joseph Clark</v>
      </c>
      <c r="C164" s="42" t="str">
        <v>Joseph Clark</v>
      </c>
      <c r="D164" s="13">
        <f>SUMIFS('RETAIL SALES DATA.'!$F$2:$F$1001,'RETAIL SALES DATA.'!$B$2:$B$1001,Custom!A164)</f>
        <v>3</v>
      </c>
    </row>
    <row r="165" spans="1:4" x14ac:dyDescent="0.3">
      <c r="A165" s="13" t="str">
        <v>Miranda Hill</v>
      </c>
      <c r="B165" s="13" t="str">
        <v>Miranda Hill</v>
      </c>
      <c r="C165" s="42" t="str">
        <v>Miranda Hill</v>
      </c>
      <c r="D165" s="13">
        <f>SUMIFS('RETAIL SALES DATA.'!$F$2:$F$1001,'RETAIL SALES DATA.'!$B$2:$B$1001,Custom!A165)</f>
        <v>5</v>
      </c>
    </row>
    <row r="166" spans="1:4" x14ac:dyDescent="0.3">
      <c r="A166" s="13" t="str">
        <v>Donald Harris</v>
      </c>
      <c r="B166" s="13" t="str">
        <v>Donald Harris</v>
      </c>
      <c r="C166" s="42" t="str">
        <v>Donald Harris</v>
      </c>
      <c r="D166" s="13">
        <f>SUMIFS('RETAIL SALES DATA.'!$F$2:$F$1001,'RETAIL SALES DATA.'!$B$2:$B$1001,Custom!A166)</f>
        <v>7</v>
      </c>
    </row>
    <row r="167" spans="1:4" x14ac:dyDescent="0.3">
      <c r="A167" s="13" t="str">
        <v>Joanna Woodward</v>
      </c>
      <c r="B167" s="13" t="str">
        <v>Joanna Woodward</v>
      </c>
      <c r="C167" s="42" t="str">
        <v>Joanna Woodward</v>
      </c>
      <c r="D167" s="13">
        <f>SUMIFS('RETAIL SALES DATA.'!$F$2:$F$1001,'RETAIL SALES DATA.'!$B$2:$B$1001,Custom!A167)</f>
        <v>11</v>
      </c>
    </row>
    <row r="168" spans="1:4" x14ac:dyDescent="0.3">
      <c r="A168" s="13" t="str">
        <v>Oscar Blake</v>
      </c>
      <c r="B168" s="13" t="str">
        <v>Oscar Blake</v>
      </c>
      <c r="C168" s="42" t="str">
        <v>Oscar Blake</v>
      </c>
      <c r="D168" s="13">
        <f>SUMIFS('RETAIL SALES DATA.'!$F$2:$F$1001,'RETAIL SALES DATA.'!$B$2:$B$1001,Custom!A168)</f>
        <v>15</v>
      </c>
    </row>
    <row r="169" spans="1:4" x14ac:dyDescent="0.3">
      <c r="A169" s="13" t="str">
        <v>Carl Torres</v>
      </c>
      <c r="B169" s="13" t="str">
        <v>Carl Torres</v>
      </c>
      <c r="C169" s="42" t="str">
        <v>Carl Torres</v>
      </c>
      <c r="D169" s="13">
        <f>SUMIFS('RETAIL SALES DATA.'!$F$2:$F$1001,'RETAIL SALES DATA.'!$B$2:$B$1001,Custom!A169)</f>
        <v>12</v>
      </c>
    </row>
    <row r="170" spans="1:4" x14ac:dyDescent="0.3">
      <c r="A170" s="13" t="str">
        <v>Danielle Rush</v>
      </c>
      <c r="B170" s="13" t="str">
        <v>Danielle Rush</v>
      </c>
      <c r="C170" s="42" t="str">
        <v>Danielle Rush</v>
      </c>
      <c r="D170" s="13">
        <f>SUMIFS('RETAIL SALES DATA.'!$F$2:$F$1001,'RETAIL SALES DATA.'!$B$2:$B$1001,Custom!A170)</f>
        <v>14</v>
      </c>
    </row>
    <row r="171" spans="1:4" x14ac:dyDescent="0.3">
      <c r="A171" s="13" t="str">
        <v>Jennifer Greene</v>
      </c>
      <c r="B171" s="13" t="str">
        <v>Jennifer Greene</v>
      </c>
      <c r="C171" s="42" t="str">
        <v>Jennifer Greene</v>
      </c>
      <c r="D171" s="13">
        <f>SUMIFS('RETAIL SALES DATA.'!$F$2:$F$1001,'RETAIL SALES DATA.'!$B$2:$B$1001,Custom!A171)</f>
        <v>7</v>
      </c>
    </row>
    <row r="172" spans="1:4" x14ac:dyDescent="0.3">
      <c r="A172" s="13" t="str">
        <v>John Campbell</v>
      </c>
      <c r="B172" s="13" t="str">
        <v>John Campbell</v>
      </c>
      <c r="C172" s="42" t="str">
        <v>John Campbell</v>
      </c>
      <c r="D172" s="13">
        <f>SUMIFS('RETAIL SALES DATA.'!$F$2:$F$1001,'RETAIL SALES DATA.'!$B$2:$B$1001,Custom!A172)</f>
        <v>5</v>
      </c>
    </row>
    <row r="173" spans="1:4" x14ac:dyDescent="0.3">
      <c r="A173" s="13" t="str">
        <v>Mr. Michael Wood</v>
      </c>
      <c r="B173" s="13" t="str">
        <v>Mr. Michael Wood</v>
      </c>
      <c r="C173" s="42" t="str">
        <v>Mr. Michael Wood</v>
      </c>
      <c r="D173" s="13">
        <f>SUMIFS('RETAIL SALES DATA.'!$F$2:$F$1001,'RETAIL SALES DATA.'!$B$2:$B$1001,Custom!A173)</f>
        <v>20</v>
      </c>
    </row>
    <row r="174" spans="1:4" x14ac:dyDescent="0.3">
      <c r="A174" s="13" t="str">
        <v>William Ellis</v>
      </c>
      <c r="B174" s="13" t="str">
        <v>William Ellis</v>
      </c>
      <c r="C174" s="42" t="str">
        <v>William Ellis</v>
      </c>
      <c r="D174" s="13">
        <f>SUMIFS('RETAIL SALES DATA.'!$F$2:$F$1001,'RETAIL SALES DATA.'!$B$2:$B$1001,Custom!A174)</f>
        <v>6</v>
      </c>
    </row>
    <row r="175" spans="1:4" x14ac:dyDescent="0.3">
      <c r="A175" s="13" t="str">
        <v>Kelly Smith</v>
      </c>
      <c r="B175" s="13" t="str">
        <v>Kelly Smith</v>
      </c>
      <c r="C175" s="42" t="str">
        <v>Kelly Smith</v>
      </c>
      <c r="D175" s="13">
        <f>SUMIFS('RETAIL SALES DATA.'!$F$2:$F$1001,'RETAIL SALES DATA.'!$B$2:$B$1001,Custom!A175)</f>
        <v>12</v>
      </c>
    </row>
    <row r="176" spans="1:4" x14ac:dyDescent="0.3">
      <c r="A176" s="13" t="str">
        <v>Jaime Bell</v>
      </c>
      <c r="B176" s="13" t="str">
        <v>Jaime Bell</v>
      </c>
      <c r="C176" s="42" t="str">
        <v>Jaime Bell</v>
      </c>
      <c r="D176" s="13">
        <f>SUMIFS('RETAIL SALES DATA.'!$F$2:$F$1001,'RETAIL SALES DATA.'!$B$2:$B$1001,Custom!A176)</f>
        <v>8</v>
      </c>
    </row>
    <row r="177" spans="1:4" x14ac:dyDescent="0.3">
      <c r="A177" s="13" t="str">
        <v>Victoria Williams</v>
      </c>
      <c r="B177" s="13" t="str">
        <v>Victoria Williams</v>
      </c>
      <c r="C177" s="42" t="str">
        <v>Victoria Williams</v>
      </c>
      <c r="D177" s="13">
        <f>SUMIFS('RETAIL SALES DATA.'!$F$2:$F$1001,'RETAIL SALES DATA.'!$B$2:$B$1001,Custom!A177)</f>
        <v>6</v>
      </c>
    </row>
    <row r="178" spans="1:4" x14ac:dyDescent="0.3">
      <c r="A178" s="13" t="str">
        <v>Bradley Hale</v>
      </c>
      <c r="B178" s="13" t="str">
        <v>Bradley Hale</v>
      </c>
      <c r="C178" s="42" t="str">
        <v>Bradley Hale</v>
      </c>
      <c r="D178" s="13">
        <f>SUMIFS('RETAIL SALES DATA.'!$F$2:$F$1001,'RETAIL SALES DATA.'!$B$2:$B$1001,Custom!A178)</f>
        <v>12</v>
      </c>
    </row>
    <row r="179" spans="1:4" x14ac:dyDescent="0.3">
      <c r="A179" s="13" t="str">
        <v>Mr. Anthony Cunningham</v>
      </c>
      <c r="B179" s="13" t="str">
        <v>Mr. Anthony Cunningham</v>
      </c>
      <c r="C179" s="42" t="str">
        <v>Mr. Anthony Cunningham</v>
      </c>
      <c r="D179" s="13">
        <f>SUMIFS('RETAIL SALES DATA.'!$F$2:$F$1001,'RETAIL SALES DATA.'!$B$2:$B$1001,Custom!A179)</f>
        <v>4</v>
      </c>
    </row>
    <row r="180" spans="1:4" x14ac:dyDescent="0.3">
      <c r="A180" s="13" t="str">
        <v>Mark Ingram</v>
      </c>
      <c r="B180" s="13" t="str">
        <v>Mark Ingram</v>
      </c>
      <c r="C180" s="42" t="str">
        <v>Mark Ingram</v>
      </c>
      <c r="D180" s="13">
        <f>SUMIFS('RETAIL SALES DATA.'!$F$2:$F$1001,'RETAIL SALES DATA.'!$B$2:$B$1001,Custom!A180)</f>
        <v>19</v>
      </c>
    </row>
    <row r="181" spans="1:4" x14ac:dyDescent="0.3">
      <c r="A181" s="13" t="str">
        <v>Jose Green</v>
      </c>
      <c r="B181" s="13" t="str">
        <v>Jose Green</v>
      </c>
      <c r="C181" s="42" t="str">
        <v>Jose Green</v>
      </c>
      <c r="D181" s="13">
        <f>SUMIFS('RETAIL SALES DATA.'!$F$2:$F$1001,'RETAIL SALES DATA.'!$B$2:$B$1001,Custom!A181)</f>
        <v>1</v>
      </c>
    </row>
    <row r="182" spans="1:4" x14ac:dyDescent="0.3">
      <c r="A182" s="13" t="str">
        <v>Craig Garcia</v>
      </c>
      <c r="B182" s="13" t="str">
        <v>Craig Garcia</v>
      </c>
      <c r="C182" s="42" t="str">
        <v>Craig Garcia</v>
      </c>
      <c r="D182" s="13">
        <f>SUMIFS('RETAIL SALES DATA.'!$F$2:$F$1001,'RETAIL SALES DATA.'!$B$2:$B$1001,Custom!A182)</f>
        <v>15</v>
      </c>
    </row>
    <row r="183" spans="1:4" x14ac:dyDescent="0.3">
      <c r="A183" s="13" t="str">
        <v>Tamara Love</v>
      </c>
      <c r="B183" s="13" t="str">
        <v>Tamara Love</v>
      </c>
      <c r="C183" s="42" t="str">
        <v>Tamara Love</v>
      </c>
      <c r="D183" s="13">
        <f>SUMIFS('RETAIL SALES DATA.'!$F$2:$F$1001,'RETAIL SALES DATA.'!$B$2:$B$1001,Custom!A183)</f>
        <v>10</v>
      </c>
    </row>
    <row r="184" spans="1:4" x14ac:dyDescent="0.3">
      <c r="A184" s="13" t="str">
        <v>Julie Dodson</v>
      </c>
      <c r="B184" s="13" t="str">
        <v>Julie Dodson</v>
      </c>
      <c r="C184" s="42" t="str">
        <v>Julie Dodson</v>
      </c>
      <c r="D184" s="13">
        <f>SUMIFS('RETAIL SALES DATA.'!$F$2:$F$1001,'RETAIL SALES DATA.'!$B$2:$B$1001,Custom!A184)</f>
        <v>17</v>
      </c>
    </row>
    <row r="185" spans="1:4" x14ac:dyDescent="0.3">
      <c r="A185" s="13" t="str">
        <v>Annette Ponce</v>
      </c>
      <c r="B185" s="13" t="str">
        <v>Annette Ponce</v>
      </c>
      <c r="C185" s="42" t="str">
        <v>Annette Ponce</v>
      </c>
      <c r="D185" s="13">
        <f>SUMIFS('RETAIL SALES DATA.'!$F$2:$F$1001,'RETAIL SALES DATA.'!$B$2:$B$1001,Custom!A185)</f>
        <v>9</v>
      </c>
    </row>
    <row r="186" spans="1:4" x14ac:dyDescent="0.3">
      <c r="A186" s="13" t="str">
        <v>Shirley May</v>
      </c>
      <c r="B186" s="13" t="str">
        <v>Shirley May</v>
      </c>
      <c r="C186" s="42" t="str">
        <v>Shirley May</v>
      </c>
      <c r="D186" s="13">
        <f>SUMIFS('RETAIL SALES DATA.'!$F$2:$F$1001,'RETAIL SALES DATA.'!$B$2:$B$1001,Custom!A186)</f>
        <v>2</v>
      </c>
    </row>
    <row r="187" spans="1:4" x14ac:dyDescent="0.3">
      <c r="A187" s="13" t="str">
        <v>Samuel Baker</v>
      </c>
      <c r="B187" s="13" t="str">
        <v>Samuel Baker</v>
      </c>
      <c r="C187" s="42" t="str">
        <v>Samuel Baker</v>
      </c>
      <c r="D187" s="13">
        <f>SUMIFS('RETAIL SALES DATA.'!$F$2:$F$1001,'RETAIL SALES DATA.'!$B$2:$B$1001,Custom!A187)</f>
        <v>10</v>
      </c>
    </row>
    <row r="188" spans="1:4" x14ac:dyDescent="0.3">
      <c r="A188" s="13" t="str">
        <v>Andrea Lee</v>
      </c>
      <c r="B188" s="13" t="str">
        <v>Andrea Lee</v>
      </c>
      <c r="C188" s="42" t="str">
        <v>Andrea Lee</v>
      </c>
      <c r="D188" s="13">
        <f>SUMIFS('RETAIL SALES DATA.'!$F$2:$F$1001,'RETAIL SALES DATA.'!$B$2:$B$1001,Custom!A188)</f>
        <v>14</v>
      </c>
    </row>
    <row r="189" spans="1:4" x14ac:dyDescent="0.3">
      <c r="A189" s="13" t="str">
        <v>Russell Ramirez</v>
      </c>
      <c r="B189" s="13" t="str">
        <v>Russell Ramirez</v>
      </c>
      <c r="C189" s="42" t="str">
        <v>Russell Ramirez</v>
      </c>
      <c r="D189" s="13">
        <f>SUMIFS('RETAIL SALES DATA.'!$F$2:$F$1001,'RETAIL SALES DATA.'!$B$2:$B$1001,Custom!A189)</f>
        <v>7</v>
      </c>
    </row>
    <row r="190" spans="1:4" x14ac:dyDescent="0.3">
      <c r="A190" s="13" t="str">
        <v>Gary Weber</v>
      </c>
      <c r="B190" s="13" t="str">
        <v>Gary Weber</v>
      </c>
      <c r="C190" s="42" t="str">
        <v>Gary Weber</v>
      </c>
      <c r="D190" s="13">
        <f>SUMIFS('RETAIL SALES DATA.'!$F$2:$F$1001,'RETAIL SALES DATA.'!$B$2:$B$1001,Custom!A190)</f>
        <v>15</v>
      </c>
    </row>
    <row r="191" spans="1:4" x14ac:dyDescent="0.3">
      <c r="A191" s="13" t="str">
        <v>Patricia Baxter</v>
      </c>
      <c r="B191" s="13" t="str">
        <v>Patricia Baxter</v>
      </c>
      <c r="C191" s="42" t="str">
        <v>Patricia Baxter</v>
      </c>
      <c r="D191" s="13">
        <f>SUMIFS('RETAIL SALES DATA.'!$F$2:$F$1001,'RETAIL SALES DATA.'!$B$2:$B$1001,Custom!A191)</f>
        <v>6</v>
      </c>
    </row>
    <row r="192" spans="1:4" x14ac:dyDescent="0.3">
      <c r="A192" s="13" t="str">
        <v>Tyler Martinez</v>
      </c>
      <c r="B192" s="13" t="str">
        <v>Tyler Martinez</v>
      </c>
      <c r="C192" s="42" t="str">
        <v>Tyler Martinez</v>
      </c>
      <c r="D192" s="13">
        <f>SUMIFS('RETAIL SALES DATA.'!$F$2:$F$1001,'RETAIL SALES DATA.'!$B$2:$B$1001,Custom!A192)</f>
        <v>9</v>
      </c>
    </row>
    <row r="193" spans="1:4" x14ac:dyDescent="0.3">
      <c r="A193" s="13" t="str">
        <v>Brian Bauer</v>
      </c>
      <c r="B193" s="13" t="str">
        <v>Brian Bauer</v>
      </c>
      <c r="C193" s="42" t="str">
        <v>Brian Bauer</v>
      </c>
      <c r="D193" s="13">
        <f>SUMIFS('RETAIL SALES DATA.'!$F$2:$F$1001,'RETAIL SALES DATA.'!$B$2:$B$1001,Custom!A193)</f>
        <v>5</v>
      </c>
    </row>
    <row r="194" spans="1:4" x14ac:dyDescent="0.3">
      <c r="A194" s="13" t="str">
        <v>Ian Hines</v>
      </c>
      <c r="B194" s="13" t="str">
        <v>Ian Hines</v>
      </c>
      <c r="C194" s="42" t="str">
        <v>Ian Hines</v>
      </c>
      <c r="D194" s="13">
        <f>SUMIFS('RETAIL SALES DATA.'!$F$2:$F$1001,'RETAIL SALES DATA.'!$B$2:$B$1001,Custom!A194)</f>
        <v>15</v>
      </c>
    </row>
    <row r="195" spans="1:4" x14ac:dyDescent="0.3">
      <c r="A195" s="13" t="str">
        <v>Leah Wallace</v>
      </c>
      <c r="B195" s="13" t="str">
        <v>Leah Wallace</v>
      </c>
      <c r="C195" s="42" t="str">
        <v>Leah Wallace</v>
      </c>
      <c r="D195" s="13">
        <f>SUMIFS('RETAIL SALES DATA.'!$F$2:$F$1001,'RETAIL SALES DATA.'!$B$2:$B$1001,Custom!A195)</f>
        <v>20</v>
      </c>
    </row>
    <row r="196" spans="1:4" x14ac:dyDescent="0.3">
      <c r="A196" s="13" t="str">
        <v>Kaitlin Rose</v>
      </c>
      <c r="B196" s="13" t="str">
        <v>Kaitlin Rose</v>
      </c>
      <c r="C196" s="42" t="str">
        <v>Kaitlin Rose</v>
      </c>
      <c r="D196" s="13">
        <f>SUMIFS('RETAIL SALES DATA.'!$F$2:$F$1001,'RETAIL SALES DATA.'!$B$2:$B$1001,Custom!A196)</f>
        <v>20</v>
      </c>
    </row>
    <row r="197" spans="1:4" x14ac:dyDescent="0.3">
      <c r="A197" s="13" t="str">
        <v>Karen Wells</v>
      </c>
      <c r="B197" s="13" t="str">
        <v>Karen Wells</v>
      </c>
      <c r="C197" s="42" t="str">
        <v>Karen Wells</v>
      </c>
      <c r="D197" s="13">
        <f>SUMIFS('RETAIL SALES DATA.'!$F$2:$F$1001,'RETAIL SALES DATA.'!$B$2:$B$1001,Custom!A197)</f>
        <v>7</v>
      </c>
    </row>
    <row r="198" spans="1:4" x14ac:dyDescent="0.3">
      <c r="A198" s="13" t="str">
        <v>Adam Romero</v>
      </c>
      <c r="B198" s="13" t="str">
        <v>Adam Romero</v>
      </c>
      <c r="C198" s="42" t="str">
        <v>Adam Romero</v>
      </c>
      <c r="D198" s="13">
        <f>SUMIFS('RETAIL SALES DATA.'!$F$2:$F$1001,'RETAIL SALES DATA.'!$B$2:$B$1001,Custom!A198)</f>
        <v>13</v>
      </c>
    </row>
    <row r="199" spans="1:4" x14ac:dyDescent="0.3">
      <c r="A199" s="13" t="str">
        <v>Brooke Dyer</v>
      </c>
      <c r="B199" s="13" t="str">
        <v>Brooke Dyer</v>
      </c>
      <c r="C199" s="42" t="str">
        <v>Brooke Dyer</v>
      </c>
      <c r="D199" s="13">
        <f>SUMIFS('RETAIL SALES DATA.'!$F$2:$F$1001,'RETAIL SALES DATA.'!$B$2:$B$1001,Custom!A199)</f>
        <v>1</v>
      </c>
    </row>
    <row r="200" spans="1:4" x14ac:dyDescent="0.3">
      <c r="A200" s="13" t="str">
        <v>Jessica Wells</v>
      </c>
      <c r="B200" s="13" t="str">
        <v>Jessica Wells</v>
      </c>
      <c r="C200" s="42" t="str">
        <v>Jessica Wells</v>
      </c>
      <c r="D200" s="13">
        <f>SUMIFS('RETAIL SALES DATA.'!$F$2:$F$1001,'RETAIL SALES DATA.'!$B$2:$B$1001,Custom!A200)</f>
        <v>18</v>
      </c>
    </row>
    <row r="201" spans="1:4" x14ac:dyDescent="0.3">
      <c r="A201" s="13" t="str">
        <v>Tyler Williams</v>
      </c>
      <c r="B201" s="13" t="str">
        <v>Tyler Williams</v>
      </c>
      <c r="C201" s="42" t="str">
        <v>Tyler Williams</v>
      </c>
      <c r="D201" s="13">
        <f>SUMIFS('RETAIL SALES DATA.'!$F$2:$F$1001,'RETAIL SALES DATA.'!$B$2:$B$1001,Custom!A201)</f>
        <v>28</v>
      </c>
    </row>
    <row r="202" spans="1:4" x14ac:dyDescent="0.3">
      <c r="A202" s="13" t="str">
        <v>Franklin Stevens</v>
      </c>
      <c r="B202" s="13" t="str">
        <v>Franklin Stevens</v>
      </c>
      <c r="C202" s="42" t="str">
        <v>Franklin Stevens</v>
      </c>
      <c r="D202" s="13">
        <f>SUMIFS('RETAIL SALES DATA.'!$F$2:$F$1001,'RETAIL SALES DATA.'!$B$2:$B$1001,Custom!A202)</f>
        <v>6</v>
      </c>
    </row>
    <row r="203" spans="1:4" x14ac:dyDescent="0.3">
      <c r="A203" s="13" t="str">
        <v>Mr. Joe Ramirez</v>
      </c>
      <c r="B203" s="13" t="str">
        <v>Mr. Joe Ramirez</v>
      </c>
      <c r="C203" s="42" t="str">
        <v>Mr. Joe Ramirez</v>
      </c>
      <c r="D203" s="13">
        <f>SUMIFS('RETAIL SALES DATA.'!$F$2:$F$1001,'RETAIL SALES DATA.'!$B$2:$B$1001,Custom!A203)</f>
        <v>11</v>
      </c>
    </row>
    <row r="204" spans="1:4" x14ac:dyDescent="0.3">
      <c r="A204" s="13" t="str">
        <v>Christopher Ford</v>
      </c>
      <c r="B204" s="13" t="str">
        <v>Christopher Ford</v>
      </c>
      <c r="C204" s="42" t="str">
        <v>Christopher Ford</v>
      </c>
      <c r="D204" s="13">
        <f>SUMIFS('RETAIL SALES DATA.'!$F$2:$F$1001,'RETAIL SALES DATA.'!$B$2:$B$1001,Custom!A204)</f>
        <v>3</v>
      </c>
    </row>
    <row r="205" spans="1:4" x14ac:dyDescent="0.3">
      <c r="A205" s="13" t="str">
        <v>Sharon Smith</v>
      </c>
      <c r="B205" s="13" t="str">
        <v>Sharon Smith</v>
      </c>
      <c r="C205" s="42" t="str">
        <v>Sharon Smith</v>
      </c>
      <c r="D205" s="13">
        <f>SUMIFS('RETAIL SALES DATA.'!$F$2:$F$1001,'RETAIL SALES DATA.'!$B$2:$B$1001,Custom!A205)</f>
        <v>2</v>
      </c>
    </row>
    <row r="206" spans="1:4" x14ac:dyDescent="0.3">
      <c r="A206" s="13" t="str">
        <v>Michelle Estrada</v>
      </c>
      <c r="B206" s="13" t="str">
        <v>Michelle Estrada</v>
      </c>
      <c r="C206" s="42" t="str">
        <v>Michelle Estrada</v>
      </c>
      <c r="D206" s="13">
        <f>SUMIFS('RETAIL SALES DATA.'!$F$2:$F$1001,'RETAIL SALES DATA.'!$B$2:$B$1001,Custom!A206)</f>
        <v>1</v>
      </c>
    </row>
    <row r="207" spans="1:4" x14ac:dyDescent="0.3">
      <c r="A207" s="13" t="str">
        <v>Danielle Mcdonald</v>
      </c>
      <c r="B207" s="13" t="str">
        <v>Danielle Mcdonald</v>
      </c>
      <c r="C207" s="42" t="str">
        <v>Danielle Mcdonald</v>
      </c>
      <c r="D207" s="13">
        <f>SUMIFS('RETAIL SALES DATA.'!$F$2:$F$1001,'RETAIL SALES DATA.'!$B$2:$B$1001,Custom!A207)</f>
        <v>4</v>
      </c>
    </row>
    <row r="208" spans="1:4" x14ac:dyDescent="0.3">
      <c r="A208" s="13" t="str">
        <v>Steven Mccarthy</v>
      </c>
      <c r="B208" s="13" t="str">
        <v>Steven Mccarthy</v>
      </c>
      <c r="C208" s="42" t="str">
        <v>Steven Mccarthy</v>
      </c>
      <c r="D208" s="13">
        <f>SUMIFS('RETAIL SALES DATA.'!$F$2:$F$1001,'RETAIL SALES DATA.'!$B$2:$B$1001,Custom!A208)</f>
        <v>18</v>
      </c>
    </row>
    <row r="209" spans="1:4" x14ac:dyDescent="0.3">
      <c r="A209" s="13" t="str">
        <v>Joshua Diaz</v>
      </c>
      <c r="B209" s="13" t="str">
        <v>Joshua Diaz</v>
      </c>
      <c r="C209" s="42" t="str">
        <v>Joshua Diaz</v>
      </c>
      <c r="D209" s="13">
        <f>SUMIFS('RETAIL SALES DATA.'!$F$2:$F$1001,'RETAIL SALES DATA.'!$B$2:$B$1001,Custom!A209)</f>
        <v>11</v>
      </c>
    </row>
    <row r="210" spans="1:4" x14ac:dyDescent="0.3">
      <c r="A210" s="13" t="str">
        <v>Karen Clark</v>
      </c>
      <c r="B210" s="13" t="str">
        <v>Karen Clark</v>
      </c>
      <c r="C210" s="42" t="str">
        <v>Karen Clark</v>
      </c>
      <c r="D210" s="13">
        <f>SUMIFS('RETAIL SALES DATA.'!$F$2:$F$1001,'RETAIL SALES DATA.'!$B$2:$B$1001,Custom!A210)</f>
        <v>14</v>
      </c>
    </row>
    <row r="211" spans="1:4" x14ac:dyDescent="0.3">
      <c r="A211" s="13" t="str">
        <v>Sherry Mann</v>
      </c>
      <c r="B211" s="13" t="str">
        <v>Sherry Mann</v>
      </c>
      <c r="C211" s="42" t="str">
        <v>Sherry Mann</v>
      </c>
      <c r="D211" s="13">
        <f>SUMIFS('RETAIL SALES DATA.'!$F$2:$F$1001,'RETAIL SALES DATA.'!$B$2:$B$1001,Custom!A211)</f>
        <v>8</v>
      </c>
    </row>
    <row r="212" spans="1:4" x14ac:dyDescent="0.3">
      <c r="A212" s="13" t="str">
        <v>Terri Baker</v>
      </c>
      <c r="B212" s="13" t="str">
        <v>Terri Baker</v>
      </c>
      <c r="C212" s="42" t="str">
        <v>Terri Baker</v>
      </c>
      <c r="D212" s="13">
        <f>SUMIFS('RETAIL SALES DATA.'!$F$2:$F$1001,'RETAIL SALES DATA.'!$B$2:$B$1001,Custom!A212)</f>
        <v>2</v>
      </c>
    </row>
    <row r="213" spans="1:4" x14ac:dyDescent="0.3">
      <c r="A213" s="13" t="str">
        <v>Ruben King</v>
      </c>
      <c r="B213" s="13" t="str">
        <v>Ruben King</v>
      </c>
      <c r="C213" s="42" t="str">
        <v>Ruben King</v>
      </c>
      <c r="D213" s="13">
        <f>SUMIFS('RETAIL SALES DATA.'!$F$2:$F$1001,'RETAIL SALES DATA.'!$B$2:$B$1001,Custom!A213)</f>
        <v>7</v>
      </c>
    </row>
    <row r="214" spans="1:4" x14ac:dyDescent="0.3">
      <c r="A214" s="13" t="str">
        <v>Ruth Bell</v>
      </c>
      <c r="B214" s="13" t="str">
        <v>Ruth Bell</v>
      </c>
      <c r="C214" s="42" t="str">
        <v>Ruth Bell</v>
      </c>
      <c r="D214" s="13">
        <f>SUMIFS('RETAIL SALES DATA.'!$F$2:$F$1001,'RETAIL SALES DATA.'!$B$2:$B$1001,Custom!A214)</f>
        <v>15</v>
      </c>
    </row>
    <row r="215" spans="1:4" x14ac:dyDescent="0.3">
      <c r="A215" s="13" t="str">
        <v>Javier Jones</v>
      </c>
      <c r="B215" s="13" t="str">
        <v>Javier Jones</v>
      </c>
      <c r="C215" s="42" t="str">
        <v>Javier Jones</v>
      </c>
      <c r="D215" s="13">
        <f>SUMIFS('RETAIL SALES DATA.'!$F$2:$F$1001,'RETAIL SALES DATA.'!$B$2:$B$1001,Custom!A215)</f>
        <v>2</v>
      </c>
    </row>
    <row r="216" spans="1:4" x14ac:dyDescent="0.3">
      <c r="A216" s="13" t="str">
        <v>Joseph Brown</v>
      </c>
      <c r="B216" s="13" t="str">
        <v>Joseph Brown</v>
      </c>
      <c r="C216" s="42" t="str">
        <v>Joseph Brown</v>
      </c>
      <c r="D216" s="13">
        <f>SUMIFS('RETAIL SALES DATA.'!$F$2:$F$1001,'RETAIL SALES DATA.'!$B$2:$B$1001,Custom!A216)</f>
        <v>5</v>
      </c>
    </row>
    <row r="217" spans="1:4" x14ac:dyDescent="0.3">
      <c r="A217" s="13" t="str">
        <v>Victor Phillips</v>
      </c>
      <c r="B217" s="13" t="str">
        <v>Victor Phillips</v>
      </c>
      <c r="C217" s="42" t="str">
        <v>Victor Phillips</v>
      </c>
      <c r="D217" s="13">
        <f>SUMIFS('RETAIL SALES DATA.'!$F$2:$F$1001,'RETAIL SALES DATA.'!$B$2:$B$1001,Custom!A217)</f>
        <v>2</v>
      </c>
    </row>
    <row r="218" spans="1:4" x14ac:dyDescent="0.3">
      <c r="A218" s="13" t="str">
        <v>Gabrielle Huynh</v>
      </c>
      <c r="B218" s="13" t="str">
        <v>Gabrielle Huynh</v>
      </c>
      <c r="C218" s="42" t="str">
        <v>Gabrielle Huynh</v>
      </c>
      <c r="D218" s="13">
        <f>SUMIFS('RETAIL SALES DATA.'!$F$2:$F$1001,'RETAIL SALES DATA.'!$B$2:$B$1001,Custom!A218)</f>
        <v>15</v>
      </c>
    </row>
    <row r="219" spans="1:4" x14ac:dyDescent="0.3">
      <c r="A219" s="13" t="str">
        <v>Alison Mitchell</v>
      </c>
      <c r="B219" s="13" t="str">
        <v>Alison Mitchell</v>
      </c>
      <c r="C219" s="42" t="str">
        <v>Alison Mitchell</v>
      </c>
      <c r="D219" s="13">
        <f>SUMIFS('RETAIL SALES DATA.'!$F$2:$F$1001,'RETAIL SALES DATA.'!$B$2:$B$1001,Custom!A219)</f>
        <v>13</v>
      </c>
    </row>
    <row r="220" spans="1:4" x14ac:dyDescent="0.3">
      <c r="A220" s="13" t="str">
        <v>Andrea Reynolds</v>
      </c>
      <c r="B220" s="13" t="str">
        <v>Andrea Reynolds</v>
      </c>
      <c r="C220" s="42" t="str">
        <v>Andrea Reynolds</v>
      </c>
      <c r="D220" s="13">
        <f>SUMIFS('RETAIL SALES DATA.'!$F$2:$F$1001,'RETAIL SALES DATA.'!$B$2:$B$1001,Custom!A220)</f>
        <v>18</v>
      </c>
    </row>
    <row r="221" spans="1:4" x14ac:dyDescent="0.3">
      <c r="A221" s="13" t="str">
        <v>Julie Schmidt</v>
      </c>
      <c r="B221" s="13" t="str">
        <v>Julie Schmidt</v>
      </c>
      <c r="C221" s="42" t="str">
        <v>Julie Schmidt</v>
      </c>
      <c r="D221" s="13">
        <f>SUMIFS('RETAIL SALES DATA.'!$F$2:$F$1001,'RETAIL SALES DATA.'!$B$2:$B$1001,Custom!A221)</f>
        <v>13</v>
      </c>
    </row>
    <row r="222" spans="1:4" x14ac:dyDescent="0.3">
      <c r="A222" s="13" t="str">
        <v>Erin May</v>
      </c>
      <c r="B222" s="13" t="str">
        <v>Erin May</v>
      </c>
      <c r="C222" s="42" t="str">
        <v>Erin May</v>
      </c>
      <c r="D222" s="13">
        <f>SUMIFS('RETAIL SALES DATA.'!$F$2:$F$1001,'RETAIL SALES DATA.'!$B$2:$B$1001,Custom!A222)</f>
        <v>14</v>
      </c>
    </row>
    <row r="223" spans="1:4" x14ac:dyDescent="0.3">
      <c r="A223" s="13" t="str">
        <v>Eric Gibson</v>
      </c>
      <c r="B223" s="13" t="str">
        <v>Eric Gibson</v>
      </c>
      <c r="C223" s="42" t="str">
        <v>Eric Gibson</v>
      </c>
      <c r="D223" s="13">
        <f>SUMIFS('RETAIL SALES DATA.'!$F$2:$F$1001,'RETAIL SALES DATA.'!$B$2:$B$1001,Custom!A223)</f>
        <v>18</v>
      </c>
    </row>
    <row r="224" spans="1:4" x14ac:dyDescent="0.3">
      <c r="A224" s="13" t="str">
        <v>John Lewis</v>
      </c>
      <c r="B224" s="13" t="str">
        <v>John Lewis</v>
      </c>
      <c r="C224" s="42" t="str">
        <v>John Lewis</v>
      </c>
      <c r="D224" s="13">
        <f>SUMIFS('RETAIL SALES DATA.'!$F$2:$F$1001,'RETAIL SALES DATA.'!$B$2:$B$1001,Custom!A224)</f>
        <v>5</v>
      </c>
    </row>
    <row r="225" spans="1:4" x14ac:dyDescent="0.3">
      <c r="A225" s="13" t="str">
        <v>Lisa Lucas</v>
      </c>
      <c r="B225" s="13" t="str">
        <v>Lisa Lucas</v>
      </c>
      <c r="C225" s="42" t="str">
        <v>Lisa Lucas</v>
      </c>
      <c r="D225" s="13">
        <f>SUMIFS('RETAIL SALES DATA.'!$F$2:$F$1001,'RETAIL SALES DATA.'!$B$2:$B$1001,Custom!A225)</f>
        <v>9</v>
      </c>
    </row>
    <row r="226" spans="1:4" x14ac:dyDescent="0.3">
      <c r="A226" s="13" t="str">
        <v>Melissa Adams</v>
      </c>
      <c r="B226" s="13" t="str">
        <v>Melissa Adams</v>
      </c>
      <c r="C226" s="42" t="str">
        <v>Melissa Adams</v>
      </c>
      <c r="D226" s="13">
        <f>SUMIFS('RETAIL SALES DATA.'!$F$2:$F$1001,'RETAIL SALES DATA.'!$B$2:$B$1001,Custom!A226)</f>
        <v>13</v>
      </c>
    </row>
    <row r="227" spans="1:4" x14ac:dyDescent="0.3">
      <c r="A227" s="13" t="str">
        <v>David Calhoun</v>
      </c>
      <c r="B227" s="13" t="str">
        <v>David Calhoun</v>
      </c>
      <c r="C227" s="42" t="str">
        <v>David Calhoun</v>
      </c>
      <c r="D227" s="13">
        <f>SUMIFS('RETAIL SALES DATA.'!$F$2:$F$1001,'RETAIL SALES DATA.'!$B$2:$B$1001,Custom!A227)</f>
        <v>12</v>
      </c>
    </row>
    <row r="228" spans="1:4" x14ac:dyDescent="0.3">
      <c r="A228" s="13" t="str">
        <v>Ashlee Richardson</v>
      </c>
      <c r="B228" s="13" t="str">
        <v>Ashlee Richardson</v>
      </c>
      <c r="C228" s="42" t="str">
        <v>Ashlee Richardson</v>
      </c>
      <c r="D228" s="13">
        <f>SUMIFS('RETAIL SALES DATA.'!$F$2:$F$1001,'RETAIL SALES DATA.'!$B$2:$B$1001,Custom!A228)</f>
        <v>14</v>
      </c>
    </row>
    <row r="229" spans="1:4" x14ac:dyDescent="0.3">
      <c r="A229" s="13" t="str">
        <v>Heather Cox</v>
      </c>
      <c r="B229" s="13" t="str">
        <v>Heather Cox</v>
      </c>
      <c r="C229" s="42" t="str">
        <v>Heather Cox</v>
      </c>
      <c r="D229" s="13">
        <f>SUMIFS('RETAIL SALES DATA.'!$F$2:$F$1001,'RETAIL SALES DATA.'!$B$2:$B$1001,Custom!A229)</f>
        <v>7</v>
      </c>
    </row>
    <row r="230" spans="1:4" x14ac:dyDescent="0.3">
      <c r="A230" s="13" t="str">
        <v>Christy Thompson</v>
      </c>
      <c r="B230" s="13" t="str">
        <v>Christy Thompson</v>
      </c>
      <c r="C230" s="42" t="str">
        <v>Christy Thompson</v>
      </c>
      <c r="D230" s="13">
        <f>SUMIFS('RETAIL SALES DATA.'!$F$2:$F$1001,'RETAIL SALES DATA.'!$B$2:$B$1001,Custom!A230)</f>
        <v>19</v>
      </c>
    </row>
    <row r="231" spans="1:4" x14ac:dyDescent="0.3">
      <c r="A231" s="13" t="str">
        <v>Antonio Clark</v>
      </c>
      <c r="B231" s="13" t="str">
        <v>Antonio Clark</v>
      </c>
      <c r="C231" s="42" t="str">
        <v>Antonio Clark</v>
      </c>
      <c r="D231" s="13">
        <f>SUMIFS('RETAIL SALES DATA.'!$F$2:$F$1001,'RETAIL SALES DATA.'!$B$2:$B$1001,Custom!A231)</f>
        <v>17</v>
      </c>
    </row>
    <row r="232" spans="1:4" x14ac:dyDescent="0.3">
      <c r="A232" s="13" t="str">
        <v>Christopher Sandoval</v>
      </c>
      <c r="B232" s="13" t="str">
        <v>Christopher Sandoval</v>
      </c>
      <c r="C232" s="42" t="str">
        <v>Christopher Sandoval</v>
      </c>
      <c r="D232" s="13">
        <f>SUMIFS('RETAIL SALES DATA.'!$F$2:$F$1001,'RETAIL SALES DATA.'!$B$2:$B$1001,Custom!A232)</f>
        <v>18</v>
      </c>
    </row>
    <row r="233" spans="1:4" x14ac:dyDescent="0.3">
      <c r="A233" s="13" t="str">
        <v>Heather Charles</v>
      </c>
      <c r="B233" s="13" t="str">
        <v>Heather Charles</v>
      </c>
      <c r="C233" s="42" t="str">
        <v>Heather Charles</v>
      </c>
      <c r="D233" s="13">
        <f>SUMIFS('RETAIL SALES DATA.'!$F$2:$F$1001,'RETAIL SALES DATA.'!$B$2:$B$1001,Custom!A233)</f>
        <v>18</v>
      </c>
    </row>
    <row r="234" spans="1:4" x14ac:dyDescent="0.3">
      <c r="A234" s="13" t="str">
        <v>Dustin Cole</v>
      </c>
      <c r="B234" s="13" t="str">
        <v>Dustin Cole</v>
      </c>
      <c r="C234" s="42" t="str">
        <v>Dustin Cole</v>
      </c>
      <c r="D234" s="13">
        <f>SUMIFS('RETAIL SALES DATA.'!$F$2:$F$1001,'RETAIL SALES DATA.'!$B$2:$B$1001,Custom!A234)</f>
        <v>8</v>
      </c>
    </row>
    <row r="235" spans="1:4" x14ac:dyDescent="0.3">
      <c r="A235" s="13" t="str">
        <v>Jeff Ross</v>
      </c>
      <c r="B235" s="13" t="str">
        <v>Jeff Ross</v>
      </c>
      <c r="C235" s="42" t="str">
        <v>Jeff Ross</v>
      </c>
      <c r="D235" s="13">
        <f>SUMIFS('RETAIL SALES DATA.'!$F$2:$F$1001,'RETAIL SALES DATA.'!$B$2:$B$1001,Custom!A235)</f>
        <v>19</v>
      </c>
    </row>
    <row r="236" spans="1:4" x14ac:dyDescent="0.3">
      <c r="A236" s="13" t="str">
        <v>Justin Montgomery</v>
      </c>
      <c r="B236" s="13" t="str">
        <v>Justin Montgomery</v>
      </c>
      <c r="C236" s="42" t="str">
        <v>Justin Montgomery</v>
      </c>
      <c r="D236" s="13">
        <f>SUMIFS('RETAIL SALES DATA.'!$F$2:$F$1001,'RETAIL SALES DATA.'!$B$2:$B$1001,Custom!A236)</f>
        <v>13</v>
      </c>
    </row>
    <row r="237" spans="1:4" x14ac:dyDescent="0.3">
      <c r="A237" s="13" t="str">
        <v>David Webster</v>
      </c>
      <c r="B237" s="13" t="str">
        <v>David Webster</v>
      </c>
      <c r="C237" s="42" t="str">
        <v>David Webster</v>
      </c>
      <c r="D237" s="13">
        <f>SUMIFS('RETAIL SALES DATA.'!$F$2:$F$1001,'RETAIL SALES DATA.'!$B$2:$B$1001,Custom!A237)</f>
        <v>13</v>
      </c>
    </row>
    <row r="238" spans="1:4" x14ac:dyDescent="0.3">
      <c r="A238" s="13" t="str">
        <v>Nathan Smith</v>
      </c>
      <c r="B238" s="13" t="str">
        <v>Nathan Smith</v>
      </c>
      <c r="C238" s="42" t="str">
        <v>Nathan Smith</v>
      </c>
      <c r="D238" s="13">
        <f>SUMIFS('RETAIL SALES DATA.'!$F$2:$F$1001,'RETAIL SALES DATA.'!$B$2:$B$1001,Custom!A238)</f>
        <v>16</v>
      </c>
    </row>
    <row r="239" spans="1:4" x14ac:dyDescent="0.3">
      <c r="A239" s="13" t="str">
        <v>Shannon Fitzpatrick</v>
      </c>
      <c r="B239" s="13" t="str">
        <v>Shannon Fitzpatrick</v>
      </c>
      <c r="C239" s="42" t="str">
        <v>Shannon Fitzpatrick</v>
      </c>
      <c r="D239" s="13">
        <f>SUMIFS('RETAIL SALES DATA.'!$F$2:$F$1001,'RETAIL SALES DATA.'!$B$2:$B$1001,Custom!A239)</f>
        <v>7</v>
      </c>
    </row>
    <row r="240" spans="1:4" x14ac:dyDescent="0.3">
      <c r="A240" s="13" t="str">
        <v>Monique Pope</v>
      </c>
      <c r="B240" s="13" t="str">
        <v>Monique Pope</v>
      </c>
      <c r="C240" s="42" t="str">
        <v>Monique Pope</v>
      </c>
      <c r="D240" s="13">
        <f>SUMIFS('RETAIL SALES DATA.'!$F$2:$F$1001,'RETAIL SALES DATA.'!$B$2:$B$1001,Custom!A240)</f>
        <v>4</v>
      </c>
    </row>
    <row r="241" spans="1:4" x14ac:dyDescent="0.3">
      <c r="A241" s="13" t="str">
        <v>Teresa Edwards</v>
      </c>
      <c r="B241" s="13" t="str">
        <v>Teresa Edwards</v>
      </c>
      <c r="C241" s="42" t="str">
        <v>Teresa Edwards</v>
      </c>
      <c r="D241" s="13">
        <f>SUMIFS('RETAIL SALES DATA.'!$F$2:$F$1001,'RETAIL SALES DATA.'!$B$2:$B$1001,Custom!A241)</f>
        <v>15</v>
      </c>
    </row>
    <row r="242" spans="1:4" x14ac:dyDescent="0.3">
      <c r="A242" s="13" t="str">
        <v>Molly Boyd</v>
      </c>
      <c r="B242" s="13" t="str">
        <v>Molly Boyd</v>
      </c>
      <c r="C242" s="42" t="str">
        <v>Molly Boyd</v>
      </c>
      <c r="D242" s="13">
        <f>SUMIFS('RETAIL SALES DATA.'!$F$2:$F$1001,'RETAIL SALES DATA.'!$B$2:$B$1001,Custom!A242)</f>
        <v>15</v>
      </c>
    </row>
    <row r="243" spans="1:4" x14ac:dyDescent="0.3">
      <c r="A243" s="13" t="str">
        <v>William Collier</v>
      </c>
      <c r="B243" s="13" t="str">
        <v>William Collier</v>
      </c>
      <c r="C243" s="42" t="str">
        <v>William Collier</v>
      </c>
      <c r="D243" s="13">
        <f>SUMIFS('RETAIL SALES DATA.'!$F$2:$F$1001,'RETAIL SALES DATA.'!$B$2:$B$1001,Custom!A243)</f>
        <v>13</v>
      </c>
    </row>
    <row r="244" spans="1:4" x14ac:dyDescent="0.3">
      <c r="A244" s="13" t="str">
        <v>Casey Jackson</v>
      </c>
      <c r="B244" s="13" t="str">
        <v>Casey Jackson</v>
      </c>
      <c r="C244" s="42" t="str">
        <v>Casey Jackson</v>
      </c>
      <c r="D244" s="13">
        <f>SUMIFS('RETAIL SALES DATA.'!$F$2:$F$1001,'RETAIL SALES DATA.'!$B$2:$B$1001,Custom!A244)</f>
        <v>6</v>
      </c>
    </row>
    <row r="245" spans="1:4" x14ac:dyDescent="0.3">
      <c r="A245" s="13" t="str">
        <v>Sabrina Stevens</v>
      </c>
      <c r="B245" s="13" t="str">
        <v>Sabrina Stevens</v>
      </c>
      <c r="C245" s="42" t="str">
        <v>Sabrina Stevens</v>
      </c>
      <c r="D245" s="13">
        <f>SUMIFS('RETAIL SALES DATA.'!$F$2:$F$1001,'RETAIL SALES DATA.'!$B$2:$B$1001,Custom!A245)</f>
        <v>1</v>
      </c>
    </row>
    <row r="246" spans="1:4" x14ac:dyDescent="0.3">
      <c r="A246" s="13" t="str">
        <v>Andrew Mercado</v>
      </c>
      <c r="B246" s="13" t="str">
        <v>Andrew Mercado</v>
      </c>
      <c r="C246" s="42" t="str">
        <v>Andrew Mercado</v>
      </c>
      <c r="D246" s="13">
        <f>SUMIFS('RETAIL SALES DATA.'!$F$2:$F$1001,'RETAIL SALES DATA.'!$B$2:$B$1001,Custom!A246)</f>
        <v>17</v>
      </c>
    </row>
    <row r="247" spans="1:4" x14ac:dyDescent="0.3">
      <c r="A247" s="13" t="str">
        <v>Thomas Young</v>
      </c>
      <c r="B247" s="13" t="str">
        <v>Thomas Young</v>
      </c>
      <c r="C247" s="42" t="str">
        <v>Thomas Young</v>
      </c>
      <c r="D247" s="13">
        <f>SUMIFS('RETAIL SALES DATA.'!$F$2:$F$1001,'RETAIL SALES DATA.'!$B$2:$B$1001,Custom!A247)</f>
        <v>5</v>
      </c>
    </row>
    <row r="248" spans="1:4" x14ac:dyDescent="0.3">
      <c r="A248" s="13" t="str">
        <v>Crystal Castro</v>
      </c>
      <c r="B248" s="13" t="str">
        <v>Crystal Castro</v>
      </c>
      <c r="C248" s="42" t="str">
        <v>Crystal Castro</v>
      </c>
      <c r="D248" s="13">
        <f>SUMIFS('RETAIL SALES DATA.'!$F$2:$F$1001,'RETAIL SALES DATA.'!$B$2:$B$1001,Custom!A248)</f>
        <v>5</v>
      </c>
    </row>
    <row r="249" spans="1:4" x14ac:dyDescent="0.3">
      <c r="A249" s="13" t="str">
        <v>Robert Hammond MD</v>
      </c>
      <c r="B249" s="13" t="str">
        <v>Robert Hammond MD</v>
      </c>
      <c r="C249" s="42" t="str">
        <v>Robert Hammond Md</v>
      </c>
      <c r="D249" s="13">
        <f>SUMIFS('RETAIL SALES DATA.'!$F$2:$F$1001,'RETAIL SALES DATA.'!$B$2:$B$1001,Custom!A249)</f>
        <v>11</v>
      </c>
    </row>
    <row r="250" spans="1:4" x14ac:dyDescent="0.3">
      <c r="A250" s="13" t="str">
        <v>Amber Brooks</v>
      </c>
      <c r="B250" s="13" t="str">
        <v>Amber Brooks</v>
      </c>
      <c r="C250" s="42" t="str">
        <v>Amber Brooks</v>
      </c>
      <c r="D250" s="13">
        <f>SUMIFS('RETAIL SALES DATA.'!$F$2:$F$1001,'RETAIL SALES DATA.'!$B$2:$B$1001,Custom!A250)</f>
        <v>16</v>
      </c>
    </row>
    <row r="251" spans="1:4" x14ac:dyDescent="0.3">
      <c r="A251" s="13" t="str">
        <v>Angela Klein</v>
      </c>
      <c r="B251" s="13" t="str">
        <v>Angela Klein</v>
      </c>
      <c r="C251" s="42" t="str">
        <v>Angela Klein</v>
      </c>
      <c r="D251" s="13">
        <f>SUMIFS('RETAIL SALES DATA.'!$F$2:$F$1001,'RETAIL SALES DATA.'!$B$2:$B$1001,Custom!A251)</f>
        <v>13</v>
      </c>
    </row>
    <row r="252" spans="1:4" x14ac:dyDescent="0.3">
      <c r="A252" s="13" t="str">
        <v>Tina Foster</v>
      </c>
      <c r="B252" s="13" t="str">
        <v>Tina Foster</v>
      </c>
      <c r="C252" s="42" t="str">
        <v>Tina Foster</v>
      </c>
      <c r="D252" s="13">
        <f>SUMIFS('RETAIL SALES DATA.'!$F$2:$F$1001,'RETAIL SALES DATA.'!$B$2:$B$1001,Custom!A252)</f>
        <v>8</v>
      </c>
    </row>
    <row r="253" spans="1:4" x14ac:dyDescent="0.3">
      <c r="A253" s="13" t="str">
        <v>Terry Fields</v>
      </c>
      <c r="B253" s="13" t="str">
        <v>Terry Fields</v>
      </c>
      <c r="C253" s="42" t="str">
        <v>Terry Fields</v>
      </c>
      <c r="D253" s="13">
        <f>SUMIFS('RETAIL SALES DATA.'!$F$2:$F$1001,'RETAIL SALES DATA.'!$B$2:$B$1001,Custom!A253)</f>
        <v>13</v>
      </c>
    </row>
    <row r="254" spans="1:4" x14ac:dyDescent="0.3">
      <c r="A254" s="13" t="str">
        <v>Tony Marshall</v>
      </c>
      <c r="B254" s="13" t="str">
        <v>Tony Marshall</v>
      </c>
      <c r="C254" s="42" t="str">
        <v>Tony Marshall</v>
      </c>
      <c r="D254" s="13">
        <f>SUMIFS('RETAIL SALES DATA.'!$F$2:$F$1001,'RETAIL SALES DATA.'!$B$2:$B$1001,Custom!A254)</f>
        <v>12</v>
      </c>
    </row>
    <row r="255" spans="1:4" x14ac:dyDescent="0.3">
      <c r="A255" s="13" t="str">
        <v>Sheila Moore</v>
      </c>
      <c r="B255" s="13" t="str">
        <v>Sheila Moore</v>
      </c>
      <c r="C255" s="42" t="str">
        <v>Sheila Moore</v>
      </c>
      <c r="D255" s="13">
        <f>SUMIFS('RETAIL SALES DATA.'!$F$2:$F$1001,'RETAIL SALES DATA.'!$B$2:$B$1001,Custom!A255)</f>
        <v>13</v>
      </c>
    </row>
    <row r="256" spans="1:4" x14ac:dyDescent="0.3">
      <c r="A256" s="13" t="str">
        <v>Kristopher Davis</v>
      </c>
      <c r="B256" s="13" t="str">
        <v>Kristopher Davis</v>
      </c>
      <c r="C256" s="42" t="str">
        <v>Kristopher Davis</v>
      </c>
      <c r="D256" s="13">
        <f>SUMIFS('RETAIL SALES DATA.'!$F$2:$F$1001,'RETAIL SALES DATA.'!$B$2:$B$1001,Custom!A256)</f>
        <v>15</v>
      </c>
    </row>
    <row r="257" spans="1:4" x14ac:dyDescent="0.3">
      <c r="A257" s="13" t="str">
        <v>Brandon Thompson</v>
      </c>
      <c r="B257" s="13" t="str">
        <v>Brandon Thompson</v>
      </c>
      <c r="C257" s="42" t="str">
        <v>Brandon Thompson</v>
      </c>
      <c r="D257" s="13">
        <f>SUMIFS('RETAIL SALES DATA.'!$F$2:$F$1001,'RETAIL SALES DATA.'!$B$2:$B$1001,Custom!A257)</f>
        <v>6</v>
      </c>
    </row>
    <row r="258" spans="1:4" x14ac:dyDescent="0.3">
      <c r="A258" s="13" t="str">
        <v>Angela Smith</v>
      </c>
      <c r="B258" s="13" t="str">
        <v>Angela Smith</v>
      </c>
      <c r="C258" s="42" t="str">
        <v>Angela Smith</v>
      </c>
      <c r="D258" s="13">
        <f>SUMIFS('RETAIL SALES DATA.'!$F$2:$F$1001,'RETAIL SALES DATA.'!$B$2:$B$1001,Custom!A258)</f>
        <v>13</v>
      </c>
    </row>
    <row r="259" spans="1:4" x14ac:dyDescent="0.3">
      <c r="A259" s="13" t="str">
        <v>Justin Frye</v>
      </c>
      <c r="B259" s="13" t="str">
        <v>Justin Frye</v>
      </c>
      <c r="C259" s="42" t="str">
        <v>Justin Frye</v>
      </c>
      <c r="D259" s="13">
        <f>SUMIFS('RETAIL SALES DATA.'!$F$2:$F$1001,'RETAIL SALES DATA.'!$B$2:$B$1001,Custom!A259)</f>
        <v>15</v>
      </c>
    </row>
    <row r="260" spans="1:4" x14ac:dyDescent="0.3">
      <c r="A260" s="13" t="str">
        <v>Carol Jackson</v>
      </c>
      <c r="B260" s="13" t="str">
        <v>Carol Jackson</v>
      </c>
      <c r="C260" s="42" t="str">
        <v>Carol Jackson</v>
      </c>
      <c r="D260" s="13">
        <f>SUMIFS('RETAIL SALES DATA.'!$F$2:$F$1001,'RETAIL SALES DATA.'!$B$2:$B$1001,Custom!A260)</f>
        <v>19</v>
      </c>
    </row>
    <row r="261" spans="1:4" x14ac:dyDescent="0.3">
      <c r="A261" s="13" t="str">
        <v>Kathryn Hill</v>
      </c>
      <c r="B261" s="13" t="str">
        <v>Kathryn Hill</v>
      </c>
      <c r="C261" s="42" t="str">
        <v>Kathryn Hill</v>
      </c>
      <c r="D261" s="13">
        <f>SUMIFS('RETAIL SALES DATA.'!$F$2:$F$1001,'RETAIL SALES DATA.'!$B$2:$B$1001,Custom!A261)</f>
        <v>19</v>
      </c>
    </row>
    <row r="262" spans="1:4" x14ac:dyDescent="0.3">
      <c r="A262" s="13" t="str">
        <v>Joyce Hill</v>
      </c>
      <c r="B262" s="13" t="str">
        <v>Joyce Hill</v>
      </c>
      <c r="C262" s="42" t="str">
        <v>Joyce Hill</v>
      </c>
      <c r="D262" s="13">
        <f>SUMIFS('RETAIL SALES DATA.'!$F$2:$F$1001,'RETAIL SALES DATA.'!$B$2:$B$1001,Custom!A262)</f>
        <v>16</v>
      </c>
    </row>
    <row r="263" spans="1:4" x14ac:dyDescent="0.3">
      <c r="A263" s="13" t="str">
        <v>Alan Allen</v>
      </c>
      <c r="B263" s="13" t="str">
        <v>Alan Allen</v>
      </c>
      <c r="C263" s="42" t="str">
        <v>Alan Allen</v>
      </c>
      <c r="D263" s="13">
        <f>SUMIFS('RETAIL SALES DATA.'!$F$2:$F$1001,'RETAIL SALES DATA.'!$B$2:$B$1001,Custom!A263)</f>
        <v>1</v>
      </c>
    </row>
    <row r="264" spans="1:4" x14ac:dyDescent="0.3">
      <c r="A264" s="13" t="str">
        <v>Emily Anderson</v>
      </c>
      <c r="B264" s="13" t="str">
        <v>Emily Anderson</v>
      </c>
      <c r="C264" s="42" t="str">
        <v>Emily Anderson</v>
      </c>
      <c r="D264" s="13">
        <f>SUMIFS('RETAIL SALES DATA.'!$F$2:$F$1001,'RETAIL SALES DATA.'!$B$2:$B$1001,Custom!A264)</f>
        <v>19</v>
      </c>
    </row>
    <row r="265" spans="1:4" x14ac:dyDescent="0.3">
      <c r="A265" s="13" t="str">
        <v>Mr. Wesley Pratt PhD</v>
      </c>
      <c r="B265" s="13" t="str">
        <v>Mr. Wesley Pratt PhD</v>
      </c>
      <c r="C265" s="42" t="str">
        <v>Mr. Wesley Pratt Phd</v>
      </c>
      <c r="D265" s="13">
        <f>SUMIFS('RETAIL SALES DATA.'!$F$2:$F$1001,'RETAIL SALES DATA.'!$B$2:$B$1001,Custom!A265)</f>
        <v>7</v>
      </c>
    </row>
    <row r="266" spans="1:4" x14ac:dyDescent="0.3">
      <c r="A266" s="13" t="str">
        <v>John Yates</v>
      </c>
      <c r="B266" s="13" t="str">
        <v>John Yates</v>
      </c>
      <c r="C266" s="42" t="str">
        <v>John Yates</v>
      </c>
      <c r="D266" s="13">
        <f>SUMIFS('RETAIL SALES DATA.'!$F$2:$F$1001,'RETAIL SALES DATA.'!$B$2:$B$1001,Custom!A266)</f>
        <v>7</v>
      </c>
    </row>
    <row r="267" spans="1:4" x14ac:dyDescent="0.3">
      <c r="A267" s="13" t="str">
        <v>Rhonda Mitchell MD</v>
      </c>
      <c r="B267" s="13" t="str">
        <v>Rhonda Mitchell MD</v>
      </c>
      <c r="C267" s="42" t="str">
        <v>Rhonda Mitchell Md</v>
      </c>
      <c r="D267" s="13">
        <f>SUMIFS('RETAIL SALES DATA.'!$F$2:$F$1001,'RETAIL SALES DATA.'!$B$2:$B$1001,Custom!A267)</f>
        <v>16</v>
      </c>
    </row>
    <row r="268" spans="1:4" x14ac:dyDescent="0.3">
      <c r="A268" s="13" t="str">
        <v>Sarah Hobbs</v>
      </c>
      <c r="B268" s="13" t="str">
        <v>Sarah Hobbs</v>
      </c>
      <c r="C268" s="42" t="str">
        <v>Sarah Hobbs</v>
      </c>
      <c r="D268" s="13">
        <f>SUMIFS('RETAIL SALES DATA.'!$F$2:$F$1001,'RETAIL SALES DATA.'!$B$2:$B$1001,Custom!A268)</f>
        <v>5</v>
      </c>
    </row>
    <row r="269" spans="1:4" x14ac:dyDescent="0.3">
      <c r="A269" s="13" t="str">
        <v>Ryan Olson</v>
      </c>
      <c r="B269" s="13" t="str">
        <v>Ryan Olson</v>
      </c>
      <c r="C269" s="42" t="str">
        <v>Ryan Olson</v>
      </c>
      <c r="D269" s="13">
        <f>SUMIFS('RETAIL SALES DATA.'!$F$2:$F$1001,'RETAIL SALES DATA.'!$B$2:$B$1001,Custom!A269)</f>
        <v>11</v>
      </c>
    </row>
    <row r="270" spans="1:4" x14ac:dyDescent="0.3">
      <c r="A270" s="13" t="str">
        <v>Joseph Estrada</v>
      </c>
      <c r="B270" s="13" t="str">
        <v>Joseph Estrada</v>
      </c>
      <c r="C270" s="42" t="str">
        <v>Joseph Estrada</v>
      </c>
      <c r="D270" s="13">
        <f>SUMIFS('RETAIL SALES DATA.'!$F$2:$F$1001,'RETAIL SALES DATA.'!$B$2:$B$1001,Custom!A270)</f>
        <v>12</v>
      </c>
    </row>
    <row r="271" spans="1:4" x14ac:dyDescent="0.3">
      <c r="A271" s="13" t="str">
        <v>Jean Farmer</v>
      </c>
      <c r="B271" s="13" t="str">
        <v>Jean Farmer</v>
      </c>
      <c r="C271" s="42" t="str">
        <v>Jean Farmer</v>
      </c>
      <c r="D271" s="13">
        <f>SUMIFS('RETAIL SALES DATA.'!$F$2:$F$1001,'RETAIL SALES DATA.'!$B$2:$B$1001,Custom!A271)</f>
        <v>17</v>
      </c>
    </row>
    <row r="272" spans="1:4" x14ac:dyDescent="0.3">
      <c r="A272" s="13" t="str">
        <v>Justin Guzman</v>
      </c>
      <c r="B272" s="13" t="str">
        <v>Justin Guzman</v>
      </c>
      <c r="C272" s="42" t="str">
        <v>Justin Guzman</v>
      </c>
      <c r="D272" s="13">
        <f>SUMIFS('RETAIL SALES DATA.'!$F$2:$F$1001,'RETAIL SALES DATA.'!$B$2:$B$1001,Custom!A272)</f>
        <v>1</v>
      </c>
    </row>
    <row r="273" spans="1:4" x14ac:dyDescent="0.3">
      <c r="A273" s="13" t="str">
        <v>Anna Wheeler</v>
      </c>
      <c r="B273" s="13" t="str">
        <v>Anna Wheeler</v>
      </c>
      <c r="C273" s="42" t="str">
        <v>Anna Wheeler</v>
      </c>
      <c r="D273" s="13">
        <f>SUMIFS('RETAIL SALES DATA.'!$F$2:$F$1001,'RETAIL SALES DATA.'!$B$2:$B$1001,Custom!A273)</f>
        <v>1</v>
      </c>
    </row>
    <row r="274" spans="1:4" x14ac:dyDescent="0.3">
      <c r="A274" s="13" t="str">
        <v>Ronald Gomez</v>
      </c>
      <c r="B274" s="13" t="str">
        <v>Ronald Gomez</v>
      </c>
      <c r="C274" s="42" t="str">
        <v>Ronald Gomez</v>
      </c>
      <c r="D274" s="13">
        <f>SUMIFS('RETAIL SALES DATA.'!$F$2:$F$1001,'RETAIL SALES DATA.'!$B$2:$B$1001,Custom!A274)</f>
        <v>6</v>
      </c>
    </row>
    <row r="275" spans="1:4" x14ac:dyDescent="0.3">
      <c r="A275" s="13" t="str">
        <v>Andrew Martinez</v>
      </c>
      <c r="B275" s="13" t="str">
        <v>Andrew Martinez</v>
      </c>
      <c r="C275" s="42" t="str">
        <v>Andrew Martinez</v>
      </c>
      <c r="D275" s="13">
        <f>SUMIFS('RETAIL SALES DATA.'!$F$2:$F$1001,'RETAIL SALES DATA.'!$B$2:$B$1001,Custom!A275)</f>
        <v>17</v>
      </c>
    </row>
    <row r="276" spans="1:4" x14ac:dyDescent="0.3">
      <c r="A276" s="13" t="str">
        <v>Robert Wilson</v>
      </c>
      <c r="B276" s="13" t="str">
        <v>Robert Wilson</v>
      </c>
      <c r="C276" s="42" t="str">
        <v>Robert Wilson</v>
      </c>
      <c r="D276" s="13">
        <f>SUMIFS('RETAIL SALES DATA.'!$F$2:$F$1001,'RETAIL SALES DATA.'!$B$2:$B$1001,Custom!A276)</f>
        <v>17</v>
      </c>
    </row>
    <row r="277" spans="1:4" x14ac:dyDescent="0.3">
      <c r="A277" s="13" t="str">
        <v>Martin Stanley</v>
      </c>
      <c r="B277" s="13" t="str">
        <v>Martin Stanley</v>
      </c>
      <c r="C277" s="42" t="str">
        <v>Martin Stanley</v>
      </c>
      <c r="D277" s="13">
        <f>SUMIFS('RETAIL SALES DATA.'!$F$2:$F$1001,'RETAIL SALES DATA.'!$B$2:$B$1001,Custom!A277)</f>
        <v>7</v>
      </c>
    </row>
    <row r="278" spans="1:4" x14ac:dyDescent="0.3">
      <c r="A278" s="13" t="str">
        <v>Joseph Flores</v>
      </c>
      <c r="B278" s="13" t="str">
        <v>Joseph Flores</v>
      </c>
      <c r="C278" s="42" t="str">
        <v>Joseph Flores</v>
      </c>
      <c r="D278" s="13">
        <f>SUMIFS('RETAIL SALES DATA.'!$F$2:$F$1001,'RETAIL SALES DATA.'!$B$2:$B$1001,Custom!A278)</f>
        <v>10</v>
      </c>
    </row>
    <row r="279" spans="1:4" x14ac:dyDescent="0.3">
      <c r="A279" s="13" t="str">
        <v>Jaclyn Horn</v>
      </c>
      <c r="B279" s="13" t="str">
        <v>Jaclyn Horn</v>
      </c>
      <c r="C279" s="42" t="str">
        <v>Jaclyn Horn</v>
      </c>
      <c r="D279" s="13">
        <f>SUMIFS('RETAIL SALES DATA.'!$F$2:$F$1001,'RETAIL SALES DATA.'!$B$2:$B$1001,Custom!A279)</f>
        <v>10</v>
      </c>
    </row>
    <row r="280" spans="1:4" x14ac:dyDescent="0.3">
      <c r="A280" s="13" t="str">
        <v>Jason Holt</v>
      </c>
      <c r="B280" s="13" t="str">
        <v>Jason Holt</v>
      </c>
      <c r="C280" s="42" t="str">
        <v>Jason Holt</v>
      </c>
      <c r="D280" s="13">
        <f>SUMIFS('RETAIL SALES DATA.'!$F$2:$F$1001,'RETAIL SALES DATA.'!$B$2:$B$1001,Custom!A280)</f>
        <v>17</v>
      </c>
    </row>
    <row r="281" spans="1:4" x14ac:dyDescent="0.3">
      <c r="A281" s="13" t="str">
        <v>Emily Brewer</v>
      </c>
      <c r="B281" s="13" t="str">
        <v>Emily Brewer</v>
      </c>
      <c r="C281" s="42" t="str">
        <v>Emily Brewer</v>
      </c>
      <c r="D281" s="13">
        <f>SUMIFS('RETAIL SALES DATA.'!$F$2:$F$1001,'RETAIL SALES DATA.'!$B$2:$B$1001,Custom!A281)</f>
        <v>10</v>
      </c>
    </row>
    <row r="282" spans="1:4" x14ac:dyDescent="0.3">
      <c r="A282" s="13" t="str">
        <v>Jeff Mcfarland</v>
      </c>
      <c r="B282" s="13" t="str">
        <v>Jeff Mcfarland</v>
      </c>
      <c r="C282" s="42" t="str">
        <v>Jeff Mcfarland</v>
      </c>
      <c r="D282" s="13">
        <f>SUMIFS('RETAIL SALES DATA.'!$F$2:$F$1001,'RETAIL SALES DATA.'!$B$2:$B$1001,Custom!A282)</f>
        <v>14</v>
      </c>
    </row>
    <row r="283" spans="1:4" x14ac:dyDescent="0.3">
      <c r="A283" s="13" t="str">
        <v>Brian Thompson</v>
      </c>
      <c r="B283" s="13" t="str">
        <v>Brian Thompson</v>
      </c>
      <c r="C283" s="42" t="str">
        <v>Brian Thompson</v>
      </c>
      <c r="D283" s="13">
        <f>SUMIFS('RETAIL SALES DATA.'!$F$2:$F$1001,'RETAIL SALES DATA.'!$B$2:$B$1001,Custom!A283)</f>
        <v>14</v>
      </c>
    </row>
    <row r="284" spans="1:4" x14ac:dyDescent="0.3">
      <c r="A284" s="13" t="str">
        <v>Jonathan Bailey</v>
      </c>
      <c r="B284" s="13" t="str">
        <v>Jonathan Bailey</v>
      </c>
      <c r="C284" s="42" t="str">
        <v>Jonathan Bailey</v>
      </c>
      <c r="D284" s="13">
        <f>SUMIFS('RETAIL SALES DATA.'!$F$2:$F$1001,'RETAIL SALES DATA.'!$B$2:$B$1001,Custom!A284)</f>
        <v>11</v>
      </c>
    </row>
    <row r="285" spans="1:4" x14ac:dyDescent="0.3">
      <c r="A285" s="13" t="str">
        <v>William Meyer</v>
      </c>
      <c r="B285" s="13" t="str">
        <v>William Meyer</v>
      </c>
      <c r="C285" s="42" t="str">
        <v>William Meyer</v>
      </c>
      <c r="D285" s="13">
        <f>SUMIFS('RETAIL SALES DATA.'!$F$2:$F$1001,'RETAIL SALES DATA.'!$B$2:$B$1001,Custom!A285)</f>
        <v>8</v>
      </c>
    </row>
    <row r="286" spans="1:4" x14ac:dyDescent="0.3">
      <c r="A286" s="13" t="str">
        <v>Laura Baker</v>
      </c>
      <c r="B286" s="13" t="str">
        <v>Laura Baker</v>
      </c>
      <c r="C286" s="42" t="str">
        <v>Laura Baker</v>
      </c>
      <c r="D286" s="13">
        <f>SUMIFS('RETAIL SALES DATA.'!$F$2:$F$1001,'RETAIL SALES DATA.'!$B$2:$B$1001,Custom!A286)</f>
        <v>8</v>
      </c>
    </row>
    <row r="287" spans="1:4" x14ac:dyDescent="0.3">
      <c r="A287" s="13" t="str">
        <v>Judy Thomas</v>
      </c>
      <c r="B287" s="13" t="str">
        <v>Judy Thomas</v>
      </c>
      <c r="C287" s="42" t="str">
        <v>Judy Thomas</v>
      </c>
      <c r="D287" s="13">
        <f>SUMIFS('RETAIL SALES DATA.'!$F$2:$F$1001,'RETAIL SALES DATA.'!$B$2:$B$1001,Custom!A287)</f>
        <v>2</v>
      </c>
    </row>
    <row r="288" spans="1:4" x14ac:dyDescent="0.3">
      <c r="A288" s="13" t="str">
        <v>Tracy Wells</v>
      </c>
      <c r="B288" s="13" t="str">
        <v>Tracy Wells</v>
      </c>
      <c r="C288" s="42" t="str">
        <v>Tracy Wells</v>
      </c>
      <c r="D288" s="13">
        <f>SUMIFS('RETAIL SALES DATA.'!$F$2:$F$1001,'RETAIL SALES DATA.'!$B$2:$B$1001,Custom!A288)</f>
        <v>19</v>
      </c>
    </row>
    <row r="289" spans="1:4" x14ac:dyDescent="0.3">
      <c r="A289" s="13" t="str">
        <v>Megan Howe</v>
      </c>
      <c r="B289" s="13" t="str">
        <v>Megan Howe</v>
      </c>
      <c r="C289" s="42" t="str">
        <v>Megan Howe</v>
      </c>
      <c r="D289" s="13">
        <f>SUMIFS('RETAIL SALES DATA.'!$F$2:$F$1001,'RETAIL SALES DATA.'!$B$2:$B$1001,Custom!A289)</f>
        <v>17</v>
      </c>
    </row>
    <row r="290" spans="1:4" x14ac:dyDescent="0.3">
      <c r="A290" s="13" t="str">
        <v>Douglas Obrien</v>
      </c>
      <c r="B290" s="13" t="str">
        <v>Douglas Obrien</v>
      </c>
      <c r="C290" s="42" t="str">
        <v>Douglas Obrien</v>
      </c>
      <c r="D290" s="13">
        <f>SUMIFS('RETAIL SALES DATA.'!$F$2:$F$1001,'RETAIL SALES DATA.'!$B$2:$B$1001,Custom!A290)</f>
        <v>4</v>
      </c>
    </row>
    <row r="291" spans="1:4" x14ac:dyDescent="0.3">
      <c r="A291" s="13" t="str">
        <v>Ryan James</v>
      </c>
      <c r="B291" s="13" t="str">
        <v>Ryan James</v>
      </c>
      <c r="C291" s="42" t="str">
        <v>Ryan James</v>
      </c>
      <c r="D291" s="13">
        <f>SUMIFS('RETAIL SALES DATA.'!$F$2:$F$1001,'RETAIL SALES DATA.'!$B$2:$B$1001,Custom!A291)</f>
        <v>2</v>
      </c>
    </row>
    <row r="292" spans="1:4" x14ac:dyDescent="0.3">
      <c r="A292" s="13" t="str">
        <v>Stephen Cowan</v>
      </c>
      <c r="B292" s="13" t="str">
        <v>Stephen Cowan</v>
      </c>
      <c r="C292" s="42" t="str">
        <v>Stephen Cowan</v>
      </c>
      <c r="D292" s="13">
        <f>SUMIFS('RETAIL SALES DATA.'!$F$2:$F$1001,'RETAIL SALES DATA.'!$B$2:$B$1001,Custom!A292)</f>
        <v>7</v>
      </c>
    </row>
    <row r="293" spans="1:4" x14ac:dyDescent="0.3">
      <c r="A293" s="13" t="str">
        <v>Judy Johnson</v>
      </c>
      <c r="B293" s="13" t="str">
        <v>Judy Johnson</v>
      </c>
      <c r="C293" s="42" t="str">
        <v>Judy Johnson</v>
      </c>
      <c r="D293" s="13">
        <f>SUMIFS('RETAIL SALES DATA.'!$F$2:$F$1001,'RETAIL SALES DATA.'!$B$2:$B$1001,Custom!A293)</f>
        <v>19</v>
      </c>
    </row>
    <row r="294" spans="1:4" x14ac:dyDescent="0.3">
      <c r="A294" s="13" t="str">
        <v>George Drake</v>
      </c>
      <c r="B294" s="13" t="str">
        <v>George Drake</v>
      </c>
      <c r="C294" s="42" t="str">
        <v>George Drake</v>
      </c>
      <c r="D294" s="13">
        <f>SUMIFS('RETAIL SALES DATA.'!$F$2:$F$1001,'RETAIL SALES DATA.'!$B$2:$B$1001,Custom!A294)</f>
        <v>12</v>
      </c>
    </row>
    <row r="295" spans="1:4" x14ac:dyDescent="0.3">
      <c r="A295" s="13" t="str">
        <v>Connie Robles</v>
      </c>
      <c r="B295" s="13" t="str">
        <v>Connie Robles</v>
      </c>
      <c r="C295" s="42" t="str">
        <v>Connie Robles</v>
      </c>
      <c r="D295" s="13">
        <f>SUMIFS('RETAIL SALES DATA.'!$F$2:$F$1001,'RETAIL SALES DATA.'!$B$2:$B$1001,Custom!A295)</f>
        <v>11</v>
      </c>
    </row>
    <row r="296" spans="1:4" x14ac:dyDescent="0.3">
      <c r="A296" s="13" t="str">
        <v>Tamara Daniels</v>
      </c>
      <c r="B296" s="13" t="str">
        <v>Tamara Daniels</v>
      </c>
      <c r="C296" s="42" t="str">
        <v>Tamara Daniels</v>
      </c>
      <c r="D296" s="13">
        <f>SUMIFS('RETAIL SALES DATA.'!$F$2:$F$1001,'RETAIL SALES DATA.'!$B$2:$B$1001,Custom!A296)</f>
        <v>4</v>
      </c>
    </row>
    <row r="297" spans="1:4" x14ac:dyDescent="0.3">
      <c r="A297" s="13" t="str">
        <v>Samantha Casey</v>
      </c>
      <c r="B297" s="13" t="str">
        <v>Samantha Casey</v>
      </c>
      <c r="C297" s="42" t="str">
        <v>Samantha Casey</v>
      </c>
      <c r="D297" s="13">
        <f>SUMIFS('RETAIL SALES DATA.'!$F$2:$F$1001,'RETAIL SALES DATA.'!$B$2:$B$1001,Custom!A297)</f>
        <v>9</v>
      </c>
    </row>
    <row r="298" spans="1:4" x14ac:dyDescent="0.3">
      <c r="A298" s="13" t="str">
        <v>Kimberly Nicholson</v>
      </c>
      <c r="B298" s="13" t="str">
        <v>Kimberly Nicholson</v>
      </c>
      <c r="C298" s="42" t="str">
        <v>Kimberly Nicholson</v>
      </c>
      <c r="D298" s="13">
        <f>SUMIFS('RETAIL SALES DATA.'!$F$2:$F$1001,'RETAIL SALES DATA.'!$B$2:$B$1001,Custom!A298)</f>
        <v>12</v>
      </c>
    </row>
    <row r="299" spans="1:4" x14ac:dyDescent="0.3">
      <c r="A299" s="13" t="str">
        <v>Holly Hammond</v>
      </c>
      <c r="B299" s="13" t="str">
        <v>Holly Hammond</v>
      </c>
      <c r="C299" s="42" t="str">
        <v>Holly Hammond</v>
      </c>
      <c r="D299" s="13">
        <f>SUMIFS('RETAIL SALES DATA.'!$F$2:$F$1001,'RETAIL SALES DATA.'!$B$2:$B$1001,Custom!A299)</f>
        <v>4</v>
      </c>
    </row>
    <row r="300" spans="1:4" x14ac:dyDescent="0.3">
      <c r="A300" s="13" t="str">
        <v>Ricky King</v>
      </c>
      <c r="B300" s="13" t="str">
        <v>Ricky King</v>
      </c>
      <c r="C300" s="42" t="str">
        <v>Ricky King</v>
      </c>
      <c r="D300" s="13">
        <f>SUMIFS('RETAIL SALES DATA.'!$F$2:$F$1001,'RETAIL SALES DATA.'!$B$2:$B$1001,Custom!A300)</f>
        <v>6</v>
      </c>
    </row>
    <row r="301" spans="1:4" x14ac:dyDescent="0.3">
      <c r="A301" s="13" t="str">
        <v>Anthony Randall</v>
      </c>
      <c r="B301" s="13" t="str">
        <v>Anthony Randall</v>
      </c>
      <c r="C301" s="42" t="str">
        <v>Anthony Randall</v>
      </c>
      <c r="D301" s="13">
        <f>SUMIFS('RETAIL SALES DATA.'!$F$2:$F$1001,'RETAIL SALES DATA.'!$B$2:$B$1001,Custom!A301)</f>
        <v>4</v>
      </c>
    </row>
    <row r="302" spans="1:4" x14ac:dyDescent="0.3">
      <c r="A302" s="13" t="str">
        <v>Shawn Bennett</v>
      </c>
      <c r="B302" s="13" t="str">
        <v>Shawn Bennett</v>
      </c>
      <c r="C302" s="42" t="str">
        <v>Shawn Bennett</v>
      </c>
      <c r="D302" s="13">
        <f>SUMIFS('RETAIL SALES DATA.'!$F$2:$F$1001,'RETAIL SALES DATA.'!$B$2:$B$1001,Custom!A302)</f>
        <v>17</v>
      </c>
    </row>
    <row r="303" spans="1:4" x14ac:dyDescent="0.3">
      <c r="A303" s="13" t="str">
        <v>Adam Walton</v>
      </c>
      <c r="B303" s="13" t="str">
        <v>Adam Walton</v>
      </c>
      <c r="C303" s="42" t="str">
        <v>Adam Walton</v>
      </c>
      <c r="D303" s="13">
        <f>SUMIFS('RETAIL SALES DATA.'!$F$2:$F$1001,'RETAIL SALES DATA.'!$B$2:$B$1001,Custom!A303)</f>
        <v>6</v>
      </c>
    </row>
    <row r="304" spans="1:4" x14ac:dyDescent="0.3">
      <c r="A304" s="13" t="str">
        <v>Joseph Washington</v>
      </c>
      <c r="B304" s="13" t="str">
        <v>Joseph Washington</v>
      </c>
      <c r="C304" s="42" t="str">
        <v>Joseph Washington</v>
      </c>
      <c r="D304" s="13">
        <f>SUMIFS('RETAIL SALES DATA.'!$F$2:$F$1001,'RETAIL SALES DATA.'!$B$2:$B$1001,Custom!A304)</f>
        <v>12</v>
      </c>
    </row>
    <row r="305" spans="1:4" x14ac:dyDescent="0.3">
      <c r="A305" s="13" t="str">
        <v>Audrey Townsend</v>
      </c>
      <c r="B305" s="13" t="str">
        <v>Audrey Townsend</v>
      </c>
      <c r="C305" s="42" t="str">
        <v>Audrey Townsend</v>
      </c>
      <c r="D305" s="13">
        <f>SUMIFS('RETAIL SALES DATA.'!$F$2:$F$1001,'RETAIL SALES DATA.'!$B$2:$B$1001,Custom!A305)</f>
        <v>18</v>
      </c>
    </row>
    <row r="306" spans="1:4" x14ac:dyDescent="0.3">
      <c r="A306" s="13" t="str">
        <v>Robin Dorsey</v>
      </c>
      <c r="B306" s="13" t="str">
        <v>Robin Dorsey</v>
      </c>
      <c r="C306" s="42" t="str">
        <v>Robin Dorsey</v>
      </c>
      <c r="D306" s="13">
        <f>SUMIFS('RETAIL SALES DATA.'!$F$2:$F$1001,'RETAIL SALES DATA.'!$B$2:$B$1001,Custom!A306)</f>
        <v>3</v>
      </c>
    </row>
    <row r="307" spans="1:4" x14ac:dyDescent="0.3">
      <c r="A307" s="13" t="str">
        <v>Susan Francis</v>
      </c>
      <c r="B307" s="13" t="str">
        <v>Susan Francis</v>
      </c>
      <c r="C307" s="42" t="str">
        <v>Susan Francis</v>
      </c>
      <c r="D307" s="13">
        <f>SUMIFS('RETAIL SALES DATA.'!$F$2:$F$1001,'RETAIL SALES DATA.'!$B$2:$B$1001,Custom!A307)</f>
        <v>1</v>
      </c>
    </row>
    <row r="308" spans="1:4" x14ac:dyDescent="0.3">
      <c r="A308" s="13" t="str">
        <v>Joseph Mckinney</v>
      </c>
      <c r="B308" s="13" t="str">
        <v>Joseph Mckinney</v>
      </c>
      <c r="C308" s="42" t="str">
        <v>Joseph Mckinney</v>
      </c>
      <c r="D308" s="13">
        <f>SUMIFS('RETAIL SALES DATA.'!$F$2:$F$1001,'RETAIL SALES DATA.'!$B$2:$B$1001,Custom!A308)</f>
        <v>9</v>
      </c>
    </row>
    <row r="309" spans="1:4" x14ac:dyDescent="0.3">
      <c r="A309" s="13" t="str">
        <v>Christine Moore</v>
      </c>
      <c r="B309" s="13" t="str">
        <v>Christine Moore</v>
      </c>
      <c r="C309" s="42" t="str">
        <v>Christine Moore</v>
      </c>
      <c r="D309" s="13">
        <f>SUMIFS('RETAIL SALES DATA.'!$F$2:$F$1001,'RETAIL SALES DATA.'!$B$2:$B$1001,Custom!A309)</f>
        <v>17</v>
      </c>
    </row>
    <row r="310" spans="1:4" x14ac:dyDescent="0.3">
      <c r="A310" s="13" t="str">
        <v>Crystal Terrell</v>
      </c>
      <c r="B310" s="13" t="str">
        <v>Crystal Terrell</v>
      </c>
      <c r="C310" s="42" t="str">
        <v>Crystal Terrell</v>
      </c>
      <c r="D310" s="13">
        <f>SUMIFS('RETAIL SALES DATA.'!$F$2:$F$1001,'RETAIL SALES DATA.'!$B$2:$B$1001,Custom!A310)</f>
        <v>10</v>
      </c>
    </row>
    <row r="311" spans="1:4" x14ac:dyDescent="0.3">
      <c r="A311" s="13" t="str">
        <v>Jared Martinez</v>
      </c>
      <c r="B311" s="13" t="str">
        <v>Jared Martinez</v>
      </c>
      <c r="C311" s="42" t="str">
        <v>Jared Martinez</v>
      </c>
      <c r="D311" s="13">
        <f>SUMIFS('RETAIL SALES DATA.'!$F$2:$F$1001,'RETAIL SALES DATA.'!$B$2:$B$1001,Custom!A311)</f>
        <v>13</v>
      </c>
    </row>
    <row r="312" spans="1:4" x14ac:dyDescent="0.3">
      <c r="A312" s="13" t="str">
        <v>Carol Warren</v>
      </c>
      <c r="B312" s="13" t="str">
        <v>Carol Warren</v>
      </c>
      <c r="C312" s="42" t="str">
        <v>Carol Warren</v>
      </c>
      <c r="D312" s="13">
        <f>SUMIFS('RETAIL SALES DATA.'!$F$2:$F$1001,'RETAIL SALES DATA.'!$B$2:$B$1001,Custom!A312)</f>
        <v>14</v>
      </c>
    </row>
    <row r="313" spans="1:4" x14ac:dyDescent="0.3">
      <c r="A313" s="13" t="str">
        <v>Chad Perez</v>
      </c>
      <c r="B313" s="13" t="str">
        <v>Chad Perez</v>
      </c>
      <c r="C313" s="42" t="str">
        <v>Chad Perez</v>
      </c>
      <c r="D313" s="13">
        <f>SUMIFS('RETAIL SALES DATA.'!$F$2:$F$1001,'RETAIL SALES DATA.'!$B$2:$B$1001,Custom!A313)</f>
        <v>16</v>
      </c>
    </row>
    <row r="314" spans="1:4" x14ac:dyDescent="0.3">
      <c r="A314" s="13" t="str">
        <v>Audrey Barnes</v>
      </c>
      <c r="B314" s="13" t="str">
        <v>Audrey Barnes</v>
      </c>
      <c r="C314" s="42" t="str">
        <v>Audrey Barnes</v>
      </c>
      <c r="D314" s="13">
        <f>SUMIFS('RETAIL SALES DATA.'!$F$2:$F$1001,'RETAIL SALES DATA.'!$B$2:$B$1001,Custom!A314)</f>
        <v>14</v>
      </c>
    </row>
    <row r="315" spans="1:4" x14ac:dyDescent="0.3">
      <c r="A315" s="13" t="str">
        <v>Eric Hall DDS</v>
      </c>
      <c r="B315" s="13" t="str">
        <v>Eric Hall DDS</v>
      </c>
      <c r="C315" s="42" t="str">
        <v>Eric Hall Dds</v>
      </c>
      <c r="D315" s="13">
        <f>SUMIFS('RETAIL SALES DATA.'!$F$2:$F$1001,'RETAIL SALES DATA.'!$B$2:$B$1001,Custom!A315)</f>
        <v>7</v>
      </c>
    </row>
    <row r="316" spans="1:4" x14ac:dyDescent="0.3">
      <c r="A316" s="13" t="str">
        <v>Sheena Zhang</v>
      </c>
      <c r="B316" s="13" t="str">
        <v>Sheena Zhang</v>
      </c>
      <c r="C316" s="42" t="str">
        <v>Sheena Zhang</v>
      </c>
      <c r="D316" s="13">
        <f>SUMIFS('RETAIL SALES DATA.'!$F$2:$F$1001,'RETAIL SALES DATA.'!$B$2:$B$1001,Custom!A316)</f>
        <v>7</v>
      </c>
    </row>
    <row r="317" spans="1:4" x14ac:dyDescent="0.3">
      <c r="A317" s="13" t="str">
        <v>Vanessa Gay</v>
      </c>
      <c r="B317" s="13" t="str">
        <v>Vanessa Gay</v>
      </c>
      <c r="C317" s="42" t="str">
        <v>Vanessa Gay</v>
      </c>
      <c r="D317" s="13">
        <f>SUMIFS('RETAIL SALES DATA.'!$F$2:$F$1001,'RETAIL SALES DATA.'!$B$2:$B$1001,Custom!A317)</f>
        <v>13</v>
      </c>
    </row>
    <row r="318" spans="1:4" x14ac:dyDescent="0.3">
      <c r="A318" s="13" t="str">
        <v>Joann Mendoza</v>
      </c>
      <c r="B318" s="13" t="str">
        <v>Joann Mendoza</v>
      </c>
      <c r="C318" s="42" t="str">
        <v>Joann Mendoza</v>
      </c>
      <c r="D318" s="13">
        <f>SUMIFS('RETAIL SALES DATA.'!$F$2:$F$1001,'RETAIL SALES DATA.'!$B$2:$B$1001,Custom!A318)</f>
        <v>3</v>
      </c>
    </row>
    <row r="319" spans="1:4" x14ac:dyDescent="0.3">
      <c r="A319" s="13" t="str">
        <v>Sheila Fisher</v>
      </c>
      <c r="B319" s="13" t="str">
        <v>Sheila Fisher</v>
      </c>
      <c r="C319" s="42" t="str">
        <v>Sheila Fisher</v>
      </c>
      <c r="D319" s="13">
        <f>SUMIFS('RETAIL SALES DATA.'!$F$2:$F$1001,'RETAIL SALES DATA.'!$B$2:$B$1001,Custom!A319)</f>
        <v>10</v>
      </c>
    </row>
    <row r="320" spans="1:4" x14ac:dyDescent="0.3">
      <c r="A320" s="13" t="str">
        <v>Jason Medina</v>
      </c>
      <c r="B320" s="13" t="str">
        <v>Jason Medina</v>
      </c>
      <c r="C320" s="42" t="str">
        <v>Jason Medina</v>
      </c>
      <c r="D320" s="13">
        <f>SUMIFS('RETAIL SALES DATA.'!$F$2:$F$1001,'RETAIL SALES DATA.'!$B$2:$B$1001,Custom!A320)</f>
        <v>6</v>
      </c>
    </row>
    <row r="321" spans="1:4" x14ac:dyDescent="0.3">
      <c r="A321" s="13" t="str">
        <v>Tammy Williams</v>
      </c>
      <c r="B321" s="13" t="str">
        <v>Tammy Williams</v>
      </c>
      <c r="C321" s="42" t="str">
        <v>Tammy Williams</v>
      </c>
      <c r="D321" s="13">
        <f>SUMIFS('RETAIL SALES DATA.'!$F$2:$F$1001,'RETAIL SALES DATA.'!$B$2:$B$1001,Custom!A321)</f>
        <v>20</v>
      </c>
    </row>
    <row r="322" spans="1:4" x14ac:dyDescent="0.3">
      <c r="A322" s="13" t="str">
        <v>Alejandra Flores</v>
      </c>
      <c r="B322" s="13" t="str">
        <v>Alejandra Flores</v>
      </c>
      <c r="C322" s="42" t="str">
        <v>Alejandra Flores</v>
      </c>
      <c r="D322" s="13">
        <f>SUMIFS('RETAIL SALES DATA.'!$F$2:$F$1001,'RETAIL SALES DATA.'!$B$2:$B$1001,Custom!A322)</f>
        <v>8</v>
      </c>
    </row>
    <row r="323" spans="1:4" x14ac:dyDescent="0.3">
      <c r="A323" s="13" t="str">
        <v>Sandy Gross</v>
      </c>
      <c r="B323" s="13" t="str">
        <v>Sandy Gross</v>
      </c>
      <c r="C323" s="42" t="str">
        <v>Sandy Gross</v>
      </c>
      <c r="D323" s="13">
        <f>SUMIFS('RETAIL SALES DATA.'!$F$2:$F$1001,'RETAIL SALES DATA.'!$B$2:$B$1001,Custom!A323)</f>
        <v>20</v>
      </c>
    </row>
    <row r="324" spans="1:4" x14ac:dyDescent="0.3">
      <c r="A324" s="13" t="str">
        <v>Johnny Schultz</v>
      </c>
      <c r="B324" s="13" t="str">
        <v>Johnny Schultz</v>
      </c>
      <c r="C324" s="42" t="str">
        <v>Johnny Schultz</v>
      </c>
      <c r="D324" s="13">
        <f>SUMIFS('RETAIL SALES DATA.'!$F$2:$F$1001,'RETAIL SALES DATA.'!$B$2:$B$1001,Custom!A324)</f>
        <v>1</v>
      </c>
    </row>
    <row r="325" spans="1:4" x14ac:dyDescent="0.3">
      <c r="A325" s="13" t="str">
        <v>Stacey Richards</v>
      </c>
      <c r="B325" s="13" t="str">
        <v>Stacey Richards</v>
      </c>
      <c r="C325" s="42" t="str">
        <v>Stacey Richards</v>
      </c>
      <c r="D325" s="13">
        <f>SUMIFS('RETAIL SALES DATA.'!$F$2:$F$1001,'RETAIL SALES DATA.'!$B$2:$B$1001,Custom!A325)</f>
        <v>16</v>
      </c>
    </row>
    <row r="326" spans="1:4" x14ac:dyDescent="0.3">
      <c r="A326" s="13" t="str">
        <v>Sierra Robinson</v>
      </c>
      <c r="B326" s="13" t="str">
        <v>Sierra Robinson</v>
      </c>
      <c r="C326" s="42" t="str">
        <v>Sierra Robinson</v>
      </c>
      <c r="D326" s="13">
        <f>SUMIFS('RETAIL SALES DATA.'!$F$2:$F$1001,'RETAIL SALES DATA.'!$B$2:$B$1001,Custom!A326)</f>
        <v>15</v>
      </c>
    </row>
    <row r="327" spans="1:4" x14ac:dyDescent="0.3">
      <c r="A327" s="13" t="str">
        <v>Mrs. Samantha White</v>
      </c>
      <c r="B327" s="13" t="str">
        <v>Mrs. Samantha White</v>
      </c>
      <c r="C327" s="42" t="str">
        <v>Mrs. Samantha White</v>
      </c>
      <c r="D327" s="13">
        <f>SUMIFS('RETAIL SALES DATA.'!$F$2:$F$1001,'RETAIL SALES DATA.'!$B$2:$B$1001,Custom!A327)</f>
        <v>11</v>
      </c>
    </row>
    <row r="328" spans="1:4" x14ac:dyDescent="0.3">
      <c r="A328" s="13" t="str">
        <v>Kaylee Ortiz</v>
      </c>
      <c r="B328" s="13" t="str">
        <v>Kaylee Ortiz</v>
      </c>
      <c r="C328" s="42" t="str">
        <v>Kaylee Ortiz</v>
      </c>
      <c r="D328" s="13">
        <f>SUMIFS('RETAIL SALES DATA.'!$F$2:$F$1001,'RETAIL SALES DATA.'!$B$2:$B$1001,Custom!A328)</f>
        <v>9</v>
      </c>
    </row>
    <row r="329" spans="1:4" x14ac:dyDescent="0.3">
      <c r="A329" s="13" t="str">
        <v>Cory Chaney</v>
      </c>
      <c r="B329" s="13" t="str">
        <v>Cory Chaney</v>
      </c>
      <c r="C329" s="42" t="str">
        <v>Cory Chaney</v>
      </c>
      <c r="D329" s="13">
        <f>SUMIFS('RETAIL SALES DATA.'!$F$2:$F$1001,'RETAIL SALES DATA.'!$B$2:$B$1001,Custom!A329)</f>
        <v>12</v>
      </c>
    </row>
    <row r="330" spans="1:4" x14ac:dyDescent="0.3">
      <c r="A330" s="13" t="str">
        <v>Elizabeth Romero</v>
      </c>
      <c r="B330" s="13" t="str">
        <v>Elizabeth Romero</v>
      </c>
      <c r="C330" s="42" t="str">
        <v>Elizabeth Romero</v>
      </c>
      <c r="D330" s="13">
        <f>SUMIFS('RETAIL SALES DATA.'!$F$2:$F$1001,'RETAIL SALES DATA.'!$B$2:$B$1001,Custom!A330)</f>
        <v>17</v>
      </c>
    </row>
    <row r="331" spans="1:4" x14ac:dyDescent="0.3">
      <c r="A331" s="13" t="str">
        <v>Kathryn Nicholson</v>
      </c>
      <c r="B331" s="13" t="str">
        <v>Kathryn Nicholson</v>
      </c>
      <c r="C331" s="42" t="str">
        <v>Kathryn Nicholson</v>
      </c>
      <c r="D331" s="13">
        <f>SUMIFS('RETAIL SALES DATA.'!$F$2:$F$1001,'RETAIL SALES DATA.'!$B$2:$B$1001,Custom!A331)</f>
        <v>2</v>
      </c>
    </row>
    <row r="332" spans="1:4" x14ac:dyDescent="0.3">
      <c r="A332" s="13" t="str">
        <v>Daniel Roberts</v>
      </c>
      <c r="B332" s="13" t="str">
        <v>Daniel Roberts</v>
      </c>
      <c r="C332" s="42" t="str">
        <v>Daniel Roberts</v>
      </c>
      <c r="D332" s="13">
        <f>SUMIFS('RETAIL SALES DATA.'!$F$2:$F$1001,'RETAIL SALES DATA.'!$B$2:$B$1001,Custom!A332)</f>
        <v>10</v>
      </c>
    </row>
    <row r="333" spans="1:4" x14ac:dyDescent="0.3">
      <c r="A333" s="13" t="str">
        <v>Kevin Long</v>
      </c>
      <c r="B333" s="13" t="str">
        <v>Kevin Long</v>
      </c>
      <c r="C333" s="42" t="str">
        <v>Kevin Long</v>
      </c>
      <c r="D333" s="13">
        <f>SUMIFS('RETAIL SALES DATA.'!$F$2:$F$1001,'RETAIL SALES DATA.'!$B$2:$B$1001,Custom!A333)</f>
        <v>5</v>
      </c>
    </row>
    <row r="334" spans="1:4" x14ac:dyDescent="0.3">
      <c r="A334" s="13" t="str">
        <v>Jessica Watkins</v>
      </c>
      <c r="B334" s="13" t="str">
        <v>Jessica Watkins</v>
      </c>
      <c r="C334" s="42" t="str">
        <v>Jessica Watkins</v>
      </c>
      <c r="D334" s="13">
        <f>SUMIFS('RETAIL SALES DATA.'!$F$2:$F$1001,'RETAIL SALES DATA.'!$B$2:$B$1001,Custom!A334)</f>
        <v>14</v>
      </c>
    </row>
    <row r="335" spans="1:4" x14ac:dyDescent="0.3">
      <c r="A335" s="13" t="str">
        <v>Amanda Rodgers</v>
      </c>
      <c r="B335" s="13" t="str">
        <v>Amanda Rodgers</v>
      </c>
      <c r="C335" s="42" t="str">
        <v>Amanda Rodgers</v>
      </c>
      <c r="D335" s="13">
        <f>SUMIFS('RETAIL SALES DATA.'!$F$2:$F$1001,'RETAIL SALES DATA.'!$B$2:$B$1001,Custom!A335)</f>
        <v>5</v>
      </c>
    </row>
    <row r="336" spans="1:4" x14ac:dyDescent="0.3">
      <c r="A336" s="13" t="str">
        <v>Michael Carter</v>
      </c>
      <c r="B336" s="13" t="str">
        <v>Michael Carter</v>
      </c>
      <c r="C336" s="42" t="str">
        <v>Michael Carter</v>
      </c>
      <c r="D336" s="13">
        <f>SUMIFS('RETAIL SALES DATA.'!$F$2:$F$1001,'RETAIL SALES DATA.'!$B$2:$B$1001,Custom!A336)</f>
        <v>17</v>
      </c>
    </row>
    <row r="337" spans="1:4" x14ac:dyDescent="0.3">
      <c r="A337" s="13" t="str">
        <v>Emily Thomas</v>
      </c>
      <c r="B337" s="13" t="str">
        <v>Emily Thomas</v>
      </c>
      <c r="C337" s="42" t="str">
        <v>Emily Thomas</v>
      </c>
      <c r="D337" s="13">
        <f>SUMIFS('RETAIL SALES DATA.'!$F$2:$F$1001,'RETAIL SALES DATA.'!$B$2:$B$1001,Custom!A337)</f>
        <v>5</v>
      </c>
    </row>
    <row r="338" spans="1:4" x14ac:dyDescent="0.3">
      <c r="A338" s="13" t="str">
        <v>Tami Walker</v>
      </c>
      <c r="B338" s="13" t="str">
        <v>Tami Walker</v>
      </c>
      <c r="C338" s="42" t="str">
        <v>Tami Walker</v>
      </c>
      <c r="D338" s="13">
        <f>SUMIFS('RETAIL SALES DATA.'!$F$2:$F$1001,'RETAIL SALES DATA.'!$B$2:$B$1001,Custom!A338)</f>
        <v>16</v>
      </c>
    </row>
    <row r="339" spans="1:4" x14ac:dyDescent="0.3">
      <c r="A339" s="13" t="str">
        <v>Margaret Johnson</v>
      </c>
      <c r="B339" s="13" t="str">
        <v>Margaret Johnson</v>
      </c>
      <c r="C339" s="42" t="str">
        <v>Margaret Johnson</v>
      </c>
      <c r="D339" s="13">
        <f>SUMIFS('RETAIL SALES DATA.'!$F$2:$F$1001,'RETAIL SALES DATA.'!$B$2:$B$1001,Custom!A339)</f>
        <v>16</v>
      </c>
    </row>
    <row r="340" spans="1:4" x14ac:dyDescent="0.3">
      <c r="A340" s="13" t="str">
        <v>Andrew Roberts</v>
      </c>
      <c r="B340" s="13" t="str">
        <v>Andrew Roberts</v>
      </c>
      <c r="C340" s="42" t="str">
        <v>Andrew Roberts</v>
      </c>
      <c r="D340" s="13">
        <f>SUMIFS('RETAIL SALES DATA.'!$F$2:$F$1001,'RETAIL SALES DATA.'!$B$2:$B$1001,Custom!A340)</f>
        <v>20</v>
      </c>
    </row>
    <row r="341" spans="1:4" x14ac:dyDescent="0.3">
      <c r="A341" s="13" t="str">
        <v>Sandra Williamson</v>
      </c>
      <c r="B341" s="13" t="str">
        <v>Sandra Williamson</v>
      </c>
      <c r="C341" s="42" t="str">
        <v>Sandra Williamson</v>
      </c>
      <c r="D341" s="13">
        <f>SUMIFS('RETAIL SALES DATA.'!$F$2:$F$1001,'RETAIL SALES DATA.'!$B$2:$B$1001,Custom!A341)</f>
        <v>6</v>
      </c>
    </row>
    <row r="342" spans="1:4" x14ac:dyDescent="0.3">
      <c r="A342" s="13" t="str">
        <v>Angela Cooper</v>
      </c>
      <c r="B342" s="13" t="str">
        <v>Angela Cooper</v>
      </c>
      <c r="C342" s="42" t="str">
        <v>Angela Cooper</v>
      </c>
      <c r="D342" s="13">
        <f>SUMIFS('RETAIL SALES DATA.'!$F$2:$F$1001,'RETAIL SALES DATA.'!$B$2:$B$1001,Custom!A342)</f>
        <v>6</v>
      </c>
    </row>
    <row r="343" spans="1:4" x14ac:dyDescent="0.3">
      <c r="A343" s="13" t="str">
        <v>Brian Roy</v>
      </c>
      <c r="B343" s="13" t="str">
        <v>Brian Roy</v>
      </c>
      <c r="C343" s="42" t="str">
        <v>Brian Roy</v>
      </c>
      <c r="D343" s="13">
        <f>SUMIFS('RETAIL SALES DATA.'!$F$2:$F$1001,'RETAIL SALES DATA.'!$B$2:$B$1001,Custom!A343)</f>
        <v>8</v>
      </c>
    </row>
    <row r="344" spans="1:4" x14ac:dyDescent="0.3">
      <c r="A344" s="13" t="str">
        <v>Mr. Jose Holland MD</v>
      </c>
      <c r="B344" s="13" t="str">
        <v>Mr. Jose Holland MD</v>
      </c>
      <c r="C344" s="42" t="str">
        <v>Mr. Jose Holland Md</v>
      </c>
      <c r="D344" s="13">
        <f>SUMIFS('RETAIL SALES DATA.'!$F$2:$F$1001,'RETAIL SALES DATA.'!$B$2:$B$1001,Custom!A344)</f>
        <v>9</v>
      </c>
    </row>
    <row r="345" spans="1:4" x14ac:dyDescent="0.3">
      <c r="A345" s="13" t="str">
        <v>Keith Johnson</v>
      </c>
      <c r="B345" s="13" t="str">
        <v>Keith Johnson</v>
      </c>
      <c r="C345" s="42" t="str">
        <v>Keith Johnson</v>
      </c>
      <c r="D345" s="13">
        <f>SUMIFS('RETAIL SALES DATA.'!$F$2:$F$1001,'RETAIL SALES DATA.'!$B$2:$B$1001,Custom!A345)</f>
        <v>8</v>
      </c>
    </row>
    <row r="346" spans="1:4" x14ac:dyDescent="0.3">
      <c r="A346" s="13" t="str">
        <v>Kristin Blair</v>
      </c>
      <c r="B346" s="13" t="str">
        <v>Kristin Blair</v>
      </c>
      <c r="C346" s="42" t="str">
        <v>Kristin Blair</v>
      </c>
      <c r="D346" s="13">
        <f>SUMIFS('RETAIL SALES DATA.'!$F$2:$F$1001,'RETAIL SALES DATA.'!$B$2:$B$1001,Custom!A346)</f>
        <v>6</v>
      </c>
    </row>
    <row r="347" spans="1:4" x14ac:dyDescent="0.3">
      <c r="A347" s="13" t="str">
        <v>Heather Thompson</v>
      </c>
      <c r="B347" s="13" t="str">
        <v>Heather Thompson</v>
      </c>
      <c r="C347" s="42" t="str">
        <v>Heather Thompson</v>
      </c>
      <c r="D347" s="13">
        <f>SUMIFS('RETAIL SALES DATA.'!$F$2:$F$1001,'RETAIL SALES DATA.'!$B$2:$B$1001,Custom!A347)</f>
        <v>19</v>
      </c>
    </row>
    <row r="348" spans="1:4" x14ac:dyDescent="0.3">
      <c r="A348" s="13" t="str">
        <v>Robert Branch</v>
      </c>
      <c r="B348" s="13" t="str">
        <v>Robert Branch</v>
      </c>
      <c r="C348" s="42" t="str">
        <v>Robert Branch</v>
      </c>
      <c r="D348" s="13">
        <f>SUMIFS('RETAIL SALES DATA.'!$F$2:$F$1001,'RETAIL SALES DATA.'!$B$2:$B$1001,Custom!A348)</f>
        <v>19</v>
      </c>
    </row>
    <row r="349" spans="1:4" x14ac:dyDescent="0.3">
      <c r="A349" s="13" t="str">
        <v>Crystal Mitchell</v>
      </c>
      <c r="B349" s="13" t="str">
        <v>Crystal Mitchell</v>
      </c>
      <c r="C349" s="42" t="str">
        <v>Crystal Mitchell</v>
      </c>
      <c r="D349" s="13">
        <f>SUMIFS('RETAIL SALES DATA.'!$F$2:$F$1001,'RETAIL SALES DATA.'!$B$2:$B$1001,Custom!A349)</f>
        <v>4</v>
      </c>
    </row>
    <row r="350" spans="1:4" x14ac:dyDescent="0.3">
      <c r="A350" s="13" t="str">
        <v>Sandra Hernandez MD</v>
      </c>
      <c r="B350" s="13" t="str">
        <v>Sandra Hernandez MD</v>
      </c>
      <c r="C350" s="42" t="str">
        <v>Sandra Hernandez Md</v>
      </c>
      <c r="D350" s="13">
        <f>SUMIFS('RETAIL SALES DATA.'!$F$2:$F$1001,'RETAIL SALES DATA.'!$B$2:$B$1001,Custom!A350)</f>
        <v>11</v>
      </c>
    </row>
    <row r="351" spans="1:4" x14ac:dyDescent="0.3">
      <c r="A351" s="13" t="str">
        <v>John Clark</v>
      </c>
      <c r="B351" s="13" t="str">
        <v>John Clark</v>
      </c>
      <c r="C351" s="42" t="str">
        <v>John Clark</v>
      </c>
      <c r="D351" s="13">
        <f>SUMIFS('RETAIL SALES DATA.'!$F$2:$F$1001,'RETAIL SALES DATA.'!$B$2:$B$1001,Custom!A351)</f>
        <v>11</v>
      </c>
    </row>
    <row r="352" spans="1:4" x14ac:dyDescent="0.3">
      <c r="A352" s="13" t="str">
        <v>Kelsey Baxter</v>
      </c>
      <c r="B352" s="13" t="str">
        <v>Kelsey Baxter</v>
      </c>
      <c r="C352" s="42" t="str">
        <v>Kelsey Baxter</v>
      </c>
      <c r="D352" s="13">
        <f>SUMIFS('RETAIL SALES DATA.'!$F$2:$F$1001,'RETAIL SALES DATA.'!$B$2:$B$1001,Custom!A352)</f>
        <v>20</v>
      </c>
    </row>
    <row r="353" spans="1:4" x14ac:dyDescent="0.3">
      <c r="A353" s="13" t="str">
        <v>Shane Jones</v>
      </c>
      <c r="B353" s="13" t="str">
        <v>Shane Jones</v>
      </c>
      <c r="C353" s="42" t="str">
        <v>Shane Jones</v>
      </c>
      <c r="D353" s="13">
        <f>SUMIFS('RETAIL SALES DATA.'!$F$2:$F$1001,'RETAIL SALES DATA.'!$B$2:$B$1001,Custom!A353)</f>
        <v>17</v>
      </c>
    </row>
    <row r="354" spans="1:4" x14ac:dyDescent="0.3">
      <c r="A354" s="13" t="str">
        <v>Diane Vega</v>
      </c>
      <c r="B354" s="13" t="str">
        <v>Diane Vega</v>
      </c>
      <c r="C354" s="42" t="str">
        <v>Diane Vega</v>
      </c>
      <c r="D354" s="13">
        <f>SUMIFS('RETAIL SALES DATA.'!$F$2:$F$1001,'RETAIL SALES DATA.'!$B$2:$B$1001,Custom!A354)</f>
        <v>5</v>
      </c>
    </row>
    <row r="355" spans="1:4" x14ac:dyDescent="0.3">
      <c r="A355" s="13" t="str">
        <v>Joshua Wall</v>
      </c>
      <c r="B355" s="13" t="str">
        <v>Joshua Wall</v>
      </c>
      <c r="C355" s="42" t="str">
        <v>Joshua Wall</v>
      </c>
      <c r="D355" s="13">
        <f>SUMIFS('RETAIL SALES DATA.'!$F$2:$F$1001,'RETAIL SALES DATA.'!$B$2:$B$1001,Custom!A355)</f>
        <v>10</v>
      </c>
    </row>
    <row r="356" spans="1:4" x14ac:dyDescent="0.3">
      <c r="A356" s="13" t="str">
        <v>William Evans</v>
      </c>
      <c r="B356" s="13" t="str">
        <v>William Evans</v>
      </c>
      <c r="C356" s="42" t="str">
        <v>William Evans</v>
      </c>
      <c r="D356" s="13">
        <f>SUMIFS('RETAIL SALES DATA.'!$F$2:$F$1001,'RETAIL SALES DATA.'!$B$2:$B$1001,Custom!A356)</f>
        <v>4</v>
      </c>
    </row>
    <row r="357" spans="1:4" x14ac:dyDescent="0.3">
      <c r="A357" s="13" t="str">
        <v>Amanda Carroll</v>
      </c>
      <c r="B357" s="13" t="str">
        <v>Amanda Carroll</v>
      </c>
      <c r="C357" s="42" t="str">
        <v>Amanda Carroll</v>
      </c>
      <c r="D357" s="13">
        <f>SUMIFS('RETAIL SALES DATA.'!$F$2:$F$1001,'RETAIL SALES DATA.'!$B$2:$B$1001,Custom!A357)</f>
        <v>7</v>
      </c>
    </row>
    <row r="358" spans="1:4" x14ac:dyDescent="0.3">
      <c r="A358" s="13" t="str">
        <v>Angela Douglas</v>
      </c>
      <c r="B358" s="13" t="str">
        <v>Angela Douglas</v>
      </c>
      <c r="C358" s="42" t="str">
        <v>Angela Douglas</v>
      </c>
      <c r="D358" s="13">
        <f>SUMIFS('RETAIL SALES DATA.'!$F$2:$F$1001,'RETAIL SALES DATA.'!$B$2:$B$1001,Custom!A358)</f>
        <v>5</v>
      </c>
    </row>
    <row r="359" spans="1:4" x14ac:dyDescent="0.3">
      <c r="A359" s="13" t="str">
        <v>Andrew Daniels</v>
      </c>
      <c r="B359" s="13" t="str">
        <v>Andrew Daniels</v>
      </c>
      <c r="C359" s="42" t="str">
        <v>Andrew Daniels</v>
      </c>
      <c r="D359" s="13">
        <f>SUMIFS('RETAIL SALES DATA.'!$F$2:$F$1001,'RETAIL SALES DATA.'!$B$2:$B$1001,Custom!A359)</f>
        <v>10</v>
      </c>
    </row>
    <row r="360" spans="1:4" x14ac:dyDescent="0.3">
      <c r="A360" s="13" t="str">
        <v>Jodi Clark</v>
      </c>
      <c r="B360" s="13" t="str">
        <v>Jodi Clark</v>
      </c>
      <c r="C360" s="42" t="str">
        <v>Jodi Clark</v>
      </c>
      <c r="D360" s="13">
        <f>SUMIFS('RETAIL SALES DATA.'!$F$2:$F$1001,'RETAIL SALES DATA.'!$B$2:$B$1001,Custom!A360)</f>
        <v>17</v>
      </c>
    </row>
    <row r="361" spans="1:4" x14ac:dyDescent="0.3">
      <c r="A361" s="13" t="str">
        <v>Kristin Moore</v>
      </c>
      <c r="B361" s="13" t="str">
        <v>Kristin Moore</v>
      </c>
      <c r="C361" s="42" t="str">
        <v>Kristin Moore</v>
      </c>
      <c r="D361" s="13">
        <f>SUMIFS('RETAIL SALES DATA.'!$F$2:$F$1001,'RETAIL SALES DATA.'!$B$2:$B$1001,Custom!A361)</f>
        <v>19</v>
      </c>
    </row>
    <row r="362" spans="1:4" x14ac:dyDescent="0.3">
      <c r="A362" s="13" t="str">
        <v>John Baker</v>
      </c>
      <c r="B362" s="13" t="str">
        <v>John Baker</v>
      </c>
      <c r="C362" s="42" t="str">
        <v>John Baker</v>
      </c>
      <c r="D362" s="13">
        <f>SUMIFS('RETAIL SALES DATA.'!$F$2:$F$1001,'RETAIL SALES DATA.'!$B$2:$B$1001,Custom!A362)</f>
        <v>4</v>
      </c>
    </row>
    <row r="363" spans="1:4" x14ac:dyDescent="0.3">
      <c r="A363" s="13" t="str">
        <v>Shelley Wilson</v>
      </c>
      <c r="B363" s="13" t="str">
        <v>Shelley Wilson</v>
      </c>
      <c r="C363" s="42" t="str">
        <v>Shelley Wilson</v>
      </c>
      <c r="D363" s="13">
        <f>SUMIFS('RETAIL SALES DATA.'!$F$2:$F$1001,'RETAIL SALES DATA.'!$B$2:$B$1001,Custom!A363)</f>
        <v>7</v>
      </c>
    </row>
    <row r="364" spans="1:4" x14ac:dyDescent="0.3">
      <c r="A364" s="13" t="str">
        <v>Zachary Lloyd</v>
      </c>
      <c r="B364" s="13" t="str">
        <v>Zachary Lloyd</v>
      </c>
      <c r="C364" s="42" t="str">
        <v>Zachary Lloyd</v>
      </c>
      <c r="D364" s="13">
        <f>SUMIFS('RETAIL SALES DATA.'!$F$2:$F$1001,'RETAIL SALES DATA.'!$B$2:$B$1001,Custom!A364)</f>
        <v>3</v>
      </c>
    </row>
    <row r="365" spans="1:4" x14ac:dyDescent="0.3">
      <c r="A365" s="13" t="str">
        <v>Elizabeth Reyes</v>
      </c>
      <c r="B365" s="13" t="str">
        <v>Elizabeth Reyes</v>
      </c>
      <c r="C365" s="42" t="str">
        <v>Elizabeth Reyes</v>
      </c>
      <c r="D365" s="13">
        <f>SUMIFS('RETAIL SALES DATA.'!$F$2:$F$1001,'RETAIL SALES DATA.'!$B$2:$B$1001,Custom!A365)</f>
        <v>13</v>
      </c>
    </row>
    <row r="366" spans="1:4" x14ac:dyDescent="0.3">
      <c r="A366" s="13" t="str">
        <v>Megan Gutierrez</v>
      </c>
      <c r="B366" s="13" t="str">
        <v>Megan Gutierrez</v>
      </c>
      <c r="C366" s="42" t="str">
        <v>Megan Gutierrez</v>
      </c>
      <c r="D366" s="13">
        <f>SUMIFS('RETAIL SALES DATA.'!$F$2:$F$1001,'RETAIL SALES DATA.'!$B$2:$B$1001,Custom!A366)</f>
        <v>5</v>
      </c>
    </row>
    <row r="367" spans="1:4" x14ac:dyDescent="0.3">
      <c r="A367" s="13" t="str">
        <v>Charlene White</v>
      </c>
      <c r="B367" s="13" t="str">
        <v>Charlene White</v>
      </c>
      <c r="C367" s="42" t="str">
        <v>Charlene White</v>
      </c>
      <c r="D367" s="13">
        <f>SUMIFS('RETAIL SALES DATA.'!$F$2:$F$1001,'RETAIL SALES DATA.'!$B$2:$B$1001,Custom!A367)</f>
        <v>17</v>
      </c>
    </row>
    <row r="368" spans="1:4" x14ac:dyDescent="0.3">
      <c r="A368" s="13" t="str">
        <v>Terri Ochoa</v>
      </c>
      <c r="B368" s="13" t="str">
        <v>Terri Ochoa</v>
      </c>
      <c r="C368" s="42" t="str">
        <v>Terri Ochoa</v>
      </c>
      <c r="D368" s="13">
        <f>SUMIFS('RETAIL SALES DATA.'!$F$2:$F$1001,'RETAIL SALES DATA.'!$B$2:$B$1001,Custom!A368)</f>
        <v>13</v>
      </c>
    </row>
    <row r="369" spans="1:4" x14ac:dyDescent="0.3">
      <c r="A369" s="13" t="str">
        <v>Patricia Davis</v>
      </c>
      <c r="B369" s="13" t="str">
        <v>Patricia Davis</v>
      </c>
      <c r="C369" s="42" t="str">
        <v>Patricia Davis</v>
      </c>
      <c r="D369" s="13">
        <f>SUMIFS('RETAIL SALES DATA.'!$F$2:$F$1001,'RETAIL SALES DATA.'!$B$2:$B$1001,Custom!A369)</f>
        <v>2</v>
      </c>
    </row>
    <row r="370" spans="1:4" x14ac:dyDescent="0.3">
      <c r="A370" s="13" t="str">
        <v>Justin Ramirez</v>
      </c>
      <c r="B370" s="13" t="str">
        <v>Justin Ramirez</v>
      </c>
      <c r="C370" s="42" t="str">
        <v>Justin Ramirez</v>
      </c>
      <c r="D370" s="13">
        <f>SUMIFS('RETAIL SALES DATA.'!$F$2:$F$1001,'RETAIL SALES DATA.'!$B$2:$B$1001,Custom!A370)</f>
        <v>17</v>
      </c>
    </row>
    <row r="371" spans="1:4" x14ac:dyDescent="0.3">
      <c r="A371" s="13" t="str">
        <v>Robert Moses</v>
      </c>
      <c r="B371" s="13" t="str">
        <v>Robert Moses</v>
      </c>
      <c r="C371" s="42" t="str">
        <v>Robert Moses</v>
      </c>
      <c r="D371" s="13">
        <f>SUMIFS('RETAIL SALES DATA.'!$F$2:$F$1001,'RETAIL SALES DATA.'!$B$2:$B$1001,Custom!A371)</f>
        <v>10</v>
      </c>
    </row>
    <row r="372" spans="1:4" x14ac:dyDescent="0.3">
      <c r="A372" s="13" t="str">
        <v>Jenny Jones</v>
      </c>
      <c r="B372" s="13" t="str">
        <v>Jenny Jones</v>
      </c>
      <c r="C372" s="42" t="str">
        <v>Jenny Jones</v>
      </c>
      <c r="D372" s="13">
        <f>SUMIFS('RETAIL SALES DATA.'!$F$2:$F$1001,'RETAIL SALES DATA.'!$B$2:$B$1001,Custom!A372)</f>
        <v>3</v>
      </c>
    </row>
    <row r="373" spans="1:4" x14ac:dyDescent="0.3">
      <c r="A373" s="13" t="str">
        <v>Sarah Wang</v>
      </c>
      <c r="B373" s="13" t="str">
        <v>Sarah Wang</v>
      </c>
      <c r="C373" s="42" t="str">
        <v>Sarah Wang</v>
      </c>
      <c r="D373" s="13">
        <f>SUMIFS('RETAIL SALES DATA.'!$F$2:$F$1001,'RETAIL SALES DATA.'!$B$2:$B$1001,Custom!A373)</f>
        <v>13</v>
      </c>
    </row>
    <row r="374" spans="1:4" x14ac:dyDescent="0.3">
      <c r="A374" s="13" t="str">
        <v>Michelle Flowers</v>
      </c>
      <c r="B374" s="13" t="str">
        <v>Michelle Flowers</v>
      </c>
      <c r="C374" s="42" t="str">
        <v>Michelle Flowers</v>
      </c>
      <c r="D374" s="13">
        <f>SUMIFS('RETAIL SALES DATA.'!$F$2:$F$1001,'RETAIL SALES DATA.'!$B$2:$B$1001,Custom!A374)</f>
        <v>19</v>
      </c>
    </row>
    <row r="375" spans="1:4" x14ac:dyDescent="0.3">
      <c r="A375" s="13" t="str">
        <v>Anthony Klein</v>
      </c>
      <c r="B375" s="13" t="str">
        <v>Anthony Klein</v>
      </c>
      <c r="C375" s="42" t="str">
        <v>Anthony Klein</v>
      </c>
      <c r="D375" s="13">
        <f>SUMIFS('RETAIL SALES DATA.'!$F$2:$F$1001,'RETAIL SALES DATA.'!$B$2:$B$1001,Custom!A375)</f>
        <v>11</v>
      </c>
    </row>
    <row r="376" spans="1:4" x14ac:dyDescent="0.3">
      <c r="A376" s="13" t="str">
        <v>James Johnson</v>
      </c>
      <c r="B376" s="13" t="str">
        <v>James Johnson</v>
      </c>
      <c r="C376" s="42" t="str">
        <v>James Johnson</v>
      </c>
      <c r="D376" s="13">
        <f>SUMIFS('RETAIL SALES DATA.'!$F$2:$F$1001,'RETAIL SALES DATA.'!$B$2:$B$1001,Custom!A376)</f>
        <v>17</v>
      </c>
    </row>
    <row r="377" spans="1:4" x14ac:dyDescent="0.3">
      <c r="A377" s="13" t="str">
        <v>Rebecca Hill</v>
      </c>
      <c r="B377" s="13" t="str">
        <v>Rebecca Hill</v>
      </c>
      <c r="C377" s="42" t="str">
        <v>Rebecca Hill</v>
      </c>
      <c r="D377" s="13">
        <f>SUMIFS('RETAIL SALES DATA.'!$F$2:$F$1001,'RETAIL SALES DATA.'!$B$2:$B$1001,Custom!A377)</f>
        <v>17</v>
      </c>
    </row>
    <row r="378" spans="1:4" x14ac:dyDescent="0.3">
      <c r="A378" s="13" t="str">
        <v>Lori Yang</v>
      </c>
      <c r="B378" s="13" t="str">
        <v>Lori Yang</v>
      </c>
      <c r="C378" s="42" t="str">
        <v>Lori Yang</v>
      </c>
      <c r="D378" s="13">
        <f>SUMIFS('RETAIL SALES DATA.'!$F$2:$F$1001,'RETAIL SALES DATA.'!$B$2:$B$1001,Custom!A378)</f>
        <v>1</v>
      </c>
    </row>
    <row r="379" spans="1:4" x14ac:dyDescent="0.3">
      <c r="A379" s="13" t="str">
        <v>Michael Stewart</v>
      </c>
      <c r="B379" s="13" t="str">
        <v>Michael Stewart</v>
      </c>
      <c r="C379" s="42" t="str">
        <v>Michael Stewart</v>
      </c>
      <c r="D379" s="13">
        <f>SUMIFS('RETAIL SALES DATA.'!$F$2:$F$1001,'RETAIL SALES DATA.'!$B$2:$B$1001,Custom!A379)</f>
        <v>4</v>
      </c>
    </row>
    <row r="380" spans="1:4" x14ac:dyDescent="0.3">
      <c r="A380" s="13" t="str">
        <v>Kimberly Rocha</v>
      </c>
      <c r="B380" s="13" t="str">
        <v>Kimberly Rocha</v>
      </c>
      <c r="C380" s="42" t="str">
        <v>Kimberly Rocha</v>
      </c>
      <c r="D380" s="13">
        <f>SUMIFS('RETAIL SALES DATA.'!$F$2:$F$1001,'RETAIL SALES DATA.'!$B$2:$B$1001,Custom!A380)</f>
        <v>12</v>
      </c>
    </row>
    <row r="381" spans="1:4" x14ac:dyDescent="0.3">
      <c r="A381" s="13" t="str">
        <v>Joseph Lopez</v>
      </c>
      <c r="B381" s="13" t="str">
        <v>Joseph Lopez</v>
      </c>
      <c r="C381" s="42" t="str">
        <v>Joseph Lopez</v>
      </c>
      <c r="D381" s="13">
        <f>SUMIFS('RETAIL SALES DATA.'!$F$2:$F$1001,'RETAIL SALES DATA.'!$B$2:$B$1001,Custom!A381)</f>
        <v>3</v>
      </c>
    </row>
    <row r="382" spans="1:4" x14ac:dyDescent="0.3">
      <c r="A382" s="13" t="str">
        <v>Daniel Freeman</v>
      </c>
      <c r="B382" s="13" t="str">
        <v>Daniel Freeman</v>
      </c>
      <c r="C382" s="42" t="str">
        <v>Daniel Freeman</v>
      </c>
      <c r="D382" s="13">
        <f>SUMIFS('RETAIL SALES DATA.'!$F$2:$F$1001,'RETAIL SALES DATA.'!$B$2:$B$1001,Custom!A382)</f>
        <v>18</v>
      </c>
    </row>
    <row r="383" spans="1:4" x14ac:dyDescent="0.3">
      <c r="A383" s="13" t="str">
        <v>Sarah Jefferson</v>
      </c>
      <c r="B383" s="13" t="str">
        <v>Sarah Jefferson</v>
      </c>
      <c r="C383" s="42" t="str">
        <v>Sarah Jefferson</v>
      </c>
      <c r="D383" s="13">
        <f>SUMIFS('RETAIL SALES DATA.'!$F$2:$F$1001,'RETAIL SALES DATA.'!$B$2:$B$1001,Custom!A383)</f>
        <v>11</v>
      </c>
    </row>
    <row r="384" spans="1:4" x14ac:dyDescent="0.3">
      <c r="A384" s="13" t="str">
        <v>Mr. Eric Brown</v>
      </c>
      <c r="B384" s="13" t="str">
        <v>Mr. Eric Brown</v>
      </c>
      <c r="C384" s="42" t="str">
        <v>Mr. Eric Brown</v>
      </c>
      <c r="D384" s="13">
        <f>SUMIFS('RETAIL SALES DATA.'!$F$2:$F$1001,'RETAIL SALES DATA.'!$B$2:$B$1001,Custom!A384)</f>
        <v>6</v>
      </c>
    </row>
    <row r="385" spans="1:4" x14ac:dyDescent="0.3">
      <c r="A385" s="13" t="str">
        <v>Tara Medina</v>
      </c>
      <c r="B385" s="13" t="str">
        <v>Tara Medina</v>
      </c>
      <c r="C385" s="42" t="str">
        <v>Tara Medina</v>
      </c>
      <c r="D385" s="13">
        <f>SUMIFS('RETAIL SALES DATA.'!$F$2:$F$1001,'RETAIL SALES DATA.'!$B$2:$B$1001,Custom!A385)</f>
        <v>14</v>
      </c>
    </row>
    <row r="386" spans="1:4" x14ac:dyDescent="0.3">
      <c r="A386" s="13" t="str">
        <v>Anthony Miller</v>
      </c>
      <c r="B386" s="13" t="str">
        <v>Anthony Miller</v>
      </c>
      <c r="C386" s="42" t="str">
        <v>Anthony Miller</v>
      </c>
      <c r="D386" s="13">
        <f>SUMIFS('RETAIL SALES DATA.'!$F$2:$F$1001,'RETAIL SALES DATA.'!$B$2:$B$1001,Custom!A386)</f>
        <v>19</v>
      </c>
    </row>
    <row r="387" spans="1:4" x14ac:dyDescent="0.3">
      <c r="A387" s="13" t="str">
        <v>Corey Campbell</v>
      </c>
      <c r="B387" s="13" t="str">
        <v>Corey Campbell</v>
      </c>
      <c r="C387" s="42" t="str">
        <v>Corey Campbell</v>
      </c>
      <c r="D387" s="13">
        <f>SUMIFS('RETAIL SALES DATA.'!$F$2:$F$1001,'RETAIL SALES DATA.'!$B$2:$B$1001,Custom!A387)</f>
        <v>9</v>
      </c>
    </row>
    <row r="388" spans="1:4" x14ac:dyDescent="0.3">
      <c r="A388" s="13" t="str">
        <v>Mrs. Tricia Davies</v>
      </c>
      <c r="B388" s="13" t="str">
        <v>Mrs. Tricia Davies</v>
      </c>
      <c r="C388" s="42" t="str">
        <v>Mrs. Tricia Davies</v>
      </c>
      <c r="D388" s="13">
        <f>SUMIFS('RETAIL SALES DATA.'!$F$2:$F$1001,'RETAIL SALES DATA.'!$B$2:$B$1001,Custom!A388)</f>
        <v>19</v>
      </c>
    </row>
    <row r="389" spans="1:4" x14ac:dyDescent="0.3">
      <c r="A389" s="13" t="str">
        <v>Mary Lewis</v>
      </c>
      <c r="B389" s="13" t="str">
        <v>Mary Lewis</v>
      </c>
      <c r="C389" s="42" t="str">
        <v>Mary Lewis</v>
      </c>
      <c r="D389" s="13">
        <f>SUMIFS('RETAIL SALES DATA.'!$F$2:$F$1001,'RETAIL SALES DATA.'!$B$2:$B$1001,Custom!A389)</f>
        <v>19</v>
      </c>
    </row>
    <row r="390" spans="1:4" x14ac:dyDescent="0.3">
      <c r="A390" s="13" t="str">
        <v>Rachel Welch</v>
      </c>
      <c r="B390" s="13" t="str">
        <v>Rachel Welch</v>
      </c>
      <c r="C390" s="42" t="str">
        <v>Rachel Welch</v>
      </c>
      <c r="D390" s="13">
        <f>SUMIFS('RETAIL SALES DATA.'!$F$2:$F$1001,'RETAIL SALES DATA.'!$B$2:$B$1001,Custom!A390)</f>
        <v>17</v>
      </c>
    </row>
    <row r="391" spans="1:4" x14ac:dyDescent="0.3">
      <c r="A391" s="13" t="str">
        <v>Timothy Hogan</v>
      </c>
      <c r="B391" s="13" t="str">
        <v>Timothy Hogan</v>
      </c>
      <c r="C391" s="42" t="str">
        <v>Timothy Hogan</v>
      </c>
      <c r="D391" s="13">
        <f>SUMIFS('RETAIL SALES DATA.'!$F$2:$F$1001,'RETAIL SALES DATA.'!$B$2:$B$1001,Custom!A391)</f>
        <v>18</v>
      </c>
    </row>
    <row r="392" spans="1:4" x14ac:dyDescent="0.3">
      <c r="A392" s="13" t="str">
        <v>Todd Long</v>
      </c>
      <c r="B392" s="13" t="str">
        <v>Todd Long</v>
      </c>
      <c r="C392" s="42" t="str">
        <v>Todd Long</v>
      </c>
      <c r="D392" s="13">
        <f>SUMIFS('RETAIL SALES DATA.'!$F$2:$F$1001,'RETAIL SALES DATA.'!$B$2:$B$1001,Custom!A392)</f>
        <v>16</v>
      </c>
    </row>
    <row r="393" spans="1:4" x14ac:dyDescent="0.3">
      <c r="A393" s="13" t="str">
        <v>Jeremy Adams</v>
      </c>
      <c r="B393" s="13" t="str">
        <v>Jeremy Adams</v>
      </c>
      <c r="C393" s="42" t="str">
        <v>Jeremy Adams</v>
      </c>
      <c r="D393" s="13">
        <f>SUMIFS('RETAIL SALES DATA.'!$F$2:$F$1001,'RETAIL SALES DATA.'!$B$2:$B$1001,Custom!A393)</f>
        <v>4</v>
      </c>
    </row>
    <row r="394" spans="1:4" x14ac:dyDescent="0.3">
      <c r="A394" s="13" t="str">
        <v>Christopher Cooper</v>
      </c>
      <c r="B394" s="13" t="str">
        <v>Christopher Cooper</v>
      </c>
      <c r="C394" s="42" t="str">
        <v>Christopher Cooper</v>
      </c>
      <c r="D394" s="13">
        <f>SUMIFS('RETAIL SALES DATA.'!$F$2:$F$1001,'RETAIL SALES DATA.'!$B$2:$B$1001,Custom!A394)</f>
        <v>10</v>
      </c>
    </row>
    <row r="395" spans="1:4" x14ac:dyDescent="0.3">
      <c r="A395" s="13" t="str">
        <v>Benjamin Jackson</v>
      </c>
      <c r="B395" s="13" t="str">
        <v>Benjamin Jackson</v>
      </c>
      <c r="C395" s="42" t="str">
        <v>Benjamin Jackson</v>
      </c>
      <c r="D395" s="13">
        <f>SUMIFS('RETAIL SALES DATA.'!$F$2:$F$1001,'RETAIL SALES DATA.'!$B$2:$B$1001,Custom!A395)</f>
        <v>12</v>
      </c>
    </row>
    <row r="396" spans="1:4" x14ac:dyDescent="0.3">
      <c r="A396" s="13" t="str">
        <v>Neil Martinez</v>
      </c>
      <c r="B396" s="13" t="str">
        <v>Neil Martinez</v>
      </c>
      <c r="C396" s="42" t="str">
        <v>Neil Martinez</v>
      </c>
      <c r="D396" s="13">
        <f>SUMIFS('RETAIL SALES DATA.'!$F$2:$F$1001,'RETAIL SALES DATA.'!$B$2:$B$1001,Custom!A396)</f>
        <v>4</v>
      </c>
    </row>
    <row r="397" spans="1:4" x14ac:dyDescent="0.3">
      <c r="A397" s="13" t="str">
        <v>Craig Daniels</v>
      </c>
      <c r="B397" s="13" t="str">
        <v>Craig Daniels</v>
      </c>
      <c r="C397" s="42" t="str">
        <v>Craig Daniels</v>
      </c>
      <c r="D397" s="13">
        <f>SUMIFS('RETAIL SALES DATA.'!$F$2:$F$1001,'RETAIL SALES DATA.'!$B$2:$B$1001,Custom!A397)</f>
        <v>4</v>
      </c>
    </row>
    <row r="398" spans="1:4" x14ac:dyDescent="0.3">
      <c r="A398" s="13" t="str">
        <v>Jean Palmer</v>
      </c>
      <c r="B398" s="13" t="str">
        <v>Jean Palmer</v>
      </c>
      <c r="C398" s="42" t="str">
        <v>Jean Palmer</v>
      </c>
      <c r="D398" s="13">
        <f>SUMIFS('RETAIL SALES DATA.'!$F$2:$F$1001,'RETAIL SALES DATA.'!$B$2:$B$1001,Custom!A398)</f>
        <v>16</v>
      </c>
    </row>
    <row r="399" spans="1:4" x14ac:dyDescent="0.3">
      <c r="A399" s="13" t="str">
        <v>John Serrano</v>
      </c>
      <c r="B399" s="13" t="str">
        <v>John Serrano</v>
      </c>
      <c r="C399" s="42" t="str">
        <v>John Serrano</v>
      </c>
      <c r="D399" s="13">
        <f>SUMIFS('RETAIL SALES DATA.'!$F$2:$F$1001,'RETAIL SALES DATA.'!$B$2:$B$1001,Custom!A399)</f>
        <v>9</v>
      </c>
    </row>
    <row r="400" spans="1:4" x14ac:dyDescent="0.3">
      <c r="A400" s="13" t="str">
        <v>Hannah Watson</v>
      </c>
      <c r="B400" s="13" t="str">
        <v>Hannah Watson</v>
      </c>
      <c r="C400" s="42" t="str">
        <v>Hannah Watson</v>
      </c>
      <c r="D400" s="13">
        <f>SUMIFS('RETAIL SALES DATA.'!$F$2:$F$1001,'RETAIL SALES DATA.'!$B$2:$B$1001,Custom!A400)</f>
        <v>4</v>
      </c>
    </row>
    <row r="401" spans="1:4" x14ac:dyDescent="0.3">
      <c r="A401" s="13" t="str">
        <v>Laura Kerr</v>
      </c>
      <c r="B401" s="13" t="str">
        <v>Laura Kerr</v>
      </c>
      <c r="C401" s="42" t="str">
        <v>Laura Kerr</v>
      </c>
      <c r="D401" s="13">
        <f>SUMIFS('RETAIL SALES DATA.'!$F$2:$F$1001,'RETAIL SALES DATA.'!$B$2:$B$1001,Custom!A401)</f>
        <v>18</v>
      </c>
    </row>
    <row r="402" spans="1:4" x14ac:dyDescent="0.3">
      <c r="A402" s="13" t="str">
        <v>Ryan Perez</v>
      </c>
      <c r="B402" s="13" t="str">
        <v>Ryan Perez</v>
      </c>
      <c r="C402" s="42" t="str">
        <v>Ryan Perez</v>
      </c>
      <c r="D402" s="13">
        <f>SUMIFS('RETAIL SALES DATA.'!$F$2:$F$1001,'RETAIL SALES DATA.'!$B$2:$B$1001,Custom!A402)</f>
        <v>18</v>
      </c>
    </row>
    <row r="403" spans="1:4" x14ac:dyDescent="0.3">
      <c r="A403" s="13" t="str">
        <v>Karen Leon</v>
      </c>
      <c r="B403" s="13" t="str">
        <v>Karen Leon</v>
      </c>
      <c r="C403" s="42" t="str">
        <v>Karen Leon</v>
      </c>
      <c r="D403" s="13">
        <f>SUMIFS('RETAIL SALES DATA.'!$F$2:$F$1001,'RETAIL SALES DATA.'!$B$2:$B$1001,Custom!A403)</f>
        <v>19</v>
      </c>
    </row>
    <row r="404" spans="1:4" x14ac:dyDescent="0.3">
      <c r="A404" s="13" t="str">
        <v>Darlene Garcia MD</v>
      </c>
      <c r="B404" s="13" t="str">
        <v>Darlene Garcia MD</v>
      </c>
      <c r="C404" s="42" t="str">
        <v>Darlene Garcia Md</v>
      </c>
      <c r="D404" s="13">
        <f>SUMIFS('RETAIL SALES DATA.'!$F$2:$F$1001,'RETAIL SALES DATA.'!$B$2:$B$1001,Custom!A404)</f>
        <v>11</v>
      </c>
    </row>
    <row r="405" spans="1:4" x14ac:dyDescent="0.3">
      <c r="A405" s="13" t="str">
        <v>Robin Novak</v>
      </c>
      <c r="B405" s="13" t="str">
        <v>Robin Novak</v>
      </c>
      <c r="C405" s="42" t="str">
        <v>Robin Novak</v>
      </c>
      <c r="D405" s="13">
        <f>SUMIFS('RETAIL SALES DATA.'!$F$2:$F$1001,'RETAIL SALES DATA.'!$B$2:$B$1001,Custom!A405)</f>
        <v>7</v>
      </c>
    </row>
    <row r="406" spans="1:4" x14ac:dyDescent="0.3">
      <c r="A406" s="13" t="str">
        <v>Justin Taylor</v>
      </c>
      <c r="B406" s="13" t="str">
        <v>Justin Taylor</v>
      </c>
      <c r="C406" s="42" t="str">
        <v>Justin Taylor</v>
      </c>
      <c r="D406" s="13">
        <f>SUMIFS('RETAIL SALES DATA.'!$F$2:$F$1001,'RETAIL SALES DATA.'!$B$2:$B$1001,Custom!A406)</f>
        <v>5</v>
      </c>
    </row>
    <row r="407" spans="1:4" x14ac:dyDescent="0.3">
      <c r="A407" s="13" t="str">
        <v>Ryan Kelley</v>
      </c>
      <c r="B407" s="13" t="str">
        <v>Ryan Kelley</v>
      </c>
      <c r="C407" s="42" t="str">
        <v>Ryan Kelley</v>
      </c>
      <c r="D407" s="13">
        <f>SUMIFS('RETAIL SALES DATA.'!$F$2:$F$1001,'RETAIL SALES DATA.'!$B$2:$B$1001,Custom!A407)</f>
        <v>7</v>
      </c>
    </row>
    <row r="408" spans="1:4" x14ac:dyDescent="0.3">
      <c r="A408" s="13" t="str">
        <v>Matthew Long</v>
      </c>
      <c r="B408" s="13" t="str">
        <v>Matthew Long</v>
      </c>
      <c r="C408" s="42" t="str">
        <v>Matthew Long</v>
      </c>
      <c r="D408" s="13">
        <f>SUMIFS('RETAIL SALES DATA.'!$F$2:$F$1001,'RETAIL SALES DATA.'!$B$2:$B$1001,Custom!A408)</f>
        <v>13</v>
      </c>
    </row>
    <row r="409" spans="1:4" x14ac:dyDescent="0.3">
      <c r="A409" s="13" t="str">
        <v>Sheila Perez</v>
      </c>
      <c r="B409" s="13" t="str">
        <v>Sheila Perez</v>
      </c>
      <c r="C409" s="42" t="str">
        <v>Sheila Perez</v>
      </c>
      <c r="D409" s="13">
        <f>SUMIFS('RETAIL SALES DATA.'!$F$2:$F$1001,'RETAIL SALES DATA.'!$B$2:$B$1001,Custom!A409)</f>
        <v>3</v>
      </c>
    </row>
    <row r="410" spans="1:4" x14ac:dyDescent="0.3">
      <c r="A410" s="13" t="str">
        <v>Matthew Bennett</v>
      </c>
      <c r="B410" s="13" t="str">
        <v>Matthew Bennett</v>
      </c>
      <c r="C410" s="42" t="str">
        <v>Matthew Bennett</v>
      </c>
      <c r="D410" s="13">
        <f>SUMIFS('RETAIL SALES DATA.'!$F$2:$F$1001,'RETAIL SALES DATA.'!$B$2:$B$1001,Custom!A410)</f>
        <v>12</v>
      </c>
    </row>
    <row r="411" spans="1:4" x14ac:dyDescent="0.3">
      <c r="A411" s="13" t="str">
        <v>Kristin Robinson</v>
      </c>
      <c r="B411" s="13" t="str">
        <v>Kristin Robinson</v>
      </c>
      <c r="C411" s="42" t="str">
        <v>Kristin Robinson</v>
      </c>
      <c r="D411" s="13">
        <f>SUMIFS('RETAIL SALES DATA.'!$F$2:$F$1001,'RETAIL SALES DATA.'!$B$2:$B$1001,Custom!A411)</f>
        <v>10</v>
      </c>
    </row>
    <row r="412" spans="1:4" x14ac:dyDescent="0.3">
      <c r="A412" s="13" t="str">
        <v>Autumn Harrison</v>
      </c>
      <c r="B412" s="13" t="str">
        <v>Autumn Harrison</v>
      </c>
      <c r="C412" s="42" t="str">
        <v>Autumn Harrison</v>
      </c>
      <c r="D412" s="13">
        <f>SUMIFS('RETAIL SALES DATA.'!$F$2:$F$1001,'RETAIL SALES DATA.'!$B$2:$B$1001,Custom!A412)</f>
        <v>16</v>
      </c>
    </row>
    <row r="413" spans="1:4" x14ac:dyDescent="0.3">
      <c r="A413" s="13" t="str">
        <v>Stephanie Miller</v>
      </c>
      <c r="B413" s="13" t="str">
        <v>Stephanie Miller</v>
      </c>
      <c r="C413" s="42" t="str">
        <v>Stephanie Miller</v>
      </c>
      <c r="D413" s="13">
        <f>SUMIFS('RETAIL SALES DATA.'!$F$2:$F$1001,'RETAIL SALES DATA.'!$B$2:$B$1001,Custom!A413)</f>
        <v>9</v>
      </c>
    </row>
    <row r="414" spans="1:4" x14ac:dyDescent="0.3">
      <c r="A414" s="13" t="str">
        <v>Shaun Smith</v>
      </c>
      <c r="B414" s="13" t="str">
        <v>Shaun Smith</v>
      </c>
      <c r="C414" s="42" t="str">
        <v>Shaun Smith</v>
      </c>
      <c r="D414" s="13">
        <f>SUMIFS('RETAIL SALES DATA.'!$F$2:$F$1001,'RETAIL SALES DATA.'!$B$2:$B$1001,Custom!A414)</f>
        <v>15</v>
      </c>
    </row>
    <row r="415" spans="1:4" x14ac:dyDescent="0.3">
      <c r="A415" s="13" t="str">
        <v>Christine Luna</v>
      </c>
      <c r="B415" s="13" t="str">
        <v>Christine Luna</v>
      </c>
      <c r="C415" s="42" t="str">
        <v>Christine Luna</v>
      </c>
      <c r="D415" s="13">
        <f>SUMIFS('RETAIL SALES DATA.'!$F$2:$F$1001,'RETAIL SALES DATA.'!$B$2:$B$1001,Custom!A415)</f>
        <v>1</v>
      </c>
    </row>
    <row r="416" spans="1:4" x14ac:dyDescent="0.3">
      <c r="A416" s="13" t="str">
        <v>Wendy Lee</v>
      </c>
      <c r="B416" s="13" t="str">
        <v>Wendy Lee</v>
      </c>
      <c r="C416" s="42" t="str">
        <v>Wendy Lee</v>
      </c>
      <c r="D416" s="13">
        <f>SUMIFS('RETAIL SALES DATA.'!$F$2:$F$1001,'RETAIL SALES DATA.'!$B$2:$B$1001,Custom!A416)</f>
        <v>19</v>
      </c>
    </row>
    <row r="417" spans="1:4" x14ac:dyDescent="0.3">
      <c r="A417" s="13" t="str">
        <v>Megan Vasquez</v>
      </c>
      <c r="B417" s="13" t="str">
        <v>Megan Vasquez</v>
      </c>
      <c r="C417" s="42" t="str">
        <v>Megan Vasquez</v>
      </c>
      <c r="D417" s="13">
        <f>SUMIFS('RETAIL SALES DATA.'!$F$2:$F$1001,'RETAIL SALES DATA.'!$B$2:$B$1001,Custom!A417)</f>
        <v>7</v>
      </c>
    </row>
    <row r="418" spans="1:4" x14ac:dyDescent="0.3">
      <c r="A418" s="13" t="str">
        <v>Anthony Gordon</v>
      </c>
      <c r="B418" s="13" t="str">
        <v>Anthony Gordon</v>
      </c>
      <c r="C418" s="42" t="str">
        <v>Anthony Gordon</v>
      </c>
      <c r="D418" s="13">
        <f>SUMIFS('RETAIL SALES DATA.'!$F$2:$F$1001,'RETAIL SALES DATA.'!$B$2:$B$1001,Custom!A418)</f>
        <v>2</v>
      </c>
    </row>
    <row r="419" spans="1:4" x14ac:dyDescent="0.3">
      <c r="A419" s="13" t="str">
        <v>Mrs. Emma Bradford</v>
      </c>
      <c r="B419" s="13" t="str">
        <v>Mrs. Emma Bradford</v>
      </c>
      <c r="C419" s="42" t="str">
        <v>Mrs. Emma Bradford</v>
      </c>
      <c r="D419" s="13">
        <f>SUMIFS('RETAIL SALES DATA.'!$F$2:$F$1001,'RETAIL SALES DATA.'!$B$2:$B$1001,Custom!A419)</f>
        <v>20</v>
      </c>
    </row>
    <row r="420" spans="1:4" x14ac:dyDescent="0.3">
      <c r="A420" s="13" t="str">
        <v>Kenneth Schmidt</v>
      </c>
      <c r="B420" s="13" t="str">
        <v>Kenneth Schmidt</v>
      </c>
      <c r="C420" s="42" t="str">
        <v>Kenneth Schmidt</v>
      </c>
      <c r="D420" s="13">
        <f>SUMIFS('RETAIL SALES DATA.'!$F$2:$F$1001,'RETAIL SALES DATA.'!$B$2:$B$1001,Custom!A420)</f>
        <v>8</v>
      </c>
    </row>
    <row r="421" spans="1:4" x14ac:dyDescent="0.3">
      <c r="A421" s="13" t="str">
        <v>Sara Johnson</v>
      </c>
      <c r="B421" s="13" t="str">
        <v>Sara Johnson</v>
      </c>
      <c r="C421" s="42" t="str">
        <v>Sara Johnson</v>
      </c>
      <c r="D421" s="13">
        <f>SUMIFS('RETAIL SALES DATA.'!$F$2:$F$1001,'RETAIL SALES DATA.'!$B$2:$B$1001,Custom!A421)</f>
        <v>17</v>
      </c>
    </row>
    <row r="422" spans="1:4" x14ac:dyDescent="0.3">
      <c r="A422" s="13" t="str">
        <v>Jessica Terry</v>
      </c>
      <c r="B422" s="13" t="str">
        <v>Jessica Terry</v>
      </c>
      <c r="C422" s="42" t="str">
        <v>Jessica Terry</v>
      </c>
      <c r="D422" s="13">
        <f>SUMIFS('RETAIL SALES DATA.'!$F$2:$F$1001,'RETAIL SALES DATA.'!$B$2:$B$1001,Custom!A422)</f>
        <v>8</v>
      </c>
    </row>
    <row r="423" spans="1:4" x14ac:dyDescent="0.3">
      <c r="A423" s="13" t="str">
        <v>Jennifer Maldonado</v>
      </c>
      <c r="B423" s="13" t="str">
        <v>Jennifer Maldonado</v>
      </c>
      <c r="C423" s="42" t="str">
        <v>Jennifer Maldonado</v>
      </c>
      <c r="D423" s="13">
        <f>SUMIFS('RETAIL SALES DATA.'!$F$2:$F$1001,'RETAIL SALES DATA.'!$B$2:$B$1001,Custom!A423)</f>
        <v>1</v>
      </c>
    </row>
    <row r="424" spans="1:4" x14ac:dyDescent="0.3">
      <c r="A424" s="13" t="str">
        <v>Julie Sutton DVM</v>
      </c>
      <c r="B424" s="13" t="str">
        <v>Julie Sutton DVM</v>
      </c>
      <c r="C424" s="42" t="str">
        <v>Julie Sutton Dvm</v>
      </c>
      <c r="D424" s="13">
        <f>SUMIFS('RETAIL SALES DATA.'!$F$2:$F$1001,'RETAIL SALES DATA.'!$B$2:$B$1001,Custom!A424)</f>
        <v>5</v>
      </c>
    </row>
    <row r="425" spans="1:4" x14ac:dyDescent="0.3">
      <c r="A425" s="13" t="str">
        <v>Karen Grimes</v>
      </c>
      <c r="B425" s="13" t="str">
        <v>Karen Grimes</v>
      </c>
      <c r="C425" s="42" t="str">
        <v>Karen Grimes</v>
      </c>
      <c r="D425" s="13">
        <f>SUMIFS('RETAIL SALES DATA.'!$F$2:$F$1001,'RETAIL SALES DATA.'!$B$2:$B$1001,Custom!A425)</f>
        <v>17</v>
      </c>
    </row>
    <row r="426" spans="1:4" x14ac:dyDescent="0.3">
      <c r="A426" s="13" t="str">
        <v>Janet George</v>
      </c>
      <c r="B426" s="13" t="str">
        <v>Janet George</v>
      </c>
      <c r="C426" s="42" t="str">
        <v>Janet George</v>
      </c>
      <c r="D426" s="13">
        <f>SUMIFS('RETAIL SALES DATA.'!$F$2:$F$1001,'RETAIL SALES DATA.'!$B$2:$B$1001,Custom!A426)</f>
        <v>13</v>
      </c>
    </row>
    <row r="427" spans="1:4" x14ac:dyDescent="0.3">
      <c r="A427" s="13" t="str">
        <v>Eric Nelson</v>
      </c>
      <c r="B427" s="13" t="str">
        <v>Eric Nelson</v>
      </c>
      <c r="C427" s="42" t="str">
        <v>Eric Nelson</v>
      </c>
      <c r="D427" s="13">
        <f>SUMIFS('RETAIL SALES DATA.'!$F$2:$F$1001,'RETAIL SALES DATA.'!$B$2:$B$1001,Custom!A427)</f>
        <v>17</v>
      </c>
    </row>
    <row r="428" spans="1:4" x14ac:dyDescent="0.3">
      <c r="A428" s="13" t="str">
        <v>Jennifer Gonzales</v>
      </c>
      <c r="B428" s="13" t="str">
        <v>Jennifer Gonzales</v>
      </c>
      <c r="C428" s="42" t="str">
        <v>Jennifer Gonzales</v>
      </c>
      <c r="D428" s="13">
        <f>SUMIFS('RETAIL SALES DATA.'!$F$2:$F$1001,'RETAIL SALES DATA.'!$B$2:$B$1001,Custom!A428)</f>
        <v>8</v>
      </c>
    </row>
    <row r="429" spans="1:4" x14ac:dyDescent="0.3">
      <c r="A429" s="13" t="str">
        <v>Linda Jones</v>
      </c>
      <c r="B429" s="13" t="str">
        <v>Linda Jones</v>
      </c>
      <c r="C429" s="42" t="str">
        <v>Linda Jones</v>
      </c>
      <c r="D429" s="13">
        <f>SUMIFS('RETAIL SALES DATA.'!$F$2:$F$1001,'RETAIL SALES DATA.'!$B$2:$B$1001,Custom!A429)</f>
        <v>1</v>
      </c>
    </row>
    <row r="430" spans="1:4" x14ac:dyDescent="0.3">
      <c r="A430" s="13" t="str">
        <v>Joseph Michael</v>
      </c>
      <c r="B430" s="13" t="str">
        <v>Joseph Michael</v>
      </c>
      <c r="C430" s="42" t="str">
        <v>Joseph Michael</v>
      </c>
      <c r="D430" s="13">
        <f>SUMIFS('RETAIL SALES DATA.'!$F$2:$F$1001,'RETAIL SALES DATA.'!$B$2:$B$1001,Custom!A430)</f>
        <v>6</v>
      </c>
    </row>
    <row r="431" spans="1:4" x14ac:dyDescent="0.3">
      <c r="A431" s="13" t="str">
        <v>Geoffrey Murphy</v>
      </c>
      <c r="B431" s="13" t="str">
        <v>Geoffrey Murphy</v>
      </c>
      <c r="C431" s="42" t="str">
        <v>Geoffrey Murphy</v>
      </c>
      <c r="D431" s="13">
        <f>SUMIFS('RETAIL SALES DATA.'!$F$2:$F$1001,'RETAIL SALES DATA.'!$B$2:$B$1001,Custom!A431)</f>
        <v>15</v>
      </c>
    </row>
    <row r="432" spans="1:4" x14ac:dyDescent="0.3">
      <c r="A432" s="13" t="str">
        <v>Beverly Hill</v>
      </c>
      <c r="B432" s="13" t="str">
        <v>Beverly Hill</v>
      </c>
      <c r="C432" s="42" t="str">
        <v>Beverly Hill</v>
      </c>
      <c r="D432" s="13">
        <f>SUMIFS('RETAIL SALES DATA.'!$F$2:$F$1001,'RETAIL SALES DATA.'!$B$2:$B$1001,Custom!A432)</f>
        <v>19</v>
      </c>
    </row>
    <row r="433" spans="1:4" x14ac:dyDescent="0.3">
      <c r="A433" s="13" t="str">
        <v>Jennifer Vargas</v>
      </c>
      <c r="B433" s="13" t="str">
        <v>Jennifer Vargas</v>
      </c>
      <c r="C433" s="42" t="str">
        <v>Jennifer Vargas</v>
      </c>
      <c r="D433" s="13">
        <f>SUMIFS('RETAIL SALES DATA.'!$F$2:$F$1001,'RETAIL SALES DATA.'!$B$2:$B$1001,Custom!A433)</f>
        <v>18</v>
      </c>
    </row>
    <row r="434" spans="1:4" x14ac:dyDescent="0.3">
      <c r="A434" s="13" t="str">
        <v>Steven Anderson</v>
      </c>
      <c r="B434" s="13" t="str">
        <v>Steven Anderson</v>
      </c>
      <c r="C434" s="42" t="str">
        <v>Steven Anderson</v>
      </c>
      <c r="D434" s="13">
        <f>SUMIFS('RETAIL SALES DATA.'!$F$2:$F$1001,'RETAIL SALES DATA.'!$B$2:$B$1001,Custom!A434)</f>
        <v>2</v>
      </c>
    </row>
    <row r="435" spans="1:4" x14ac:dyDescent="0.3">
      <c r="A435" s="13" t="str">
        <v>Mary Allen</v>
      </c>
      <c r="B435" s="13" t="str">
        <v>Mary Allen</v>
      </c>
      <c r="C435" s="42" t="str">
        <v>Mary Allen</v>
      </c>
      <c r="D435" s="13">
        <f>SUMIFS('RETAIL SALES DATA.'!$F$2:$F$1001,'RETAIL SALES DATA.'!$B$2:$B$1001,Custom!A435)</f>
        <v>5</v>
      </c>
    </row>
    <row r="436" spans="1:4" x14ac:dyDescent="0.3">
      <c r="A436" s="13" t="str">
        <v>Alejandra Boone</v>
      </c>
      <c r="B436" s="13" t="str">
        <v>Alejandra Boone</v>
      </c>
      <c r="C436" s="42" t="str">
        <v>Alejandra Boone</v>
      </c>
      <c r="D436" s="13">
        <f>SUMIFS('RETAIL SALES DATA.'!$F$2:$F$1001,'RETAIL SALES DATA.'!$B$2:$B$1001,Custom!A436)</f>
        <v>6</v>
      </c>
    </row>
    <row r="437" spans="1:4" x14ac:dyDescent="0.3">
      <c r="A437" s="13" t="str">
        <v>Michael Spears</v>
      </c>
      <c r="B437" s="13" t="str">
        <v>Michael Spears</v>
      </c>
      <c r="C437" s="42" t="str">
        <v>Michael Spears</v>
      </c>
      <c r="D437" s="13">
        <f>SUMIFS('RETAIL SALES DATA.'!$F$2:$F$1001,'RETAIL SALES DATA.'!$B$2:$B$1001,Custom!A437)</f>
        <v>16</v>
      </c>
    </row>
    <row r="438" spans="1:4" x14ac:dyDescent="0.3">
      <c r="A438" s="13" t="str">
        <v>Kristen Miles</v>
      </c>
      <c r="B438" s="13" t="str">
        <v>Kristen Miles</v>
      </c>
      <c r="C438" s="42" t="str">
        <v>Kristen Miles</v>
      </c>
      <c r="D438" s="13">
        <f>SUMIFS('RETAIL SALES DATA.'!$F$2:$F$1001,'RETAIL SALES DATA.'!$B$2:$B$1001,Custom!A438)</f>
        <v>11</v>
      </c>
    </row>
    <row r="439" spans="1:4" x14ac:dyDescent="0.3">
      <c r="A439" s="13" t="str">
        <v>Latoya Soto</v>
      </c>
      <c r="B439" s="13" t="str">
        <v>Latoya Soto</v>
      </c>
      <c r="C439" s="42" t="str">
        <v>Latoya Soto</v>
      </c>
      <c r="D439" s="13">
        <f>SUMIFS('RETAIL SALES DATA.'!$F$2:$F$1001,'RETAIL SALES DATA.'!$B$2:$B$1001,Custom!A439)</f>
        <v>15</v>
      </c>
    </row>
    <row r="440" spans="1:4" x14ac:dyDescent="0.3">
      <c r="A440" s="13" t="str">
        <v>Daniel Booker</v>
      </c>
      <c r="B440" s="13" t="str">
        <v>Daniel Booker</v>
      </c>
      <c r="C440" s="42" t="str">
        <v>Daniel Booker</v>
      </c>
      <c r="D440" s="13">
        <f>SUMIFS('RETAIL SALES DATA.'!$F$2:$F$1001,'RETAIL SALES DATA.'!$B$2:$B$1001,Custom!A440)</f>
        <v>3</v>
      </c>
    </row>
    <row r="441" spans="1:4" x14ac:dyDescent="0.3">
      <c r="A441" s="13" t="str">
        <v>Dr. James Stanley DDS</v>
      </c>
      <c r="B441" s="13" t="str">
        <v>Dr. James Stanley DDS</v>
      </c>
      <c r="C441" s="42" t="str">
        <v>Dr. James Stanley Dds</v>
      </c>
      <c r="D441" s="13">
        <f>SUMIFS('RETAIL SALES DATA.'!$F$2:$F$1001,'RETAIL SALES DATA.'!$B$2:$B$1001,Custom!A441)</f>
        <v>12</v>
      </c>
    </row>
    <row r="442" spans="1:4" x14ac:dyDescent="0.3">
      <c r="A442" s="13" t="str">
        <v>Courtney Martin DDS</v>
      </c>
      <c r="B442" s="13" t="str">
        <v>Courtney Martin DDS</v>
      </c>
      <c r="C442" s="42" t="str">
        <v>Courtney Martin Dds</v>
      </c>
      <c r="D442" s="13">
        <f>SUMIFS('RETAIL SALES DATA.'!$F$2:$F$1001,'RETAIL SALES DATA.'!$B$2:$B$1001,Custom!A442)</f>
        <v>19</v>
      </c>
    </row>
    <row r="443" spans="1:4" x14ac:dyDescent="0.3">
      <c r="A443" s="13" t="str">
        <v>Michael Williams</v>
      </c>
      <c r="B443" s="13" t="str">
        <v>Michael Williams</v>
      </c>
      <c r="C443" s="42" t="str">
        <v>Michael Williams</v>
      </c>
      <c r="D443" s="13">
        <f>SUMIFS('RETAIL SALES DATA.'!$F$2:$F$1001,'RETAIL SALES DATA.'!$B$2:$B$1001,Custom!A443)</f>
        <v>6</v>
      </c>
    </row>
    <row r="444" spans="1:4" x14ac:dyDescent="0.3">
      <c r="A444" s="13" t="str">
        <v>David Hayes</v>
      </c>
      <c r="B444" s="13" t="str">
        <v>David Hayes</v>
      </c>
      <c r="C444" s="42" t="str">
        <v>David Hayes</v>
      </c>
      <c r="D444" s="13">
        <f>SUMIFS('RETAIL SALES DATA.'!$F$2:$F$1001,'RETAIL SALES DATA.'!$B$2:$B$1001,Custom!A444)</f>
        <v>15</v>
      </c>
    </row>
    <row r="445" spans="1:4" x14ac:dyDescent="0.3">
      <c r="A445" s="13" t="str">
        <v>Cassandra French</v>
      </c>
      <c r="B445" s="13" t="str">
        <v>Cassandra French</v>
      </c>
      <c r="C445" s="42" t="str">
        <v>Cassandra French</v>
      </c>
      <c r="D445" s="13">
        <f>SUMIFS('RETAIL SALES DATA.'!$F$2:$F$1001,'RETAIL SALES DATA.'!$B$2:$B$1001,Custom!A445)</f>
        <v>18</v>
      </c>
    </row>
    <row r="446" spans="1:4" x14ac:dyDescent="0.3">
      <c r="A446" s="13" t="str">
        <v>Amy Smith</v>
      </c>
      <c r="B446" s="13" t="str">
        <v>Amy Smith</v>
      </c>
      <c r="C446" s="42" t="str">
        <v>Amy Smith</v>
      </c>
      <c r="D446" s="13">
        <f>SUMIFS('RETAIL SALES DATA.'!$F$2:$F$1001,'RETAIL SALES DATA.'!$B$2:$B$1001,Custom!A446)</f>
        <v>15</v>
      </c>
    </row>
    <row r="447" spans="1:4" x14ac:dyDescent="0.3">
      <c r="A447" s="13" t="str">
        <v>Megan Fernandez</v>
      </c>
      <c r="B447" s="13" t="str">
        <v>Megan Fernandez</v>
      </c>
      <c r="C447" s="42" t="str">
        <v>Megan Fernandez</v>
      </c>
      <c r="D447" s="13">
        <f>SUMIFS('RETAIL SALES DATA.'!$F$2:$F$1001,'RETAIL SALES DATA.'!$B$2:$B$1001,Custom!A447)</f>
        <v>2</v>
      </c>
    </row>
    <row r="448" spans="1:4" x14ac:dyDescent="0.3">
      <c r="A448" s="13" t="str">
        <v>Kimberly Herrera</v>
      </c>
      <c r="B448" s="13" t="str">
        <v>Kimberly Herrera</v>
      </c>
      <c r="C448" s="42" t="str">
        <v>Kimberly Herrera</v>
      </c>
      <c r="D448" s="13">
        <f>SUMIFS('RETAIL SALES DATA.'!$F$2:$F$1001,'RETAIL SALES DATA.'!$B$2:$B$1001,Custom!A448)</f>
        <v>16</v>
      </c>
    </row>
    <row r="449" spans="1:4" x14ac:dyDescent="0.3">
      <c r="A449" s="13" t="str">
        <v>John Howard</v>
      </c>
      <c r="B449" s="13" t="str">
        <v>John Howard</v>
      </c>
      <c r="C449" s="42" t="str">
        <v>John Howard</v>
      </c>
      <c r="D449" s="13">
        <f>SUMIFS('RETAIL SALES DATA.'!$F$2:$F$1001,'RETAIL SALES DATA.'!$B$2:$B$1001,Custom!A449)</f>
        <v>3</v>
      </c>
    </row>
    <row r="450" spans="1:4" x14ac:dyDescent="0.3">
      <c r="A450" s="13" t="str">
        <v>Matthew Gomez</v>
      </c>
      <c r="B450" s="13" t="str">
        <v>Matthew Gomez</v>
      </c>
      <c r="C450" s="42" t="str">
        <v>Matthew Gomez</v>
      </c>
      <c r="D450" s="13">
        <f>SUMIFS('RETAIL SALES DATA.'!$F$2:$F$1001,'RETAIL SALES DATA.'!$B$2:$B$1001,Custom!A450)</f>
        <v>1</v>
      </c>
    </row>
    <row r="451" spans="1:4" x14ac:dyDescent="0.3">
      <c r="A451" s="13" t="str">
        <v>James Carroll</v>
      </c>
      <c r="B451" s="13" t="str">
        <v>James Carroll</v>
      </c>
      <c r="C451" s="42" t="str">
        <v>James Carroll</v>
      </c>
      <c r="D451" s="13">
        <f>SUMIFS('RETAIL SALES DATA.'!$F$2:$F$1001,'RETAIL SALES DATA.'!$B$2:$B$1001,Custom!A451)</f>
        <v>5</v>
      </c>
    </row>
    <row r="452" spans="1:4" x14ac:dyDescent="0.3">
      <c r="A452" s="13" t="str">
        <v>Diana Rowe</v>
      </c>
      <c r="B452" s="13" t="str">
        <v>Diana Rowe</v>
      </c>
      <c r="C452" s="42" t="str">
        <v>Diana Rowe</v>
      </c>
      <c r="D452" s="13">
        <f>SUMIFS('RETAIL SALES DATA.'!$F$2:$F$1001,'RETAIL SALES DATA.'!$B$2:$B$1001,Custom!A452)</f>
        <v>15</v>
      </c>
    </row>
    <row r="453" spans="1:4" x14ac:dyDescent="0.3">
      <c r="A453" s="13" t="str">
        <v>Christopher Tucker</v>
      </c>
      <c r="B453" s="13" t="str">
        <v>Christopher Tucker</v>
      </c>
      <c r="C453" s="42" t="str">
        <v>Christopher Tucker</v>
      </c>
      <c r="D453" s="13">
        <f>SUMIFS('RETAIL SALES DATA.'!$F$2:$F$1001,'RETAIL SALES DATA.'!$B$2:$B$1001,Custom!A453)</f>
        <v>11</v>
      </c>
    </row>
    <row r="454" spans="1:4" x14ac:dyDescent="0.3">
      <c r="A454" s="13" t="str">
        <v>Sarah Huffman</v>
      </c>
      <c r="B454" s="13" t="str">
        <v>Sarah Huffman</v>
      </c>
      <c r="C454" s="42" t="str">
        <v>Sarah Huffman</v>
      </c>
      <c r="D454" s="13">
        <f>SUMIFS('RETAIL SALES DATA.'!$F$2:$F$1001,'RETAIL SALES DATA.'!$B$2:$B$1001,Custom!A454)</f>
        <v>10</v>
      </c>
    </row>
    <row r="455" spans="1:4" x14ac:dyDescent="0.3">
      <c r="A455" s="13" t="str">
        <v>Mark Reed</v>
      </c>
      <c r="B455" s="13" t="str">
        <v>Mark Reed</v>
      </c>
      <c r="C455" s="42" t="str">
        <v>Mark Reed</v>
      </c>
      <c r="D455" s="13">
        <f>SUMIFS('RETAIL SALES DATA.'!$F$2:$F$1001,'RETAIL SALES DATA.'!$B$2:$B$1001,Custom!A455)</f>
        <v>7</v>
      </c>
    </row>
    <row r="456" spans="1:4" x14ac:dyDescent="0.3">
      <c r="A456" s="13" t="str">
        <v>Jennifer Tucker</v>
      </c>
      <c r="B456" s="13" t="str">
        <v>Jennifer Tucker</v>
      </c>
      <c r="C456" s="42" t="str">
        <v>Jennifer Tucker</v>
      </c>
      <c r="D456" s="13">
        <f>SUMIFS('RETAIL SALES DATA.'!$F$2:$F$1001,'RETAIL SALES DATA.'!$B$2:$B$1001,Custom!A456)</f>
        <v>6</v>
      </c>
    </row>
    <row r="457" spans="1:4" x14ac:dyDescent="0.3">
      <c r="A457" s="13" t="str">
        <v>David Sullivan</v>
      </c>
      <c r="B457" s="13" t="str">
        <v>David Sullivan</v>
      </c>
      <c r="C457" s="42" t="str">
        <v>David Sullivan</v>
      </c>
      <c r="D457" s="13">
        <f>SUMIFS('RETAIL SALES DATA.'!$F$2:$F$1001,'RETAIL SALES DATA.'!$B$2:$B$1001,Custom!A457)</f>
        <v>9</v>
      </c>
    </row>
    <row r="458" spans="1:4" x14ac:dyDescent="0.3">
      <c r="A458" s="13" t="str">
        <v>Julie Daniels</v>
      </c>
      <c r="B458" s="13" t="str">
        <v>Julie Daniels</v>
      </c>
      <c r="C458" s="42" t="str">
        <v>Julie Daniels</v>
      </c>
      <c r="D458" s="13">
        <f>SUMIFS('RETAIL SALES DATA.'!$F$2:$F$1001,'RETAIL SALES DATA.'!$B$2:$B$1001,Custom!A458)</f>
        <v>7</v>
      </c>
    </row>
    <row r="459" spans="1:4" x14ac:dyDescent="0.3">
      <c r="A459" s="13" t="str">
        <v>Latoya Holloway</v>
      </c>
      <c r="B459" s="13" t="str">
        <v>Latoya Holloway</v>
      </c>
      <c r="C459" s="42" t="str">
        <v>Latoya Holloway</v>
      </c>
      <c r="D459" s="13">
        <f>SUMIFS('RETAIL SALES DATA.'!$F$2:$F$1001,'RETAIL SALES DATA.'!$B$2:$B$1001,Custom!A459)</f>
        <v>16</v>
      </c>
    </row>
    <row r="460" spans="1:4" x14ac:dyDescent="0.3">
      <c r="A460" s="13" t="str">
        <v>Gary Sosa</v>
      </c>
      <c r="B460" s="13" t="str">
        <v>Gary Sosa</v>
      </c>
      <c r="C460" s="42" t="str">
        <v>Gary Sosa</v>
      </c>
      <c r="D460" s="13">
        <f>SUMIFS('RETAIL SALES DATA.'!$F$2:$F$1001,'RETAIL SALES DATA.'!$B$2:$B$1001,Custom!A460)</f>
        <v>4</v>
      </c>
    </row>
    <row r="461" spans="1:4" x14ac:dyDescent="0.3">
      <c r="A461" s="13" t="str">
        <v>Jessica Dominguez</v>
      </c>
      <c r="B461" s="13" t="str">
        <v>Jessica Dominguez</v>
      </c>
      <c r="C461" s="42" t="str">
        <v>Jessica Dominguez</v>
      </c>
      <c r="D461" s="13">
        <f>SUMIFS('RETAIL SALES DATA.'!$F$2:$F$1001,'RETAIL SALES DATA.'!$B$2:$B$1001,Custom!A461)</f>
        <v>17</v>
      </c>
    </row>
    <row r="462" spans="1:4" x14ac:dyDescent="0.3">
      <c r="A462" s="13" t="str">
        <v>Amy Carpenter</v>
      </c>
      <c r="B462" s="13" t="str">
        <v>Amy Carpenter</v>
      </c>
      <c r="C462" s="42" t="str">
        <v>Amy Carpenter</v>
      </c>
      <c r="D462" s="13">
        <f>SUMIFS('RETAIL SALES DATA.'!$F$2:$F$1001,'RETAIL SALES DATA.'!$B$2:$B$1001,Custom!A462)</f>
        <v>18</v>
      </c>
    </row>
    <row r="463" spans="1:4" x14ac:dyDescent="0.3">
      <c r="A463" s="13" t="str">
        <v>Daniel White</v>
      </c>
      <c r="B463" s="13" t="str">
        <v>Daniel White</v>
      </c>
      <c r="C463" s="42" t="str">
        <v>Daniel White</v>
      </c>
      <c r="D463" s="13">
        <f>SUMIFS('RETAIL SALES DATA.'!$F$2:$F$1001,'RETAIL SALES DATA.'!$B$2:$B$1001,Custom!A463)</f>
        <v>19</v>
      </c>
    </row>
    <row r="464" spans="1:4" x14ac:dyDescent="0.3">
      <c r="A464" s="13" t="str">
        <v>Crystal Brewer</v>
      </c>
      <c r="B464" s="13" t="str">
        <v>Crystal Brewer</v>
      </c>
      <c r="C464" s="42" t="str">
        <v>Crystal Brewer</v>
      </c>
      <c r="D464" s="13">
        <f>SUMIFS('RETAIL SALES DATA.'!$F$2:$F$1001,'RETAIL SALES DATA.'!$B$2:$B$1001,Custom!A464)</f>
        <v>15</v>
      </c>
    </row>
    <row r="465" spans="1:4" x14ac:dyDescent="0.3">
      <c r="A465" s="13" t="str">
        <v>Christopher Cross</v>
      </c>
      <c r="B465" s="13" t="str">
        <v>Christopher Cross</v>
      </c>
      <c r="C465" s="42" t="str">
        <v>Christopher Cross</v>
      </c>
      <c r="D465" s="13">
        <f>SUMIFS('RETAIL SALES DATA.'!$F$2:$F$1001,'RETAIL SALES DATA.'!$B$2:$B$1001,Custom!A465)</f>
        <v>16</v>
      </c>
    </row>
    <row r="466" spans="1:4" x14ac:dyDescent="0.3">
      <c r="A466" s="13" t="str">
        <v>Robert Roberts</v>
      </c>
      <c r="B466" s="13" t="str">
        <v>Robert Roberts</v>
      </c>
      <c r="C466" s="42" t="str">
        <v>Robert Roberts</v>
      </c>
      <c r="D466" s="13">
        <f>SUMIFS('RETAIL SALES DATA.'!$F$2:$F$1001,'RETAIL SALES DATA.'!$B$2:$B$1001,Custom!A466)</f>
        <v>9</v>
      </c>
    </row>
    <row r="467" spans="1:4" x14ac:dyDescent="0.3">
      <c r="A467" s="13" t="str">
        <v>Courtney White</v>
      </c>
      <c r="B467" s="13" t="str">
        <v>Courtney White</v>
      </c>
      <c r="C467" s="42" t="str">
        <v>Courtney White</v>
      </c>
      <c r="D467" s="13">
        <f>SUMIFS('RETAIL SALES DATA.'!$F$2:$F$1001,'RETAIL SALES DATA.'!$B$2:$B$1001,Custom!A467)</f>
        <v>1</v>
      </c>
    </row>
    <row r="468" spans="1:4" x14ac:dyDescent="0.3">
      <c r="A468" s="13" t="str">
        <v>Hunter Fernandez</v>
      </c>
      <c r="B468" s="13" t="str">
        <v>Hunter Fernandez</v>
      </c>
      <c r="C468" s="42" t="str">
        <v>Hunter Fernandez</v>
      </c>
      <c r="D468" s="13">
        <f>SUMIFS('RETAIL SALES DATA.'!$F$2:$F$1001,'RETAIL SALES DATA.'!$B$2:$B$1001,Custom!A468)</f>
        <v>9</v>
      </c>
    </row>
    <row r="469" spans="1:4" x14ac:dyDescent="0.3">
      <c r="A469" s="13" t="str">
        <v>William Pennington</v>
      </c>
      <c r="B469" s="13" t="str">
        <v>William Pennington</v>
      </c>
      <c r="C469" s="42" t="str">
        <v>William Pennington</v>
      </c>
      <c r="D469" s="13">
        <f>SUMIFS('RETAIL SALES DATA.'!$F$2:$F$1001,'RETAIL SALES DATA.'!$B$2:$B$1001,Custom!A469)</f>
        <v>10</v>
      </c>
    </row>
    <row r="470" spans="1:4" x14ac:dyDescent="0.3">
      <c r="A470" s="13" t="str">
        <v>Vincent Smith</v>
      </c>
      <c r="B470" s="13" t="str">
        <v>Vincent Smith</v>
      </c>
      <c r="C470" s="42" t="str">
        <v>Vincent Smith</v>
      </c>
      <c r="D470" s="13">
        <f>SUMIFS('RETAIL SALES DATA.'!$F$2:$F$1001,'RETAIL SALES DATA.'!$B$2:$B$1001,Custom!A470)</f>
        <v>20</v>
      </c>
    </row>
    <row r="471" spans="1:4" x14ac:dyDescent="0.3">
      <c r="A471" s="13" t="str">
        <v>Chloe Fisher</v>
      </c>
      <c r="B471" s="13" t="str">
        <v>Chloe Fisher</v>
      </c>
      <c r="C471" s="42" t="str">
        <v>Chloe Fisher</v>
      </c>
      <c r="D471" s="13">
        <f>SUMIFS('RETAIL SALES DATA.'!$F$2:$F$1001,'RETAIL SALES DATA.'!$B$2:$B$1001,Custom!A471)</f>
        <v>11</v>
      </c>
    </row>
    <row r="472" spans="1:4" x14ac:dyDescent="0.3">
      <c r="A472" s="13" t="str">
        <v>Rebekah Reyes</v>
      </c>
      <c r="B472" s="13" t="str">
        <v>Rebekah Reyes</v>
      </c>
      <c r="C472" s="42" t="str">
        <v>Rebekah Reyes</v>
      </c>
      <c r="D472" s="13">
        <f>SUMIFS('RETAIL SALES DATA.'!$F$2:$F$1001,'RETAIL SALES DATA.'!$B$2:$B$1001,Custom!A472)</f>
        <v>4</v>
      </c>
    </row>
    <row r="473" spans="1:4" x14ac:dyDescent="0.3">
      <c r="A473" s="13" t="str">
        <v>Leah Williams</v>
      </c>
      <c r="B473" s="13" t="str">
        <v>Leah Williams</v>
      </c>
      <c r="C473" s="42" t="str">
        <v>Leah Williams</v>
      </c>
      <c r="D473" s="13">
        <f>SUMIFS('RETAIL SALES DATA.'!$F$2:$F$1001,'RETAIL SALES DATA.'!$B$2:$B$1001,Custom!A473)</f>
        <v>11</v>
      </c>
    </row>
    <row r="474" spans="1:4" x14ac:dyDescent="0.3">
      <c r="A474" s="13" t="str">
        <v>Gregory Lambert</v>
      </c>
      <c r="B474" s="13" t="str">
        <v>Gregory Lambert</v>
      </c>
      <c r="C474" s="42" t="str">
        <v>Gregory Lambert</v>
      </c>
      <c r="D474" s="13">
        <f>SUMIFS('RETAIL SALES DATA.'!$F$2:$F$1001,'RETAIL SALES DATA.'!$B$2:$B$1001,Custom!A474)</f>
        <v>7</v>
      </c>
    </row>
    <row r="475" spans="1:4" x14ac:dyDescent="0.3">
      <c r="A475" s="13" t="str">
        <v>Monica Perez</v>
      </c>
      <c r="B475" s="13" t="str">
        <v>Monica Perez</v>
      </c>
      <c r="C475" s="42" t="str">
        <v>Monica Perez</v>
      </c>
      <c r="D475" s="13">
        <f>SUMIFS('RETAIL SALES DATA.'!$F$2:$F$1001,'RETAIL SALES DATA.'!$B$2:$B$1001,Custom!A475)</f>
        <v>14</v>
      </c>
    </row>
    <row r="476" spans="1:4" x14ac:dyDescent="0.3">
      <c r="A476" s="13" t="str">
        <v>Wanda Nelson</v>
      </c>
      <c r="B476" s="13" t="str">
        <v>Wanda Nelson</v>
      </c>
      <c r="C476" s="42" t="str">
        <v>Wanda Nelson</v>
      </c>
      <c r="D476" s="13">
        <f>SUMIFS('RETAIL SALES DATA.'!$F$2:$F$1001,'RETAIL SALES DATA.'!$B$2:$B$1001,Custom!A476)</f>
        <v>18</v>
      </c>
    </row>
    <row r="477" spans="1:4" x14ac:dyDescent="0.3">
      <c r="A477" s="13" t="str">
        <v>Michelle Evans</v>
      </c>
      <c r="B477" s="13" t="str">
        <v>Michelle Evans</v>
      </c>
      <c r="C477" s="42" t="str">
        <v>Michelle Evans</v>
      </c>
      <c r="D477" s="13">
        <f>SUMIFS('RETAIL SALES DATA.'!$F$2:$F$1001,'RETAIL SALES DATA.'!$B$2:$B$1001,Custom!A477)</f>
        <v>15</v>
      </c>
    </row>
    <row r="478" spans="1:4" x14ac:dyDescent="0.3">
      <c r="A478" s="13" t="str">
        <v>Beth Williams</v>
      </c>
      <c r="B478" s="13" t="str">
        <v>Beth Williams</v>
      </c>
      <c r="C478" s="42" t="str">
        <v>Beth Williams</v>
      </c>
      <c r="D478" s="13">
        <f>SUMIFS('RETAIL SALES DATA.'!$F$2:$F$1001,'RETAIL SALES DATA.'!$B$2:$B$1001,Custom!A478)</f>
        <v>14</v>
      </c>
    </row>
    <row r="479" spans="1:4" x14ac:dyDescent="0.3">
      <c r="A479" s="13" t="str">
        <v>Michael Lee</v>
      </c>
      <c r="B479" s="13" t="str">
        <v>Michael Lee</v>
      </c>
      <c r="C479" s="42" t="str">
        <v>Michael Lee</v>
      </c>
      <c r="D479" s="13">
        <f>SUMIFS('RETAIL SALES DATA.'!$F$2:$F$1001,'RETAIL SALES DATA.'!$B$2:$B$1001,Custom!A479)</f>
        <v>6</v>
      </c>
    </row>
    <row r="480" spans="1:4" x14ac:dyDescent="0.3">
      <c r="A480" s="13" t="str">
        <v>Nicole Bell</v>
      </c>
      <c r="B480" s="13" t="str">
        <v>Nicole Bell</v>
      </c>
      <c r="C480" s="42" t="str">
        <v>Nicole Bell</v>
      </c>
      <c r="D480" s="13">
        <f>SUMIFS('RETAIL SALES DATA.'!$F$2:$F$1001,'RETAIL SALES DATA.'!$B$2:$B$1001,Custom!A480)</f>
        <v>17</v>
      </c>
    </row>
    <row r="481" spans="1:4" x14ac:dyDescent="0.3">
      <c r="A481" s="13" t="str">
        <v>Victor Stephens</v>
      </c>
      <c r="B481" s="13" t="str">
        <v>Victor Stephens</v>
      </c>
      <c r="C481" s="42" t="str">
        <v>Victor Stephens</v>
      </c>
      <c r="D481" s="13">
        <f>SUMIFS('RETAIL SALES DATA.'!$F$2:$F$1001,'RETAIL SALES DATA.'!$B$2:$B$1001,Custom!A481)</f>
        <v>20</v>
      </c>
    </row>
    <row r="482" spans="1:4" x14ac:dyDescent="0.3">
      <c r="A482" s="13" t="str">
        <v>John Martinez</v>
      </c>
      <c r="B482" s="13" t="str">
        <v>John Martinez</v>
      </c>
      <c r="C482" s="42" t="str">
        <v>John Martinez</v>
      </c>
      <c r="D482" s="13">
        <f>SUMIFS('RETAIL SALES DATA.'!$F$2:$F$1001,'RETAIL SALES DATA.'!$B$2:$B$1001,Custom!A482)</f>
        <v>2</v>
      </c>
    </row>
    <row r="483" spans="1:4" x14ac:dyDescent="0.3">
      <c r="A483" s="13" t="str">
        <v>Ryan Patterson</v>
      </c>
      <c r="B483" s="13" t="str">
        <v>Ryan Patterson</v>
      </c>
      <c r="C483" s="42" t="str">
        <v>Ryan Patterson</v>
      </c>
      <c r="D483" s="13">
        <f>SUMIFS('RETAIL SALES DATA.'!$F$2:$F$1001,'RETAIL SALES DATA.'!$B$2:$B$1001,Custom!A483)</f>
        <v>9</v>
      </c>
    </row>
    <row r="484" spans="1:4" x14ac:dyDescent="0.3">
      <c r="A484" s="13" t="str">
        <v>Andre Bell</v>
      </c>
      <c r="B484" s="13" t="str">
        <v>Andre Bell</v>
      </c>
      <c r="C484" s="42" t="str">
        <v>Andre Bell</v>
      </c>
      <c r="D484" s="13">
        <f>SUMIFS('RETAIL SALES DATA.'!$F$2:$F$1001,'RETAIL SALES DATA.'!$B$2:$B$1001,Custom!A484)</f>
        <v>16</v>
      </c>
    </row>
    <row r="485" spans="1:4" x14ac:dyDescent="0.3">
      <c r="A485" s="13" t="str">
        <v>Jacob Cruz</v>
      </c>
      <c r="B485" s="13" t="str">
        <v>Jacob Cruz</v>
      </c>
      <c r="C485" s="42" t="str">
        <v>Jacob Cruz</v>
      </c>
      <c r="D485" s="13">
        <f>SUMIFS('RETAIL SALES DATA.'!$F$2:$F$1001,'RETAIL SALES DATA.'!$B$2:$B$1001,Custom!A485)</f>
        <v>17</v>
      </c>
    </row>
    <row r="486" spans="1:4" x14ac:dyDescent="0.3">
      <c r="A486" s="13" t="str">
        <v>Kelly Blanchard</v>
      </c>
      <c r="B486" s="13" t="str">
        <v>Kelly Blanchard</v>
      </c>
      <c r="C486" s="42" t="str">
        <v>Kelly Blanchard</v>
      </c>
      <c r="D486" s="13">
        <f>SUMIFS('RETAIL SALES DATA.'!$F$2:$F$1001,'RETAIL SALES DATA.'!$B$2:$B$1001,Custom!A486)</f>
        <v>14</v>
      </c>
    </row>
    <row r="487" spans="1:4" x14ac:dyDescent="0.3">
      <c r="A487" s="13" t="str">
        <v>Thomas Howell</v>
      </c>
      <c r="B487" s="13" t="str">
        <v>Thomas Howell</v>
      </c>
      <c r="C487" s="42" t="str">
        <v>Thomas Howell</v>
      </c>
      <c r="D487" s="13">
        <f>SUMIFS('RETAIL SALES DATA.'!$F$2:$F$1001,'RETAIL SALES DATA.'!$B$2:$B$1001,Custom!A487)</f>
        <v>6</v>
      </c>
    </row>
    <row r="488" spans="1:4" x14ac:dyDescent="0.3">
      <c r="A488" s="13" t="str">
        <v>Marvin Kaufman</v>
      </c>
      <c r="B488" s="13" t="str">
        <v>Marvin Kaufman</v>
      </c>
      <c r="C488" s="42" t="str">
        <v>Marvin Kaufman</v>
      </c>
      <c r="D488" s="13">
        <f>SUMIFS('RETAIL SALES DATA.'!$F$2:$F$1001,'RETAIL SALES DATA.'!$B$2:$B$1001,Custom!A488)</f>
        <v>10</v>
      </c>
    </row>
    <row r="489" spans="1:4" x14ac:dyDescent="0.3">
      <c r="A489" s="13" t="str">
        <v>James Caldwell</v>
      </c>
      <c r="B489" s="13" t="str">
        <v>James Caldwell</v>
      </c>
      <c r="C489" s="42" t="str">
        <v>James Caldwell</v>
      </c>
      <c r="D489" s="13">
        <f>SUMIFS('RETAIL SALES DATA.'!$F$2:$F$1001,'RETAIL SALES DATA.'!$B$2:$B$1001,Custom!A489)</f>
        <v>13</v>
      </c>
    </row>
    <row r="490" spans="1:4" x14ac:dyDescent="0.3">
      <c r="A490" s="13" t="str">
        <v>Rodney Gibson</v>
      </c>
      <c r="B490" s="13" t="str">
        <v>Rodney Gibson</v>
      </c>
      <c r="C490" s="42" t="str">
        <v>Rodney Gibson</v>
      </c>
      <c r="D490" s="13">
        <f>SUMIFS('RETAIL SALES DATA.'!$F$2:$F$1001,'RETAIL SALES DATA.'!$B$2:$B$1001,Custom!A490)</f>
        <v>10</v>
      </c>
    </row>
    <row r="491" spans="1:4" x14ac:dyDescent="0.3">
      <c r="A491" s="13" t="str">
        <v>Austin Cole</v>
      </c>
      <c r="B491" s="13" t="str">
        <v>Austin Cole</v>
      </c>
      <c r="C491" s="42" t="str">
        <v>Austin Cole</v>
      </c>
      <c r="D491" s="13">
        <f>SUMIFS('RETAIL SALES DATA.'!$F$2:$F$1001,'RETAIL SALES DATA.'!$B$2:$B$1001,Custom!A491)</f>
        <v>6</v>
      </c>
    </row>
    <row r="492" spans="1:4" x14ac:dyDescent="0.3">
      <c r="A492" s="13" t="str">
        <v>Lance Franco</v>
      </c>
      <c r="B492" s="13" t="str">
        <v>Lance Franco</v>
      </c>
      <c r="C492" s="42" t="str">
        <v>Lance Franco</v>
      </c>
      <c r="D492" s="13">
        <f>SUMIFS('RETAIL SALES DATA.'!$F$2:$F$1001,'RETAIL SALES DATA.'!$B$2:$B$1001,Custom!A492)</f>
        <v>7</v>
      </c>
    </row>
    <row r="493" spans="1:4" x14ac:dyDescent="0.3">
      <c r="A493" s="13" t="str">
        <v>Christopher Joyce</v>
      </c>
      <c r="B493" s="13" t="str">
        <v>Christopher Joyce</v>
      </c>
      <c r="C493" s="42" t="str">
        <v>Christopher Joyce</v>
      </c>
      <c r="D493" s="13">
        <f>SUMIFS('RETAIL SALES DATA.'!$F$2:$F$1001,'RETAIL SALES DATA.'!$B$2:$B$1001,Custom!A493)</f>
        <v>3</v>
      </c>
    </row>
    <row r="494" spans="1:4" x14ac:dyDescent="0.3">
      <c r="A494" s="13" t="str">
        <v>Alec Garza</v>
      </c>
      <c r="B494" s="13" t="str">
        <v>Alec Garza</v>
      </c>
      <c r="C494" s="42" t="str">
        <v>Alec Garza</v>
      </c>
      <c r="D494" s="13">
        <f>SUMIFS('RETAIL SALES DATA.'!$F$2:$F$1001,'RETAIL SALES DATA.'!$B$2:$B$1001,Custom!A494)</f>
        <v>5</v>
      </c>
    </row>
    <row r="495" spans="1:4" x14ac:dyDescent="0.3">
      <c r="A495" s="13" t="str">
        <v>Adam Guzman</v>
      </c>
      <c r="B495" s="13" t="str">
        <v>Adam Guzman</v>
      </c>
      <c r="C495" s="42" t="str">
        <v>Adam Guzman</v>
      </c>
      <c r="D495" s="13">
        <f>SUMIFS('RETAIL SALES DATA.'!$F$2:$F$1001,'RETAIL SALES DATA.'!$B$2:$B$1001,Custom!A495)</f>
        <v>18</v>
      </c>
    </row>
    <row r="496" spans="1:4" x14ac:dyDescent="0.3">
      <c r="A496" s="13" t="str">
        <v>Angela Camacho</v>
      </c>
      <c r="B496" s="13" t="str">
        <v>Angela Camacho</v>
      </c>
      <c r="C496" s="42" t="str">
        <v>Angela Camacho</v>
      </c>
      <c r="D496" s="13">
        <f>SUMIFS('RETAIL SALES DATA.'!$F$2:$F$1001,'RETAIL SALES DATA.'!$B$2:$B$1001,Custom!A496)</f>
        <v>7</v>
      </c>
    </row>
    <row r="497" spans="1:4" x14ac:dyDescent="0.3">
      <c r="A497" s="13" t="str">
        <v>Ryan Diaz</v>
      </c>
      <c r="B497" s="13" t="str">
        <v>Ryan Diaz</v>
      </c>
      <c r="C497" s="42" t="str">
        <v>Ryan Diaz</v>
      </c>
      <c r="D497" s="13">
        <f>SUMIFS('RETAIL SALES DATA.'!$F$2:$F$1001,'RETAIL SALES DATA.'!$B$2:$B$1001,Custom!A497)</f>
        <v>13</v>
      </c>
    </row>
    <row r="498" spans="1:4" x14ac:dyDescent="0.3">
      <c r="A498" s="13" t="str">
        <v>Alicia Nunez</v>
      </c>
      <c r="B498" s="13" t="str">
        <v>Alicia Nunez</v>
      </c>
      <c r="C498" s="42" t="str">
        <v>Alicia Nunez</v>
      </c>
      <c r="D498" s="13">
        <f>SUMIFS('RETAIL SALES DATA.'!$F$2:$F$1001,'RETAIL SALES DATA.'!$B$2:$B$1001,Custom!A498)</f>
        <v>14</v>
      </c>
    </row>
    <row r="499" spans="1:4" x14ac:dyDescent="0.3">
      <c r="A499" s="13" t="str">
        <v>Elizabeth Chambers</v>
      </c>
      <c r="B499" s="13" t="str">
        <v>Elizabeth Chambers</v>
      </c>
      <c r="C499" s="42" t="str">
        <v>Elizabeth Chambers</v>
      </c>
      <c r="D499" s="13">
        <f>SUMIFS('RETAIL SALES DATA.'!$F$2:$F$1001,'RETAIL SALES DATA.'!$B$2:$B$1001,Custom!A499)</f>
        <v>15</v>
      </c>
    </row>
    <row r="500" spans="1:4" x14ac:dyDescent="0.3">
      <c r="A500" s="13" t="str">
        <v>David Greene</v>
      </c>
      <c r="B500" s="13" t="str">
        <v>David Greene</v>
      </c>
      <c r="C500" s="42" t="str">
        <v>David Greene</v>
      </c>
      <c r="D500" s="13">
        <f>SUMIFS('RETAIL SALES DATA.'!$F$2:$F$1001,'RETAIL SALES DATA.'!$B$2:$B$1001,Custom!A500)</f>
        <v>13</v>
      </c>
    </row>
    <row r="501" spans="1:4" x14ac:dyDescent="0.3">
      <c r="A501" s="13" t="str">
        <v>Michael King</v>
      </c>
      <c r="B501" s="13" t="str">
        <v>Michael King</v>
      </c>
      <c r="C501" s="42" t="str">
        <v>Michael King</v>
      </c>
      <c r="D501" s="13">
        <f>SUMIFS('RETAIL SALES DATA.'!$F$2:$F$1001,'RETAIL SALES DATA.'!$B$2:$B$1001,Custom!A501)</f>
        <v>7</v>
      </c>
    </row>
    <row r="502" spans="1:4" x14ac:dyDescent="0.3">
      <c r="A502" s="13" t="str">
        <v>Jenny Taylor</v>
      </c>
      <c r="B502" s="13" t="str">
        <v>Jenny Taylor</v>
      </c>
      <c r="C502" s="42" t="str">
        <v>Jenny Taylor</v>
      </c>
      <c r="D502" s="13">
        <f>SUMIFS('RETAIL SALES DATA.'!$F$2:$F$1001,'RETAIL SALES DATA.'!$B$2:$B$1001,Custom!A502)</f>
        <v>9</v>
      </c>
    </row>
    <row r="503" spans="1:4" x14ac:dyDescent="0.3">
      <c r="A503" s="13" t="str">
        <v>Thomas Nichols</v>
      </c>
      <c r="B503" s="13" t="str">
        <v>Thomas Nichols</v>
      </c>
      <c r="C503" s="42" t="str">
        <v>Thomas Nichols</v>
      </c>
      <c r="D503" s="13">
        <f>SUMIFS('RETAIL SALES DATA.'!$F$2:$F$1001,'RETAIL SALES DATA.'!$B$2:$B$1001,Custom!A503)</f>
        <v>5</v>
      </c>
    </row>
    <row r="504" spans="1:4" x14ac:dyDescent="0.3">
      <c r="A504" s="13" t="str">
        <v>Matthew Hoffman</v>
      </c>
      <c r="B504" s="13" t="str">
        <v>Matthew Hoffman</v>
      </c>
      <c r="C504" s="42" t="str">
        <v>Matthew Hoffman</v>
      </c>
      <c r="D504" s="13">
        <f>SUMIFS('RETAIL SALES DATA.'!$F$2:$F$1001,'RETAIL SALES DATA.'!$B$2:$B$1001,Custom!A504)</f>
        <v>7</v>
      </c>
    </row>
    <row r="505" spans="1:4" x14ac:dyDescent="0.3">
      <c r="A505" s="13" t="str">
        <v>Dr. Glenn Gaines</v>
      </c>
      <c r="B505" s="13" t="str">
        <v>Dr. Glenn Gaines</v>
      </c>
      <c r="C505" s="42" t="str">
        <v>Dr. Glenn Gaines</v>
      </c>
      <c r="D505" s="13">
        <f>SUMIFS('RETAIL SALES DATA.'!$F$2:$F$1001,'RETAIL SALES DATA.'!$B$2:$B$1001,Custom!A505)</f>
        <v>8</v>
      </c>
    </row>
    <row r="506" spans="1:4" x14ac:dyDescent="0.3">
      <c r="A506" s="13" t="str">
        <v>Stephanie Walker</v>
      </c>
      <c r="B506" s="13" t="str">
        <v>Stephanie Walker</v>
      </c>
      <c r="C506" s="42" t="str">
        <v>Stephanie Walker</v>
      </c>
      <c r="D506" s="13">
        <f>SUMIFS('RETAIL SALES DATA.'!$F$2:$F$1001,'RETAIL SALES DATA.'!$B$2:$B$1001,Custom!A506)</f>
        <v>20</v>
      </c>
    </row>
    <row r="507" spans="1:4" x14ac:dyDescent="0.3">
      <c r="A507" s="13" t="str">
        <v>Brandon Rogers</v>
      </c>
      <c r="B507" s="13" t="str">
        <v>Brandon Rogers</v>
      </c>
      <c r="C507" s="42" t="str">
        <v>Brandon Rogers</v>
      </c>
      <c r="D507" s="13">
        <f>SUMIFS('RETAIL SALES DATA.'!$F$2:$F$1001,'RETAIL SALES DATA.'!$B$2:$B$1001,Custom!A507)</f>
        <v>8</v>
      </c>
    </row>
    <row r="508" spans="1:4" x14ac:dyDescent="0.3">
      <c r="A508" s="13" t="str">
        <v>Arthur Parker</v>
      </c>
      <c r="B508" s="13" t="str">
        <v>Arthur Parker</v>
      </c>
      <c r="C508" s="42" t="str">
        <v>Arthur Parker</v>
      </c>
      <c r="D508" s="13">
        <f>SUMIFS('RETAIL SALES DATA.'!$F$2:$F$1001,'RETAIL SALES DATA.'!$B$2:$B$1001,Custom!A508)</f>
        <v>7</v>
      </c>
    </row>
    <row r="509" spans="1:4" x14ac:dyDescent="0.3">
      <c r="A509" s="13" t="str">
        <v>Monica Jackson</v>
      </c>
      <c r="B509" s="13" t="str">
        <v>Monica Jackson</v>
      </c>
      <c r="C509" s="42" t="str">
        <v>Monica Jackson</v>
      </c>
      <c r="D509" s="13">
        <f>SUMIFS('RETAIL SALES DATA.'!$F$2:$F$1001,'RETAIL SALES DATA.'!$B$2:$B$1001,Custom!A509)</f>
        <v>15</v>
      </c>
    </row>
    <row r="510" spans="1:4" x14ac:dyDescent="0.3">
      <c r="A510" s="13" t="str">
        <v>Corey Ayala</v>
      </c>
      <c r="B510" s="13" t="str">
        <v>Corey Ayala</v>
      </c>
      <c r="C510" s="42" t="str">
        <v>Corey Ayala</v>
      </c>
      <c r="D510" s="13">
        <f>SUMIFS('RETAIL SALES DATA.'!$F$2:$F$1001,'RETAIL SALES DATA.'!$B$2:$B$1001,Custom!A510)</f>
        <v>16</v>
      </c>
    </row>
    <row r="511" spans="1:4" x14ac:dyDescent="0.3">
      <c r="A511" s="13" t="str">
        <v>Amy Johnson</v>
      </c>
      <c r="B511" s="13" t="str">
        <v>Amy Johnson</v>
      </c>
      <c r="C511" s="42" t="str">
        <v>Amy Johnson</v>
      </c>
      <c r="D511" s="13">
        <f>SUMIFS('RETAIL SALES DATA.'!$F$2:$F$1001,'RETAIL SALES DATA.'!$B$2:$B$1001,Custom!A511)</f>
        <v>3</v>
      </c>
    </row>
    <row r="512" spans="1:4" x14ac:dyDescent="0.3">
      <c r="A512" s="13" t="str">
        <v>Joshua Young</v>
      </c>
      <c r="B512" s="13" t="str">
        <v>Joshua Young</v>
      </c>
      <c r="C512" s="42" t="str">
        <v>Joshua Young</v>
      </c>
      <c r="D512" s="13">
        <f>SUMIFS('RETAIL SALES DATA.'!$F$2:$F$1001,'RETAIL SALES DATA.'!$B$2:$B$1001,Custom!A512)</f>
        <v>16</v>
      </c>
    </row>
    <row r="513" spans="1:4" x14ac:dyDescent="0.3">
      <c r="A513" s="13" t="str">
        <v>Alison Williams</v>
      </c>
      <c r="B513" s="13" t="str">
        <v>Alison Williams</v>
      </c>
      <c r="C513" s="42" t="str">
        <v>Alison Williams</v>
      </c>
      <c r="D513" s="13">
        <f>SUMIFS('RETAIL SALES DATA.'!$F$2:$F$1001,'RETAIL SALES DATA.'!$B$2:$B$1001,Custom!A513)</f>
        <v>4</v>
      </c>
    </row>
    <row r="514" spans="1:4" x14ac:dyDescent="0.3">
      <c r="A514" s="13" t="str">
        <v>Theresa Huber</v>
      </c>
      <c r="B514" s="13" t="str">
        <v>Theresa Huber</v>
      </c>
      <c r="C514" s="42" t="str">
        <v>Theresa Huber</v>
      </c>
      <c r="D514" s="13">
        <f>SUMIFS('RETAIL SALES DATA.'!$F$2:$F$1001,'RETAIL SALES DATA.'!$B$2:$B$1001,Custom!A514)</f>
        <v>18</v>
      </c>
    </row>
    <row r="515" spans="1:4" x14ac:dyDescent="0.3">
      <c r="A515" s="13" t="str">
        <v>Karen Johnston</v>
      </c>
      <c r="B515" s="13" t="str">
        <v>Karen Johnston</v>
      </c>
      <c r="C515" s="42" t="str">
        <v>Karen Johnston</v>
      </c>
      <c r="D515" s="13">
        <f>SUMIFS('RETAIL SALES DATA.'!$F$2:$F$1001,'RETAIL SALES DATA.'!$B$2:$B$1001,Custom!A515)</f>
        <v>6</v>
      </c>
    </row>
    <row r="516" spans="1:4" x14ac:dyDescent="0.3">
      <c r="A516" s="13" t="str">
        <v>Clayton Green</v>
      </c>
      <c r="B516" s="13" t="str">
        <v>Clayton Green</v>
      </c>
      <c r="C516" s="42" t="str">
        <v>Clayton Green</v>
      </c>
      <c r="D516" s="13">
        <f>SUMIFS('RETAIL SALES DATA.'!$F$2:$F$1001,'RETAIL SALES DATA.'!$B$2:$B$1001,Custom!A516)</f>
        <v>10</v>
      </c>
    </row>
    <row r="517" spans="1:4" x14ac:dyDescent="0.3">
      <c r="A517" s="13" t="str">
        <v>Tammy Pham</v>
      </c>
      <c r="B517" s="13" t="str">
        <v>Tammy Pham</v>
      </c>
      <c r="C517" s="42" t="str">
        <v>Tammy Pham</v>
      </c>
      <c r="D517" s="13">
        <f>SUMIFS('RETAIL SALES DATA.'!$F$2:$F$1001,'RETAIL SALES DATA.'!$B$2:$B$1001,Custom!A517)</f>
        <v>3</v>
      </c>
    </row>
    <row r="518" spans="1:4" x14ac:dyDescent="0.3">
      <c r="A518" s="13" t="str">
        <v>Ryan Wallace</v>
      </c>
      <c r="B518" s="13" t="str">
        <v>Ryan Wallace</v>
      </c>
      <c r="C518" s="42" t="str">
        <v>Ryan Wallace</v>
      </c>
      <c r="D518" s="13">
        <f>SUMIFS('RETAIL SALES DATA.'!$F$2:$F$1001,'RETAIL SALES DATA.'!$B$2:$B$1001,Custom!A518)</f>
        <v>9</v>
      </c>
    </row>
    <row r="519" spans="1:4" x14ac:dyDescent="0.3">
      <c r="A519" s="13" t="str">
        <v>Leslie Moore</v>
      </c>
      <c r="B519" s="13" t="str">
        <v>Leslie Moore</v>
      </c>
      <c r="C519" s="42" t="str">
        <v>Leslie Moore</v>
      </c>
      <c r="D519" s="13">
        <f>SUMIFS('RETAIL SALES DATA.'!$F$2:$F$1001,'RETAIL SALES DATA.'!$B$2:$B$1001,Custom!A519)</f>
        <v>19</v>
      </c>
    </row>
    <row r="520" spans="1:4" x14ac:dyDescent="0.3">
      <c r="A520" s="13" t="str">
        <v>Stephanie Monroe</v>
      </c>
      <c r="B520" s="13" t="str">
        <v>Stephanie Monroe</v>
      </c>
      <c r="C520" s="42" t="str">
        <v>Stephanie Monroe</v>
      </c>
      <c r="D520" s="13">
        <f>SUMIFS('RETAIL SALES DATA.'!$F$2:$F$1001,'RETAIL SALES DATA.'!$B$2:$B$1001,Custom!A520)</f>
        <v>8</v>
      </c>
    </row>
    <row r="521" spans="1:4" x14ac:dyDescent="0.3">
      <c r="A521" s="13" t="str">
        <v>Anthony Stevens</v>
      </c>
      <c r="B521" s="13" t="str">
        <v>Anthony Stevens</v>
      </c>
      <c r="C521" s="42" t="str">
        <v>Anthony Stevens</v>
      </c>
      <c r="D521" s="13">
        <f>SUMIFS('RETAIL SALES DATA.'!$F$2:$F$1001,'RETAIL SALES DATA.'!$B$2:$B$1001,Custom!A521)</f>
        <v>1</v>
      </c>
    </row>
    <row r="522" spans="1:4" x14ac:dyDescent="0.3">
      <c r="A522" s="13" t="str">
        <v>Henry Harris</v>
      </c>
      <c r="B522" s="13" t="str">
        <v>Henry Harris</v>
      </c>
      <c r="C522" s="42" t="str">
        <v>Henry Harris</v>
      </c>
      <c r="D522" s="13">
        <f>SUMIFS('RETAIL SALES DATA.'!$F$2:$F$1001,'RETAIL SALES DATA.'!$B$2:$B$1001,Custom!A522)</f>
        <v>19</v>
      </c>
    </row>
    <row r="523" spans="1:4" x14ac:dyDescent="0.3">
      <c r="A523" s="13" t="str">
        <v>Laurie Palmer</v>
      </c>
      <c r="B523" s="13" t="str">
        <v>Laurie Palmer</v>
      </c>
      <c r="C523" s="42" t="str">
        <v>Laurie Palmer</v>
      </c>
      <c r="D523" s="13">
        <f>SUMIFS('RETAIL SALES DATA.'!$F$2:$F$1001,'RETAIL SALES DATA.'!$B$2:$B$1001,Custom!A523)</f>
        <v>4</v>
      </c>
    </row>
    <row r="524" spans="1:4" x14ac:dyDescent="0.3">
      <c r="A524" s="13" t="str">
        <v>Kyle Scott</v>
      </c>
      <c r="B524" s="13" t="str">
        <v>Kyle Scott</v>
      </c>
      <c r="C524" s="42" t="str">
        <v>Kyle Scott</v>
      </c>
      <c r="D524" s="13">
        <f>SUMIFS('RETAIL SALES DATA.'!$F$2:$F$1001,'RETAIL SALES DATA.'!$B$2:$B$1001,Custom!A524)</f>
        <v>13</v>
      </c>
    </row>
    <row r="525" spans="1:4" x14ac:dyDescent="0.3">
      <c r="A525" s="13" t="str">
        <v>Jimmy Brown</v>
      </c>
      <c r="B525" s="13" t="str">
        <v>Jimmy Brown</v>
      </c>
      <c r="C525" s="42" t="str">
        <v>Jimmy Brown</v>
      </c>
      <c r="D525" s="13">
        <f>SUMIFS('RETAIL SALES DATA.'!$F$2:$F$1001,'RETAIL SALES DATA.'!$B$2:$B$1001,Custom!A525)</f>
        <v>3</v>
      </c>
    </row>
    <row r="526" spans="1:4" x14ac:dyDescent="0.3">
      <c r="A526" s="13" t="str">
        <v>Joel Doyle</v>
      </c>
      <c r="B526" s="13" t="str">
        <v>Joel Doyle</v>
      </c>
      <c r="C526" s="42" t="str">
        <v>Joel Doyle</v>
      </c>
      <c r="D526" s="13">
        <f>SUMIFS('RETAIL SALES DATA.'!$F$2:$F$1001,'RETAIL SALES DATA.'!$B$2:$B$1001,Custom!A526)</f>
        <v>6</v>
      </c>
    </row>
    <row r="527" spans="1:4" x14ac:dyDescent="0.3">
      <c r="A527" s="13" t="str">
        <v>Ana Chambers</v>
      </c>
      <c r="B527" s="13" t="str">
        <v>Ana Chambers</v>
      </c>
      <c r="C527" s="42" t="str">
        <v>Ana Chambers</v>
      </c>
      <c r="D527" s="13">
        <f>SUMIFS('RETAIL SALES DATA.'!$F$2:$F$1001,'RETAIL SALES DATA.'!$B$2:$B$1001,Custom!A527)</f>
        <v>18</v>
      </c>
    </row>
    <row r="528" spans="1:4" x14ac:dyDescent="0.3">
      <c r="A528" s="13" t="str">
        <v>Teresa Roman</v>
      </c>
      <c r="B528" s="13" t="str">
        <v>Teresa Roman</v>
      </c>
      <c r="C528" s="42" t="str">
        <v>Teresa Roman</v>
      </c>
      <c r="D528" s="13">
        <f>SUMIFS('RETAIL SALES DATA.'!$F$2:$F$1001,'RETAIL SALES DATA.'!$B$2:$B$1001,Custom!A528)</f>
        <v>15</v>
      </c>
    </row>
    <row r="529" spans="1:4" x14ac:dyDescent="0.3">
      <c r="A529" s="13" t="str">
        <v>Mary Williams</v>
      </c>
      <c r="B529" s="13" t="str">
        <v>Mary Williams</v>
      </c>
      <c r="C529" s="42" t="str">
        <v>Mary Williams</v>
      </c>
      <c r="D529" s="13">
        <f>SUMIFS('RETAIL SALES DATA.'!$F$2:$F$1001,'RETAIL SALES DATA.'!$B$2:$B$1001,Custom!A529)</f>
        <v>11</v>
      </c>
    </row>
    <row r="530" spans="1:4" x14ac:dyDescent="0.3">
      <c r="A530" s="13" t="str">
        <v>David Perez</v>
      </c>
      <c r="B530" s="13" t="str">
        <v>David Perez</v>
      </c>
      <c r="C530" s="42" t="str">
        <v>David Perez</v>
      </c>
      <c r="D530" s="13">
        <f>SUMIFS('RETAIL SALES DATA.'!$F$2:$F$1001,'RETAIL SALES DATA.'!$B$2:$B$1001,Custom!A530)</f>
        <v>17</v>
      </c>
    </row>
    <row r="531" spans="1:4" x14ac:dyDescent="0.3">
      <c r="A531" s="13" t="str">
        <v>Richard Owens</v>
      </c>
      <c r="B531" s="13" t="str">
        <v>Richard Owens</v>
      </c>
      <c r="C531" s="42" t="str">
        <v>Richard Owens</v>
      </c>
      <c r="D531" s="13">
        <f>SUMIFS('RETAIL SALES DATA.'!$F$2:$F$1001,'RETAIL SALES DATA.'!$B$2:$B$1001,Custom!A531)</f>
        <v>1</v>
      </c>
    </row>
    <row r="532" spans="1:4" x14ac:dyDescent="0.3">
      <c r="A532" s="13" t="str">
        <v>Eugene Hall MD</v>
      </c>
      <c r="B532" s="13" t="str">
        <v>Eugene Hall MD</v>
      </c>
      <c r="C532" s="42" t="str">
        <v>Eugene Hall Md</v>
      </c>
      <c r="D532" s="13">
        <f>SUMIFS('RETAIL SALES DATA.'!$F$2:$F$1001,'RETAIL SALES DATA.'!$B$2:$B$1001,Custom!A532)</f>
        <v>10</v>
      </c>
    </row>
    <row r="533" spans="1:4" x14ac:dyDescent="0.3">
      <c r="A533" s="13" t="str">
        <v>Alan Chavez MD</v>
      </c>
      <c r="B533" s="13" t="str">
        <v>Alan Chavez MD</v>
      </c>
      <c r="C533" s="42" t="str">
        <v>Alan Chavez Md</v>
      </c>
      <c r="D533" s="13">
        <f>SUMIFS('RETAIL SALES DATA.'!$F$2:$F$1001,'RETAIL SALES DATA.'!$B$2:$B$1001,Custom!A533)</f>
        <v>12</v>
      </c>
    </row>
    <row r="534" spans="1:4" x14ac:dyDescent="0.3">
      <c r="A534" s="13" t="str">
        <v>Daniel Hudson</v>
      </c>
      <c r="B534" s="13" t="str">
        <v>Daniel Hudson</v>
      </c>
      <c r="C534" s="42" t="str">
        <v>Daniel Hudson</v>
      </c>
      <c r="D534" s="13">
        <f>SUMIFS('RETAIL SALES DATA.'!$F$2:$F$1001,'RETAIL SALES DATA.'!$B$2:$B$1001,Custom!A534)</f>
        <v>11</v>
      </c>
    </row>
    <row r="535" spans="1:4" x14ac:dyDescent="0.3">
      <c r="A535" s="13" t="str">
        <v>Tammy Cameron</v>
      </c>
      <c r="B535" s="13" t="str">
        <v>Tammy Cameron</v>
      </c>
      <c r="C535" s="42" t="str">
        <v>Tammy Cameron</v>
      </c>
      <c r="D535" s="13">
        <f>SUMIFS('RETAIL SALES DATA.'!$F$2:$F$1001,'RETAIL SALES DATA.'!$B$2:$B$1001,Custom!A535)</f>
        <v>18</v>
      </c>
    </row>
    <row r="536" spans="1:4" x14ac:dyDescent="0.3">
      <c r="A536" s="13" t="str">
        <v>Robert Young</v>
      </c>
      <c r="B536" s="13" t="str">
        <v>Robert Young</v>
      </c>
      <c r="C536" s="42" t="str">
        <v>Robert Young</v>
      </c>
      <c r="D536" s="13">
        <f>SUMIFS('RETAIL SALES DATA.'!$F$2:$F$1001,'RETAIL SALES DATA.'!$B$2:$B$1001,Custom!A536)</f>
        <v>9</v>
      </c>
    </row>
    <row r="537" spans="1:4" x14ac:dyDescent="0.3">
      <c r="A537" s="13" t="str">
        <v>Sandra Andrews</v>
      </c>
      <c r="B537" s="13" t="str">
        <v>Sandra Andrews</v>
      </c>
      <c r="C537" s="42" t="str">
        <v>Sandra Andrews</v>
      </c>
      <c r="D537" s="13">
        <f>SUMIFS('RETAIL SALES DATA.'!$F$2:$F$1001,'RETAIL SALES DATA.'!$B$2:$B$1001,Custom!A537)</f>
        <v>9</v>
      </c>
    </row>
    <row r="538" spans="1:4" x14ac:dyDescent="0.3">
      <c r="A538" s="13" t="str">
        <v>April Diaz</v>
      </c>
      <c r="B538" s="13" t="str">
        <v>April Diaz</v>
      </c>
      <c r="C538" s="42" t="str">
        <v>April Diaz</v>
      </c>
      <c r="D538" s="13">
        <f>SUMIFS('RETAIL SALES DATA.'!$F$2:$F$1001,'RETAIL SALES DATA.'!$B$2:$B$1001,Custom!A538)</f>
        <v>18</v>
      </c>
    </row>
    <row r="539" spans="1:4" x14ac:dyDescent="0.3">
      <c r="A539" s="13" t="str">
        <v>Mr. Peter Williams</v>
      </c>
      <c r="B539" s="13" t="str">
        <v>Mr. Peter Williams</v>
      </c>
      <c r="C539" s="42" t="str">
        <v>Mr. Peter Williams</v>
      </c>
      <c r="D539" s="13">
        <f>SUMIFS('RETAIL SALES DATA.'!$F$2:$F$1001,'RETAIL SALES DATA.'!$B$2:$B$1001,Custom!A539)</f>
        <v>19</v>
      </c>
    </row>
    <row r="540" spans="1:4" x14ac:dyDescent="0.3">
      <c r="A540" s="13" t="str">
        <v>Brian Smith</v>
      </c>
      <c r="B540" s="13" t="str">
        <v>Brian Smith</v>
      </c>
      <c r="C540" s="42" t="str">
        <v>Brian Smith</v>
      </c>
      <c r="D540" s="13">
        <f>SUMIFS('RETAIL SALES DATA.'!$F$2:$F$1001,'RETAIL SALES DATA.'!$B$2:$B$1001,Custom!A540)</f>
        <v>7</v>
      </c>
    </row>
    <row r="541" spans="1:4" x14ac:dyDescent="0.3">
      <c r="A541" s="13" t="str">
        <v>Jimmy Rivera</v>
      </c>
      <c r="B541" s="13" t="str">
        <v>Jimmy Rivera</v>
      </c>
      <c r="C541" s="42" t="str">
        <v>Jimmy Rivera</v>
      </c>
      <c r="D541" s="13">
        <f>SUMIFS('RETAIL SALES DATA.'!$F$2:$F$1001,'RETAIL SALES DATA.'!$B$2:$B$1001,Custom!A541)</f>
        <v>9</v>
      </c>
    </row>
    <row r="542" spans="1:4" x14ac:dyDescent="0.3">
      <c r="A542" s="13" t="str">
        <v>Katrina Boyd</v>
      </c>
      <c r="B542" s="13" t="str">
        <v>Katrina Boyd</v>
      </c>
      <c r="C542" s="42" t="str">
        <v>Katrina Boyd</v>
      </c>
      <c r="D542" s="13">
        <f>SUMIFS('RETAIL SALES DATA.'!$F$2:$F$1001,'RETAIL SALES DATA.'!$B$2:$B$1001,Custom!A542)</f>
        <v>3</v>
      </c>
    </row>
    <row r="543" spans="1:4" x14ac:dyDescent="0.3">
      <c r="A543" s="13" t="str">
        <v>Nathaniel Brooks</v>
      </c>
      <c r="B543" s="13" t="str">
        <v>Nathaniel Brooks</v>
      </c>
      <c r="C543" s="42" t="str">
        <v>Nathaniel Brooks</v>
      </c>
      <c r="D543" s="13">
        <f>SUMIFS('RETAIL SALES DATA.'!$F$2:$F$1001,'RETAIL SALES DATA.'!$B$2:$B$1001,Custom!A543)</f>
        <v>7</v>
      </c>
    </row>
    <row r="544" spans="1:4" x14ac:dyDescent="0.3">
      <c r="A544" s="13" t="str">
        <v>Karen Owens</v>
      </c>
      <c r="B544" s="13" t="str">
        <v>Karen Owens</v>
      </c>
      <c r="C544" s="42" t="str">
        <v>Karen Owens</v>
      </c>
      <c r="D544" s="13">
        <f>SUMIFS('RETAIL SALES DATA.'!$F$2:$F$1001,'RETAIL SALES DATA.'!$B$2:$B$1001,Custom!A544)</f>
        <v>9</v>
      </c>
    </row>
    <row r="545" spans="1:4" x14ac:dyDescent="0.3">
      <c r="A545" s="13" t="str">
        <v>Zachary Underwood</v>
      </c>
      <c r="B545" s="13" t="str">
        <v>Zachary Underwood</v>
      </c>
      <c r="C545" s="42" t="str">
        <v>Zachary Underwood</v>
      </c>
      <c r="D545" s="13">
        <f>SUMIFS('RETAIL SALES DATA.'!$F$2:$F$1001,'RETAIL SALES DATA.'!$B$2:$B$1001,Custom!A545)</f>
        <v>9</v>
      </c>
    </row>
    <row r="546" spans="1:4" x14ac:dyDescent="0.3">
      <c r="A546" s="13" t="str">
        <v>James Martinez</v>
      </c>
      <c r="B546" s="13" t="str">
        <v>James Martinez</v>
      </c>
      <c r="C546" s="42" t="str">
        <v>James Martinez</v>
      </c>
      <c r="D546" s="13">
        <f>SUMIFS('RETAIL SALES DATA.'!$F$2:$F$1001,'RETAIL SALES DATA.'!$B$2:$B$1001,Custom!A546)</f>
        <v>3</v>
      </c>
    </row>
    <row r="547" spans="1:4" x14ac:dyDescent="0.3">
      <c r="A547" s="13" t="str">
        <v>Douglas Palmer</v>
      </c>
      <c r="B547" s="13" t="str">
        <v>Douglas Palmer</v>
      </c>
      <c r="C547" s="42" t="str">
        <v>Douglas Palmer</v>
      </c>
      <c r="D547" s="13">
        <f>SUMIFS('RETAIL SALES DATA.'!$F$2:$F$1001,'RETAIL SALES DATA.'!$B$2:$B$1001,Custom!A547)</f>
        <v>10</v>
      </c>
    </row>
    <row r="548" spans="1:4" x14ac:dyDescent="0.3">
      <c r="A548" s="13" t="str">
        <v>Samuel Peterson</v>
      </c>
      <c r="B548" s="13" t="str">
        <v>Samuel Peterson</v>
      </c>
      <c r="C548" s="42" t="str">
        <v>Samuel Peterson</v>
      </c>
      <c r="D548" s="13">
        <f>SUMIFS('RETAIL SALES DATA.'!$F$2:$F$1001,'RETAIL SALES DATA.'!$B$2:$B$1001,Custom!A548)</f>
        <v>13</v>
      </c>
    </row>
    <row r="549" spans="1:4" x14ac:dyDescent="0.3">
      <c r="A549" s="13" t="str">
        <v>Dawn Henderson</v>
      </c>
      <c r="B549" s="13" t="str">
        <v>Dawn Henderson</v>
      </c>
      <c r="C549" s="42" t="str">
        <v>Dawn Henderson</v>
      </c>
      <c r="D549" s="13">
        <f>SUMIFS('RETAIL SALES DATA.'!$F$2:$F$1001,'RETAIL SALES DATA.'!$B$2:$B$1001,Custom!A549)</f>
        <v>13</v>
      </c>
    </row>
    <row r="550" spans="1:4" x14ac:dyDescent="0.3">
      <c r="A550" s="13" t="str">
        <v>Amber Gillespie</v>
      </c>
      <c r="B550" s="13" t="str">
        <v>Amber Gillespie</v>
      </c>
      <c r="C550" s="42" t="str">
        <v>Amber Gillespie</v>
      </c>
      <c r="D550" s="13">
        <f>SUMIFS('RETAIL SALES DATA.'!$F$2:$F$1001,'RETAIL SALES DATA.'!$B$2:$B$1001,Custom!A550)</f>
        <v>5</v>
      </c>
    </row>
    <row r="551" spans="1:4" x14ac:dyDescent="0.3">
      <c r="A551" s="13" t="str">
        <v>Colton Atkins</v>
      </c>
      <c r="B551" s="13" t="str">
        <v>Colton Atkins</v>
      </c>
      <c r="C551" s="42" t="str">
        <v>Colton Atkins</v>
      </c>
      <c r="D551" s="13">
        <f>SUMIFS('RETAIL SALES DATA.'!$F$2:$F$1001,'RETAIL SALES DATA.'!$B$2:$B$1001,Custom!A551)</f>
        <v>5</v>
      </c>
    </row>
    <row r="552" spans="1:4" x14ac:dyDescent="0.3">
      <c r="A552" s="13" t="str">
        <v>Matthew Juarez</v>
      </c>
      <c r="B552" s="13" t="str">
        <v>Matthew Juarez</v>
      </c>
      <c r="C552" s="42" t="str">
        <v>Matthew Juarez</v>
      </c>
      <c r="D552" s="13">
        <f>SUMIFS('RETAIL SALES DATA.'!$F$2:$F$1001,'RETAIL SALES DATA.'!$B$2:$B$1001,Custom!A552)</f>
        <v>5</v>
      </c>
    </row>
    <row r="553" spans="1:4" x14ac:dyDescent="0.3">
      <c r="A553" s="13" t="str">
        <v>Nathaniel Hernandez</v>
      </c>
      <c r="B553" s="13" t="str">
        <v>Nathaniel Hernandez</v>
      </c>
      <c r="C553" s="42" t="str">
        <v>Nathaniel Hernandez</v>
      </c>
      <c r="D553" s="13">
        <f>SUMIFS('RETAIL SALES DATA.'!$F$2:$F$1001,'RETAIL SALES DATA.'!$B$2:$B$1001,Custom!A553)</f>
        <v>10</v>
      </c>
    </row>
    <row r="554" spans="1:4" x14ac:dyDescent="0.3">
      <c r="A554" s="13" t="str">
        <v>Sylvia Hamilton</v>
      </c>
      <c r="B554" s="13" t="str">
        <v>Sylvia Hamilton</v>
      </c>
      <c r="C554" s="42" t="str">
        <v>Sylvia Hamilton</v>
      </c>
      <c r="D554" s="13">
        <f>SUMIFS('RETAIL SALES DATA.'!$F$2:$F$1001,'RETAIL SALES DATA.'!$B$2:$B$1001,Custom!A554)</f>
        <v>11</v>
      </c>
    </row>
    <row r="555" spans="1:4" x14ac:dyDescent="0.3">
      <c r="A555" s="13" t="str">
        <v>Tara Robertson</v>
      </c>
      <c r="B555" s="13" t="str">
        <v>Tara Robertson</v>
      </c>
      <c r="C555" s="42" t="str">
        <v>Tara Robertson</v>
      </c>
      <c r="D555" s="13">
        <f>SUMIFS('RETAIL SALES DATA.'!$F$2:$F$1001,'RETAIL SALES DATA.'!$B$2:$B$1001,Custom!A555)</f>
        <v>17</v>
      </c>
    </row>
    <row r="556" spans="1:4" x14ac:dyDescent="0.3">
      <c r="A556" s="13" t="str">
        <v>Sonya Park</v>
      </c>
      <c r="B556" s="13" t="str">
        <v>Sonya Park</v>
      </c>
      <c r="C556" s="42" t="str">
        <v>Sonya Park</v>
      </c>
      <c r="D556" s="13">
        <f>SUMIFS('RETAIL SALES DATA.'!$F$2:$F$1001,'RETAIL SALES DATA.'!$B$2:$B$1001,Custom!A556)</f>
        <v>10</v>
      </c>
    </row>
    <row r="557" spans="1:4" x14ac:dyDescent="0.3">
      <c r="A557" s="13" t="str">
        <v>Maria Foster</v>
      </c>
      <c r="B557" s="13" t="str">
        <v>Maria Foster</v>
      </c>
      <c r="C557" s="42" t="str">
        <v>Maria Foster</v>
      </c>
      <c r="D557" s="13">
        <f>SUMIFS('RETAIL SALES DATA.'!$F$2:$F$1001,'RETAIL SALES DATA.'!$B$2:$B$1001,Custom!A557)</f>
        <v>5</v>
      </c>
    </row>
    <row r="558" spans="1:4" x14ac:dyDescent="0.3">
      <c r="A558" s="13" t="str">
        <v>Parker Mitchell</v>
      </c>
      <c r="B558" s="13" t="str">
        <v>Parker Mitchell</v>
      </c>
      <c r="C558" s="42" t="str">
        <v>Parker Mitchell</v>
      </c>
      <c r="D558" s="13">
        <f>SUMIFS('RETAIL SALES DATA.'!$F$2:$F$1001,'RETAIL SALES DATA.'!$B$2:$B$1001,Custom!A558)</f>
        <v>18</v>
      </c>
    </row>
    <row r="559" spans="1:4" x14ac:dyDescent="0.3">
      <c r="A559" s="13" t="str">
        <v>Emily Novak</v>
      </c>
      <c r="B559" s="13" t="str">
        <v>Emily Novak</v>
      </c>
      <c r="C559" s="42" t="str">
        <v>Emily Novak</v>
      </c>
      <c r="D559" s="13">
        <f>SUMIFS('RETAIL SALES DATA.'!$F$2:$F$1001,'RETAIL SALES DATA.'!$B$2:$B$1001,Custom!A559)</f>
        <v>15</v>
      </c>
    </row>
    <row r="560" spans="1:4" x14ac:dyDescent="0.3">
      <c r="A560" s="13" t="str">
        <v>Richard Gibson</v>
      </c>
      <c r="B560" s="13" t="str">
        <v>Richard Gibson</v>
      </c>
      <c r="C560" s="42" t="str">
        <v>Richard Gibson</v>
      </c>
      <c r="D560" s="13">
        <f>SUMIFS('RETAIL SALES DATA.'!$F$2:$F$1001,'RETAIL SALES DATA.'!$B$2:$B$1001,Custom!A560)</f>
        <v>1</v>
      </c>
    </row>
    <row r="561" spans="1:4" x14ac:dyDescent="0.3">
      <c r="A561" s="13" t="str">
        <v>Joy Lewis</v>
      </c>
      <c r="B561" s="13" t="str">
        <v>Joy Lewis</v>
      </c>
      <c r="C561" s="42" t="str">
        <v>Joy Lewis</v>
      </c>
      <c r="D561" s="13">
        <f>SUMIFS('RETAIL SALES DATA.'!$F$2:$F$1001,'RETAIL SALES DATA.'!$B$2:$B$1001,Custom!A561)</f>
        <v>20</v>
      </c>
    </row>
    <row r="562" spans="1:4" x14ac:dyDescent="0.3">
      <c r="A562" s="13" t="str">
        <v>William Scott</v>
      </c>
      <c r="B562" s="13" t="str">
        <v>William Scott</v>
      </c>
      <c r="C562" s="42" t="str">
        <v>William Scott</v>
      </c>
      <c r="D562" s="13">
        <f>SUMIFS('RETAIL SALES DATA.'!$F$2:$F$1001,'RETAIL SALES DATA.'!$B$2:$B$1001,Custom!A562)</f>
        <v>3</v>
      </c>
    </row>
    <row r="563" spans="1:4" x14ac:dyDescent="0.3">
      <c r="A563" s="13" t="str">
        <v>Edward Bates</v>
      </c>
      <c r="B563" s="13" t="str">
        <v>Edward Bates</v>
      </c>
      <c r="C563" s="42" t="str">
        <v>Edward Bates</v>
      </c>
      <c r="D563" s="13">
        <f>SUMIFS('RETAIL SALES DATA.'!$F$2:$F$1001,'RETAIL SALES DATA.'!$B$2:$B$1001,Custom!A563)</f>
        <v>15</v>
      </c>
    </row>
    <row r="564" spans="1:4" x14ac:dyDescent="0.3">
      <c r="A564" s="13" t="str">
        <v>Susan Navarro</v>
      </c>
      <c r="B564" s="13" t="str">
        <v>Susan Navarro</v>
      </c>
      <c r="C564" s="42" t="str">
        <v>Susan Navarro</v>
      </c>
      <c r="D564" s="13">
        <f>SUMIFS('RETAIL SALES DATA.'!$F$2:$F$1001,'RETAIL SALES DATA.'!$B$2:$B$1001,Custom!A564)</f>
        <v>7</v>
      </c>
    </row>
    <row r="565" spans="1:4" x14ac:dyDescent="0.3">
      <c r="A565" s="13" t="str">
        <v>Jessica Adams</v>
      </c>
      <c r="B565" s="13" t="str">
        <v>Jessica Adams</v>
      </c>
      <c r="C565" s="42" t="str">
        <v>Jessica Adams</v>
      </c>
      <c r="D565" s="13">
        <f>SUMIFS('RETAIL SALES DATA.'!$F$2:$F$1001,'RETAIL SALES DATA.'!$B$2:$B$1001,Custom!A565)</f>
        <v>10</v>
      </c>
    </row>
    <row r="566" spans="1:4" x14ac:dyDescent="0.3">
      <c r="A566" s="13" t="str">
        <v>Taylor Anderson</v>
      </c>
      <c r="B566" s="13" t="str">
        <v>Taylor Anderson</v>
      </c>
      <c r="C566" s="42" t="str">
        <v>Taylor Anderson</v>
      </c>
      <c r="D566" s="13">
        <f>SUMIFS('RETAIL SALES DATA.'!$F$2:$F$1001,'RETAIL SALES DATA.'!$B$2:$B$1001,Custom!A566)</f>
        <v>18</v>
      </c>
    </row>
    <row r="567" spans="1:4" x14ac:dyDescent="0.3">
      <c r="A567" s="13" t="str">
        <v>Colleen Prince</v>
      </c>
      <c r="B567" s="13" t="str">
        <v>Colleen Prince</v>
      </c>
      <c r="C567" s="42" t="str">
        <v>Colleen Prince</v>
      </c>
      <c r="D567" s="13">
        <f>SUMIFS('RETAIL SALES DATA.'!$F$2:$F$1001,'RETAIL SALES DATA.'!$B$2:$B$1001,Custom!A567)</f>
        <v>19</v>
      </c>
    </row>
    <row r="568" spans="1:4" x14ac:dyDescent="0.3">
      <c r="A568" s="13" t="str">
        <v>Mark Williams</v>
      </c>
      <c r="B568" s="13" t="str">
        <v>Mark Williams</v>
      </c>
      <c r="C568" s="42" t="str">
        <v>Mark Williams</v>
      </c>
      <c r="D568" s="13">
        <f>SUMIFS('RETAIL SALES DATA.'!$F$2:$F$1001,'RETAIL SALES DATA.'!$B$2:$B$1001,Custom!A568)</f>
        <v>16</v>
      </c>
    </row>
    <row r="569" spans="1:4" x14ac:dyDescent="0.3">
      <c r="A569" s="13" t="str">
        <v>Rachel Pham</v>
      </c>
      <c r="B569" s="13" t="str">
        <v>Rachel Pham</v>
      </c>
      <c r="C569" s="42" t="str">
        <v>Rachel Pham</v>
      </c>
      <c r="D569" s="13">
        <f>SUMIFS('RETAIL SALES DATA.'!$F$2:$F$1001,'RETAIL SALES DATA.'!$B$2:$B$1001,Custom!A569)</f>
        <v>10</v>
      </c>
    </row>
    <row r="570" spans="1:4" x14ac:dyDescent="0.3">
      <c r="A570" s="13" t="str">
        <v>Michael Richards</v>
      </c>
      <c r="B570" s="13" t="str">
        <v>Michael Richards</v>
      </c>
      <c r="C570" s="42" t="str">
        <v>Michael Richards</v>
      </c>
      <c r="D570" s="13">
        <f>SUMIFS('RETAIL SALES DATA.'!$F$2:$F$1001,'RETAIL SALES DATA.'!$B$2:$B$1001,Custom!A570)</f>
        <v>9</v>
      </c>
    </row>
    <row r="571" spans="1:4" x14ac:dyDescent="0.3">
      <c r="A571" s="13" t="str">
        <v>Michael Robinson</v>
      </c>
      <c r="B571" s="13" t="str">
        <v>Michael Robinson</v>
      </c>
      <c r="C571" s="42" t="str">
        <v>Michael Robinson</v>
      </c>
      <c r="D571" s="13">
        <f>SUMIFS('RETAIL SALES DATA.'!$F$2:$F$1001,'RETAIL SALES DATA.'!$B$2:$B$1001,Custom!A571)</f>
        <v>13</v>
      </c>
    </row>
    <row r="572" spans="1:4" x14ac:dyDescent="0.3">
      <c r="A572" s="13" t="str">
        <v>Stephanie Smith</v>
      </c>
      <c r="B572" s="13" t="str">
        <v>Stephanie Smith</v>
      </c>
      <c r="C572" s="42" t="str">
        <v>Stephanie Smith</v>
      </c>
      <c r="D572" s="13">
        <f>SUMIFS('RETAIL SALES DATA.'!$F$2:$F$1001,'RETAIL SALES DATA.'!$B$2:$B$1001,Custom!A572)</f>
        <v>1</v>
      </c>
    </row>
    <row r="573" spans="1:4" x14ac:dyDescent="0.3">
      <c r="A573" s="13" t="str">
        <v>Kathy Lowe</v>
      </c>
      <c r="B573" s="13" t="str">
        <v>Kathy Lowe</v>
      </c>
      <c r="C573" s="42" t="str">
        <v>Kathy Lowe</v>
      </c>
      <c r="D573" s="13">
        <f>SUMIFS('RETAIL SALES DATA.'!$F$2:$F$1001,'RETAIL SALES DATA.'!$B$2:$B$1001,Custom!A573)</f>
        <v>11</v>
      </c>
    </row>
    <row r="574" spans="1:4" x14ac:dyDescent="0.3">
      <c r="A574" s="13" t="str">
        <v>Michael Hall</v>
      </c>
      <c r="B574" s="13" t="str">
        <v>Michael Hall</v>
      </c>
      <c r="C574" s="42" t="str">
        <v>Michael Hall</v>
      </c>
      <c r="D574" s="13">
        <f>SUMIFS('RETAIL SALES DATA.'!$F$2:$F$1001,'RETAIL SALES DATA.'!$B$2:$B$1001,Custom!A574)</f>
        <v>13</v>
      </c>
    </row>
    <row r="575" spans="1:4" x14ac:dyDescent="0.3">
      <c r="A575" s="13" t="str">
        <v>Tiffany Heath</v>
      </c>
      <c r="B575" s="13" t="str">
        <v>Tiffany Heath</v>
      </c>
      <c r="C575" s="42" t="str">
        <v>Tiffany Heath</v>
      </c>
      <c r="D575" s="13">
        <f>SUMIFS('RETAIL SALES DATA.'!$F$2:$F$1001,'RETAIL SALES DATA.'!$B$2:$B$1001,Custom!A575)</f>
        <v>10</v>
      </c>
    </row>
    <row r="576" spans="1:4" x14ac:dyDescent="0.3">
      <c r="A576" s="13" t="str">
        <v>Ann Brown</v>
      </c>
      <c r="B576" s="13" t="str">
        <v>Ann Brown</v>
      </c>
      <c r="C576" s="42" t="str">
        <v>Ann Brown</v>
      </c>
      <c r="D576" s="13">
        <f>SUMIFS('RETAIL SALES DATA.'!$F$2:$F$1001,'RETAIL SALES DATA.'!$B$2:$B$1001,Custom!A576)</f>
        <v>14</v>
      </c>
    </row>
    <row r="577" spans="1:4" x14ac:dyDescent="0.3">
      <c r="A577" s="13" t="str">
        <v>Colleen Lane</v>
      </c>
      <c r="B577" s="13" t="str">
        <v>Colleen Lane</v>
      </c>
      <c r="C577" s="42" t="str">
        <v>Colleen Lane</v>
      </c>
      <c r="D577" s="13">
        <f>SUMIFS('RETAIL SALES DATA.'!$F$2:$F$1001,'RETAIL SALES DATA.'!$B$2:$B$1001,Custom!A577)</f>
        <v>15</v>
      </c>
    </row>
    <row r="578" spans="1:4" x14ac:dyDescent="0.3">
      <c r="A578" s="13" t="str">
        <v>Christian Willis</v>
      </c>
      <c r="B578" s="13" t="str">
        <v>Christian Willis</v>
      </c>
      <c r="C578" s="42" t="str">
        <v>Christian Willis</v>
      </c>
      <c r="D578" s="13">
        <f>SUMIFS('RETAIL SALES DATA.'!$F$2:$F$1001,'RETAIL SALES DATA.'!$B$2:$B$1001,Custom!A578)</f>
        <v>5</v>
      </c>
    </row>
    <row r="579" spans="1:4" x14ac:dyDescent="0.3">
      <c r="A579" s="13" t="str">
        <v>Colleen Fisher</v>
      </c>
      <c r="B579" s="13" t="str">
        <v>Colleen Fisher</v>
      </c>
      <c r="C579" s="42" t="str">
        <v>Colleen Fisher</v>
      </c>
      <c r="D579" s="13">
        <f>SUMIFS('RETAIL SALES DATA.'!$F$2:$F$1001,'RETAIL SALES DATA.'!$B$2:$B$1001,Custom!A579)</f>
        <v>12</v>
      </c>
    </row>
    <row r="580" spans="1:4" x14ac:dyDescent="0.3">
      <c r="A580" s="13" t="str">
        <v>Todd Anderson</v>
      </c>
      <c r="B580" s="13" t="str">
        <v>Todd Anderson</v>
      </c>
      <c r="C580" s="42" t="str">
        <v>Todd Anderson</v>
      </c>
      <c r="D580" s="13">
        <f>SUMIFS('RETAIL SALES DATA.'!$F$2:$F$1001,'RETAIL SALES DATA.'!$B$2:$B$1001,Custom!A580)</f>
        <v>2</v>
      </c>
    </row>
    <row r="581" spans="1:4" x14ac:dyDescent="0.3">
      <c r="A581" s="13" t="str">
        <v>Jonathan Howe</v>
      </c>
      <c r="B581" s="13" t="str">
        <v>Jonathan Howe</v>
      </c>
      <c r="C581" s="42" t="str">
        <v>Jonathan Howe</v>
      </c>
      <c r="D581" s="13">
        <f>SUMIFS('RETAIL SALES DATA.'!$F$2:$F$1001,'RETAIL SALES DATA.'!$B$2:$B$1001,Custom!A581)</f>
        <v>6</v>
      </c>
    </row>
    <row r="582" spans="1:4" x14ac:dyDescent="0.3">
      <c r="A582" s="13" t="str">
        <v>Shelia Garza</v>
      </c>
      <c r="B582" s="13" t="str">
        <v>Shelia Garza</v>
      </c>
      <c r="C582" s="42" t="str">
        <v>Shelia Garza</v>
      </c>
      <c r="D582" s="13">
        <f>SUMIFS('RETAIL SALES DATA.'!$F$2:$F$1001,'RETAIL SALES DATA.'!$B$2:$B$1001,Custom!A582)</f>
        <v>15</v>
      </c>
    </row>
    <row r="583" spans="1:4" x14ac:dyDescent="0.3">
      <c r="A583" s="13" t="str">
        <v>Jack Williams</v>
      </c>
      <c r="B583" s="13" t="str">
        <v>Jack Williams</v>
      </c>
      <c r="C583" s="42" t="str">
        <v>Jack Williams</v>
      </c>
      <c r="D583" s="13">
        <f>SUMIFS('RETAIL SALES DATA.'!$F$2:$F$1001,'RETAIL SALES DATA.'!$B$2:$B$1001,Custom!A583)</f>
        <v>20</v>
      </c>
    </row>
    <row r="584" spans="1:4" x14ac:dyDescent="0.3">
      <c r="A584" s="13" t="str">
        <v>Terry Velasquez</v>
      </c>
      <c r="B584" s="13" t="str">
        <v>Terry Velasquez</v>
      </c>
      <c r="C584" s="42" t="str">
        <v>Terry Velasquez</v>
      </c>
      <c r="D584" s="13">
        <f>SUMIFS('RETAIL SALES DATA.'!$F$2:$F$1001,'RETAIL SALES DATA.'!$B$2:$B$1001,Custom!A584)</f>
        <v>17</v>
      </c>
    </row>
    <row r="585" spans="1:4" x14ac:dyDescent="0.3">
      <c r="A585" s="13" t="str">
        <v>Richard Wright</v>
      </c>
      <c r="B585" s="13" t="str">
        <v>Richard Wright</v>
      </c>
      <c r="C585" s="42" t="str">
        <v>Richard Wright</v>
      </c>
      <c r="D585" s="13">
        <f>SUMIFS('RETAIL SALES DATA.'!$F$2:$F$1001,'RETAIL SALES DATA.'!$B$2:$B$1001,Custom!A585)</f>
        <v>5</v>
      </c>
    </row>
    <row r="586" spans="1:4" x14ac:dyDescent="0.3">
      <c r="A586" s="13" t="str">
        <v>Terri Carroll</v>
      </c>
      <c r="B586" s="13" t="str">
        <v>Terri Carroll</v>
      </c>
      <c r="C586" s="42" t="str">
        <v>Terri Carroll</v>
      </c>
      <c r="D586" s="13">
        <f>SUMIFS('RETAIL SALES DATA.'!$F$2:$F$1001,'RETAIL SALES DATA.'!$B$2:$B$1001,Custom!A586)</f>
        <v>12</v>
      </c>
    </row>
    <row r="587" spans="1:4" x14ac:dyDescent="0.3">
      <c r="A587" s="13" t="str">
        <v>Wayne Kelly</v>
      </c>
      <c r="B587" s="13" t="str">
        <v>Wayne Kelly</v>
      </c>
      <c r="C587" s="42" t="str">
        <v>Wayne Kelly</v>
      </c>
      <c r="D587" s="13">
        <f>SUMIFS('RETAIL SALES DATA.'!$F$2:$F$1001,'RETAIL SALES DATA.'!$B$2:$B$1001,Custom!A587)</f>
        <v>16</v>
      </c>
    </row>
    <row r="588" spans="1:4" x14ac:dyDescent="0.3">
      <c r="A588" s="13" t="str">
        <v>Jessica Burch</v>
      </c>
      <c r="B588" s="13" t="str">
        <v>Jessica Burch</v>
      </c>
      <c r="C588" s="42" t="str">
        <v>Jessica Burch</v>
      </c>
      <c r="D588" s="13">
        <f>SUMIFS('RETAIL SALES DATA.'!$F$2:$F$1001,'RETAIL SALES DATA.'!$B$2:$B$1001,Custom!A588)</f>
        <v>5</v>
      </c>
    </row>
    <row r="589" spans="1:4" x14ac:dyDescent="0.3">
      <c r="A589" s="13" t="str">
        <v>Amanda Stevens</v>
      </c>
      <c r="B589" s="13" t="str">
        <v>Amanda Stevens</v>
      </c>
      <c r="C589" s="42" t="str">
        <v>Amanda Stevens</v>
      </c>
      <c r="D589" s="13">
        <f>SUMIFS('RETAIL SALES DATA.'!$F$2:$F$1001,'RETAIL SALES DATA.'!$B$2:$B$1001,Custom!A589)</f>
        <v>20</v>
      </c>
    </row>
    <row r="590" spans="1:4" x14ac:dyDescent="0.3">
      <c r="A590" s="13" t="str">
        <v>Alan Clark</v>
      </c>
      <c r="B590" s="13" t="str">
        <v>Alan Clark</v>
      </c>
      <c r="C590" s="42" t="str">
        <v>Alan Clark</v>
      </c>
      <c r="D590" s="13">
        <f>SUMIFS('RETAIL SALES DATA.'!$F$2:$F$1001,'RETAIL SALES DATA.'!$B$2:$B$1001,Custom!A590)</f>
        <v>10</v>
      </c>
    </row>
    <row r="591" spans="1:4" x14ac:dyDescent="0.3">
      <c r="A591" s="13" t="str">
        <v>Jacob Harris</v>
      </c>
      <c r="B591" s="13" t="str">
        <v>Jacob Harris</v>
      </c>
      <c r="C591" s="42" t="str">
        <v>Jacob Harris</v>
      </c>
      <c r="D591" s="13">
        <f>SUMIFS('RETAIL SALES DATA.'!$F$2:$F$1001,'RETAIL SALES DATA.'!$B$2:$B$1001,Custom!A591)</f>
        <v>5</v>
      </c>
    </row>
    <row r="592" spans="1:4" x14ac:dyDescent="0.3">
      <c r="A592" s="13" t="str">
        <v>Sarah Jackson</v>
      </c>
      <c r="B592" s="13" t="str">
        <v>Sarah Jackson</v>
      </c>
      <c r="C592" s="42" t="str">
        <v>Sarah Jackson</v>
      </c>
      <c r="D592" s="13">
        <f>SUMIFS('RETAIL SALES DATA.'!$F$2:$F$1001,'RETAIL SALES DATA.'!$B$2:$B$1001,Custom!A592)</f>
        <v>2</v>
      </c>
    </row>
    <row r="593" spans="1:4" x14ac:dyDescent="0.3">
      <c r="A593" s="13" t="str">
        <v>Mrs. Patricia Gaines</v>
      </c>
      <c r="B593" s="13" t="str">
        <v>Mrs. Patricia Gaines</v>
      </c>
      <c r="C593" s="42" t="str">
        <v>Mrs. Patricia Gaines</v>
      </c>
      <c r="D593" s="13">
        <f>SUMIFS('RETAIL SALES DATA.'!$F$2:$F$1001,'RETAIL SALES DATA.'!$B$2:$B$1001,Custom!A593)</f>
        <v>15</v>
      </c>
    </row>
    <row r="594" spans="1:4" x14ac:dyDescent="0.3">
      <c r="A594" s="13" t="str">
        <v>Jessica Hall</v>
      </c>
      <c r="B594" s="13" t="str">
        <v>Jessica Hall</v>
      </c>
      <c r="C594" s="42" t="str">
        <v>Jessica Hall</v>
      </c>
      <c r="D594" s="13">
        <f>SUMIFS('RETAIL SALES DATA.'!$F$2:$F$1001,'RETAIL SALES DATA.'!$B$2:$B$1001,Custom!A594)</f>
        <v>6</v>
      </c>
    </row>
    <row r="595" spans="1:4" x14ac:dyDescent="0.3">
      <c r="A595" s="13" t="str">
        <v>Christina Thomas</v>
      </c>
      <c r="B595" s="13" t="str">
        <v>Christina Thomas</v>
      </c>
      <c r="C595" s="42" t="str">
        <v>Christina Thomas</v>
      </c>
      <c r="D595" s="13">
        <f>SUMIFS('RETAIL SALES DATA.'!$F$2:$F$1001,'RETAIL SALES DATA.'!$B$2:$B$1001,Custom!A595)</f>
        <v>6</v>
      </c>
    </row>
    <row r="596" spans="1:4" x14ac:dyDescent="0.3">
      <c r="A596" s="13" t="str">
        <v>Nicole Austin</v>
      </c>
      <c r="B596" s="13" t="str">
        <v>Nicole Austin</v>
      </c>
      <c r="C596" s="42" t="str">
        <v>Nicole Austin</v>
      </c>
      <c r="D596" s="13">
        <f>SUMIFS('RETAIL SALES DATA.'!$F$2:$F$1001,'RETAIL SALES DATA.'!$B$2:$B$1001,Custom!A596)</f>
        <v>10</v>
      </c>
    </row>
    <row r="597" spans="1:4" x14ac:dyDescent="0.3">
      <c r="A597" s="13" t="str">
        <v>Catherine Shaw</v>
      </c>
      <c r="B597" s="13" t="str">
        <v>Catherine Shaw</v>
      </c>
      <c r="C597" s="42" t="str">
        <v>Catherine Shaw</v>
      </c>
      <c r="D597" s="13">
        <f>SUMIFS('RETAIL SALES DATA.'!$F$2:$F$1001,'RETAIL SALES DATA.'!$B$2:$B$1001,Custom!A597)</f>
        <v>10</v>
      </c>
    </row>
    <row r="598" spans="1:4" x14ac:dyDescent="0.3">
      <c r="A598" s="13" t="str">
        <v>Caroline Taylor</v>
      </c>
      <c r="B598" s="13" t="str">
        <v>Caroline Taylor</v>
      </c>
      <c r="C598" s="42" t="str">
        <v>Caroline Taylor</v>
      </c>
      <c r="D598" s="13">
        <f>SUMIFS('RETAIL SALES DATA.'!$F$2:$F$1001,'RETAIL SALES DATA.'!$B$2:$B$1001,Custom!A598)</f>
        <v>9</v>
      </c>
    </row>
    <row r="599" spans="1:4" x14ac:dyDescent="0.3">
      <c r="A599" s="13" t="str">
        <v>Jordan Harris</v>
      </c>
      <c r="B599" s="13" t="str">
        <v>Jordan Harris</v>
      </c>
      <c r="C599" s="42" t="str">
        <v>Jordan Harris</v>
      </c>
      <c r="D599" s="13">
        <f>SUMIFS('RETAIL SALES DATA.'!$F$2:$F$1001,'RETAIL SALES DATA.'!$B$2:$B$1001,Custom!A599)</f>
        <v>20</v>
      </c>
    </row>
    <row r="600" spans="1:4" x14ac:dyDescent="0.3">
      <c r="A600" s="13" t="str">
        <v>Amber Shaw</v>
      </c>
      <c r="B600" s="13" t="str">
        <v>Amber Shaw</v>
      </c>
      <c r="C600" s="42" t="str">
        <v>Amber Shaw</v>
      </c>
      <c r="D600" s="13">
        <f>SUMIFS('RETAIL SALES DATA.'!$F$2:$F$1001,'RETAIL SALES DATA.'!$B$2:$B$1001,Custom!A600)</f>
        <v>5</v>
      </c>
    </row>
    <row r="601" spans="1:4" x14ac:dyDescent="0.3">
      <c r="A601" s="13" t="str">
        <v>Tracy Harris</v>
      </c>
      <c r="B601" s="13" t="str">
        <v>Tracy Harris</v>
      </c>
      <c r="C601" s="42" t="str">
        <v>Tracy Harris</v>
      </c>
      <c r="D601" s="13">
        <f>SUMIFS('RETAIL SALES DATA.'!$F$2:$F$1001,'RETAIL SALES DATA.'!$B$2:$B$1001,Custom!A601)</f>
        <v>20</v>
      </c>
    </row>
    <row r="602" spans="1:4" x14ac:dyDescent="0.3">
      <c r="A602" s="13" t="str">
        <v>Timothy Kramer</v>
      </c>
      <c r="B602" s="13" t="str">
        <v>Timothy Kramer</v>
      </c>
      <c r="C602" s="42" t="str">
        <v>Timothy Kramer</v>
      </c>
      <c r="D602" s="13">
        <f>SUMIFS('RETAIL SALES DATA.'!$F$2:$F$1001,'RETAIL SALES DATA.'!$B$2:$B$1001,Custom!A602)</f>
        <v>3</v>
      </c>
    </row>
    <row r="603" spans="1:4" x14ac:dyDescent="0.3">
      <c r="A603" s="13" t="str">
        <v>Dawn Collins</v>
      </c>
      <c r="B603" s="13" t="str">
        <v>Dawn Collins</v>
      </c>
      <c r="C603" s="42" t="str">
        <v>Dawn Collins</v>
      </c>
      <c r="D603" s="13">
        <f>SUMIFS('RETAIL SALES DATA.'!$F$2:$F$1001,'RETAIL SALES DATA.'!$B$2:$B$1001,Custom!A603)</f>
        <v>13</v>
      </c>
    </row>
    <row r="604" spans="1:4" x14ac:dyDescent="0.3">
      <c r="A604" s="13" t="str">
        <v>Kevin Lewis</v>
      </c>
      <c r="B604" s="13" t="str">
        <v>Kevin Lewis</v>
      </c>
      <c r="C604" s="42" t="str">
        <v>Kevin Lewis</v>
      </c>
      <c r="D604" s="13">
        <f>SUMIFS('RETAIL SALES DATA.'!$F$2:$F$1001,'RETAIL SALES DATA.'!$B$2:$B$1001,Custom!A604)</f>
        <v>14</v>
      </c>
    </row>
    <row r="605" spans="1:4" x14ac:dyDescent="0.3">
      <c r="A605" s="13" t="str">
        <v>Denise Jones</v>
      </c>
      <c r="B605" s="13" t="str">
        <v>Denise Jones</v>
      </c>
      <c r="C605" s="42" t="str">
        <v>Denise Jones</v>
      </c>
      <c r="D605" s="13">
        <f>SUMIFS('RETAIL SALES DATA.'!$F$2:$F$1001,'RETAIL SALES DATA.'!$B$2:$B$1001,Custom!A605)</f>
        <v>6</v>
      </c>
    </row>
    <row r="606" spans="1:4" x14ac:dyDescent="0.3">
      <c r="A606" s="13" t="str">
        <v>Michael Gamble</v>
      </c>
      <c r="B606" s="13" t="str">
        <v>Michael Gamble</v>
      </c>
      <c r="C606" s="42" t="str">
        <v>Michael Gamble</v>
      </c>
      <c r="D606" s="13">
        <f>SUMIFS('RETAIL SALES DATA.'!$F$2:$F$1001,'RETAIL SALES DATA.'!$B$2:$B$1001,Custom!A606)</f>
        <v>15</v>
      </c>
    </row>
    <row r="607" spans="1:4" x14ac:dyDescent="0.3">
      <c r="A607" s="13" t="str">
        <v>Adam Marshall</v>
      </c>
      <c r="B607" s="13" t="str">
        <v>Adam Marshall</v>
      </c>
      <c r="C607" s="42" t="str">
        <v>Adam Marshall</v>
      </c>
      <c r="D607" s="13">
        <f>SUMIFS('RETAIL SALES DATA.'!$F$2:$F$1001,'RETAIL SALES DATA.'!$B$2:$B$1001,Custom!A607)</f>
        <v>4</v>
      </c>
    </row>
    <row r="608" spans="1:4" x14ac:dyDescent="0.3">
      <c r="A608" s="13" t="str">
        <v>Patricia Bartlett</v>
      </c>
      <c r="B608" s="13" t="str">
        <v>Patricia Bartlett</v>
      </c>
      <c r="C608" s="42" t="str">
        <v>Patricia Bartlett</v>
      </c>
      <c r="D608" s="13">
        <f>SUMIFS('RETAIL SALES DATA.'!$F$2:$F$1001,'RETAIL SALES DATA.'!$B$2:$B$1001,Custom!A608)</f>
        <v>3</v>
      </c>
    </row>
    <row r="609" spans="1:4" x14ac:dyDescent="0.3">
      <c r="A609" s="13" t="str">
        <v>Frank Wilson</v>
      </c>
      <c r="B609" s="13" t="str">
        <v>Frank Wilson</v>
      </c>
      <c r="C609" s="42" t="str">
        <v>Frank Wilson</v>
      </c>
      <c r="D609" s="13">
        <f>SUMIFS('RETAIL SALES DATA.'!$F$2:$F$1001,'RETAIL SALES DATA.'!$B$2:$B$1001,Custom!A609)</f>
        <v>20</v>
      </c>
    </row>
    <row r="610" spans="1:4" x14ac:dyDescent="0.3">
      <c r="A610" s="13" t="str">
        <v>Martin Zuniga</v>
      </c>
      <c r="B610" s="13" t="str">
        <v>Martin Zuniga</v>
      </c>
      <c r="C610" s="42" t="str">
        <v>Martin Zuniga</v>
      </c>
      <c r="D610" s="13">
        <f>SUMIFS('RETAIL SALES DATA.'!$F$2:$F$1001,'RETAIL SALES DATA.'!$B$2:$B$1001,Custom!A610)</f>
        <v>1</v>
      </c>
    </row>
    <row r="611" spans="1:4" x14ac:dyDescent="0.3">
      <c r="A611" s="13" t="str">
        <v>Michelle Bush</v>
      </c>
      <c r="B611" s="13" t="str">
        <v>Michelle Bush</v>
      </c>
      <c r="C611" s="42" t="str">
        <v>Michelle Bush</v>
      </c>
      <c r="D611" s="13">
        <f>SUMIFS('RETAIL SALES DATA.'!$F$2:$F$1001,'RETAIL SALES DATA.'!$B$2:$B$1001,Custom!A611)</f>
        <v>14</v>
      </c>
    </row>
    <row r="612" spans="1:4" x14ac:dyDescent="0.3">
      <c r="A612" s="13" t="str">
        <v>Maxwell Cox</v>
      </c>
      <c r="B612" s="13" t="str">
        <v>Maxwell Cox</v>
      </c>
      <c r="C612" s="42" t="str">
        <v>Maxwell Cox</v>
      </c>
      <c r="D612" s="13">
        <f>SUMIFS('RETAIL SALES DATA.'!$F$2:$F$1001,'RETAIL SALES DATA.'!$B$2:$B$1001,Custom!A612)</f>
        <v>3</v>
      </c>
    </row>
    <row r="613" spans="1:4" x14ac:dyDescent="0.3">
      <c r="A613" s="13" t="str">
        <v>Grace Anderson</v>
      </c>
      <c r="B613" s="13" t="str">
        <v>Grace Anderson</v>
      </c>
      <c r="C613" s="42" t="str">
        <v>Grace Anderson</v>
      </c>
      <c r="D613" s="13">
        <f>SUMIFS('RETAIL SALES DATA.'!$F$2:$F$1001,'RETAIL SALES DATA.'!$B$2:$B$1001,Custom!A613)</f>
        <v>7</v>
      </c>
    </row>
    <row r="614" spans="1:4" x14ac:dyDescent="0.3">
      <c r="A614" s="13" t="str">
        <v>Brett Palmer DDS</v>
      </c>
      <c r="B614" s="13" t="str">
        <v>Brett Palmer DDS</v>
      </c>
      <c r="C614" s="42" t="str">
        <v>Brett Palmer Dds</v>
      </c>
      <c r="D614" s="13">
        <f>SUMIFS('RETAIL SALES DATA.'!$F$2:$F$1001,'RETAIL SALES DATA.'!$B$2:$B$1001,Custom!A614)</f>
        <v>5</v>
      </c>
    </row>
    <row r="615" spans="1:4" x14ac:dyDescent="0.3">
      <c r="A615" s="13" t="str">
        <v>Richard Allen</v>
      </c>
      <c r="B615" s="13" t="str">
        <v>Richard Allen</v>
      </c>
      <c r="C615" s="42" t="str">
        <v>Richard Allen</v>
      </c>
      <c r="D615" s="13">
        <f>SUMIFS('RETAIL SALES DATA.'!$F$2:$F$1001,'RETAIL SALES DATA.'!$B$2:$B$1001,Custom!A615)</f>
        <v>14</v>
      </c>
    </row>
    <row r="616" spans="1:4" x14ac:dyDescent="0.3">
      <c r="A616" s="13" t="str">
        <v>Terry Thomas</v>
      </c>
      <c r="B616" s="13" t="str">
        <v>Terry Thomas</v>
      </c>
      <c r="C616" s="42" t="str">
        <v>Terry Thomas</v>
      </c>
      <c r="D616" s="13">
        <f>SUMIFS('RETAIL SALES DATA.'!$F$2:$F$1001,'RETAIL SALES DATA.'!$B$2:$B$1001,Custom!A616)</f>
        <v>14</v>
      </c>
    </row>
    <row r="617" spans="1:4" x14ac:dyDescent="0.3">
      <c r="A617" s="13" t="str">
        <v>Dr. Kristin Smith</v>
      </c>
      <c r="B617" s="13" t="str">
        <v>Dr. Kristin Smith</v>
      </c>
      <c r="C617" s="42" t="str">
        <v>Dr. Kristin Smith</v>
      </c>
      <c r="D617" s="13">
        <f>SUMIFS('RETAIL SALES DATA.'!$F$2:$F$1001,'RETAIL SALES DATA.'!$B$2:$B$1001,Custom!A617)</f>
        <v>3</v>
      </c>
    </row>
    <row r="618" spans="1:4" x14ac:dyDescent="0.3">
      <c r="A618" s="13" t="str">
        <v>John Wood</v>
      </c>
      <c r="B618" s="13" t="str">
        <v>John Wood</v>
      </c>
      <c r="C618" s="42" t="str">
        <v>John Wood</v>
      </c>
      <c r="D618" s="13">
        <f>SUMIFS('RETAIL SALES DATA.'!$F$2:$F$1001,'RETAIL SALES DATA.'!$B$2:$B$1001,Custom!A618)</f>
        <v>17</v>
      </c>
    </row>
    <row r="619" spans="1:4" x14ac:dyDescent="0.3">
      <c r="A619" s="13" t="str">
        <v>Jillian Daniel</v>
      </c>
      <c r="B619" s="13" t="str">
        <v>Jillian Daniel</v>
      </c>
      <c r="C619" s="42" t="str">
        <v>Jillian Daniel</v>
      </c>
      <c r="D619" s="13">
        <f>SUMIFS('RETAIL SALES DATA.'!$F$2:$F$1001,'RETAIL SALES DATA.'!$B$2:$B$1001,Custom!A619)</f>
        <v>8</v>
      </c>
    </row>
    <row r="620" spans="1:4" x14ac:dyDescent="0.3">
      <c r="A620" s="13" t="str">
        <v>Heather May</v>
      </c>
      <c r="B620" s="13" t="str">
        <v>Heather May</v>
      </c>
      <c r="C620" s="42" t="str">
        <v>Heather May</v>
      </c>
      <c r="D620" s="13">
        <f>SUMIFS('RETAIL SALES DATA.'!$F$2:$F$1001,'RETAIL SALES DATA.'!$B$2:$B$1001,Custom!A620)</f>
        <v>10</v>
      </c>
    </row>
    <row r="621" spans="1:4" x14ac:dyDescent="0.3">
      <c r="A621" s="13" t="str">
        <v>Gene Navarro</v>
      </c>
      <c r="B621" s="13" t="str">
        <v>Gene Navarro</v>
      </c>
      <c r="C621" s="42" t="str">
        <v>Gene Navarro</v>
      </c>
      <c r="D621" s="13">
        <f>SUMIFS('RETAIL SALES DATA.'!$F$2:$F$1001,'RETAIL SALES DATA.'!$B$2:$B$1001,Custom!A621)</f>
        <v>6</v>
      </c>
    </row>
    <row r="622" spans="1:4" x14ac:dyDescent="0.3">
      <c r="A622" s="13" t="str">
        <v>Cheryl Santos</v>
      </c>
      <c r="B622" s="13" t="str">
        <v>Cheryl Santos</v>
      </c>
      <c r="C622" s="42" t="str">
        <v>Cheryl Santos</v>
      </c>
      <c r="D622" s="13">
        <f>SUMIFS('RETAIL SALES DATA.'!$F$2:$F$1001,'RETAIL SALES DATA.'!$B$2:$B$1001,Custom!A622)</f>
        <v>8</v>
      </c>
    </row>
    <row r="623" spans="1:4" x14ac:dyDescent="0.3">
      <c r="A623" s="13" t="str">
        <v>Gina Martinez</v>
      </c>
      <c r="B623" s="13" t="str">
        <v>Gina Martinez</v>
      </c>
      <c r="C623" s="42" t="str">
        <v>Gina Martinez</v>
      </c>
      <c r="D623" s="13">
        <f>SUMIFS('RETAIL SALES DATA.'!$F$2:$F$1001,'RETAIL SALES DATA.'!$B$2:$B$1001,Custom!A623)</f>
        <v>10</v>
      </c>
    </row>
    <row r="624" spans="1:4" x14ac:dyDescent="0.3">
      <c r="A624" s="13" t="str">
        <v>Jacob Burgess PhD</v>
      </c>
      <c r="B624" s="13" t="str">
        <v>Jacob Burgess PhD</v>
      </c>
      <c r="C624" s="42" t="str">
        <v>Jacob Burgess Phd</v>
      </c>
      <c r="D624" s="13">
        <f>SUMIFS('RETAIL SALES DATA.'!$F$2:$F$1001,'RETAIL SALES DATA.'!$B$2:$B$1001,Custom!A624)</f>
        <v>17</v>
      </c>
    </row>
    <row r="625" spans="1:4" x14ac:dyDescent="0.3">
      <c r="A625" s="13" t="str">
        <v>Maria Moody</v>
      </c>
      <c r="B625" s="13" t="str">
        <v>Maria Moody</v>
      </c>
      <c r="C625" s="42" t="str">
        <v>Maria Moody</v>
      </c>
      <c r="D625" s="13">
        <f>SUMIFS('RETAIL SALES DATA.'!$F$2:$F$1001,'RETAIL SALES DATA.'!$B$2:$B$1001,Custom!A625)</f>
        <v>17</v>
      </c>
    </row>
    <row r="626" spans="1:4" x14ac:dyDescent="0.3">
      <c r="A626" s="13" t="str">
        <v>Dylan Sosa</v>
      </c>
      <c r="B626" s="13" t="str">
        <v>Dylan Sosa</v>
      </c>
      <c r="C626" s="42" t="str">
        <v>Dylan Sosa</v>
      </c>
      <c r="D626" s="13">
        <f>SUMIFS('RETAIL SALES DATA.'!$F$2:$F$1001,'RETAIL SALES DATA.'!$B$2:$B$1001,Custom!A626)</f>
        <v>1</v>
      </c>
    </row>
    <row r="627" spans="1:4" x14ac:dyDescent="0.3">
      <c r="A627" s="13" t="str">
        <v>Jennifer Taylor</v>
      </c>
      <c r="B627" s="13" t="str">
        <v>Jennifer Taylor</v>
      </c>
      <c r="C627" s="42" t="str">
        <v>Jennifer Taylor</v>
      </c>
      <c r="D627" s="13">
        <f>SUMIFS('RETAIL SALES DATA.'!$F$2:$F$1001,'RETAIL SALES DATA.'!$B$2:$B$1001,Custom!A627)</f>
        <v>15</v>
      </c>
    </row>
    <row r="628" spans="1:4" x14ac:dyDescent="0.3">
      <c r="A628" s="13" t="str">
        <v>Mrs. Kimberly Pitts MD</v>
      </c>
      <c r="B628" s="13" t="str">
        <v>Mrs. Kimberly Pitts MD</v>
      </c>
      <c r="C628" s="42" t="str">
        <v>Mrs. Kimberly Pitts Md</v>
      </c>
      <c r="D628" s="13">
        <f>SUMIFS('RETAIL SALES DATA.'!$F$2:$F$1001,'RETAIL SALES DATA.'!$B$2:$B$1001,Custom!A628)</f>
        <v>5</v>
      </c>
    </row>
    <row r="629" spans="1:4" x14ac:dyDescent="0.3">
      <c r="A629" s="13" t="str">
        <v>John Johnson</v>
      </c>
      <c r="B629" s="13" t="str">
        <v>John Johnson</v>
      </c>
      <c r="C629" s="42" t="str">
        <v>John Johnson</v>
      </c>
      <c r="D629" s="13">
        <f>SUMIFS('RETAIL SALES DATA.'!$F$2:$F$1001,'RETAIL SALES DATA.'!$B$2:$B$1001,Custom!A629)</f>
        <v>5</v>
      </c>
    </row>
    <row r="630" spans="1:4" x14ac:dyDescent="0.3">
      <c r="A630" s="13" t="str">
        <v>Janet Phillips</v>
      </c>
      <c r="B630" s="13" t="str">
        <v>Janet Phillips</v>
      </c>
      <c r="C630" s="42" t="str">
        <v>Janet Phillips</v>
      </c>
      <c r="D630" s="13">
        <f>SUMIFS('RETAIL SALES DATA.'!$F$2:$F$1001,'RETAIL SALES DATA.'!$B$2:$B$1001,Custom!A630)</f>
        <v>16</v>
      </c>
    </row>
    <row r="631" spans="1:4" x14ac:dyDescent="0.3">
      <c r="A631" s="13" t="str">
        <v>Leslie Smith</v>
      </c>
      <c r="B631" s="13" t="str">
        <v>Leslie Smith</v>
      </c>
      <c r="C631" s="42" t="str">
        <v>Leslie Smith</v>
      </c>
      <c r="D631" s="13">
        <f>SUMIFS('RETAIL SALES DATA.'!$F$2:$F$1001,'RETAIL SALES DATA.'!$B$2:$B$1001,Custom!A631)</f>
        <v>13</v>
      </c>
    </row>
    <row r="632" spans="1:4" x14ac:dyDescent="0.3">
      <c r="A632" s="13" t="str">
        <v>Angela Berger</v>
      </c>
      <c r="B632" s="13" t="str">
        <v>Angela Berger</v>
      </c>
      <c r="C632" s="42" t="str">
        <v>Angela Berger</v>
      </c>
      <c r="D632" s="13">
        <f>SUMIFS('RETAIL SALES DATA.'!$F$2:$F$1001,'RETAIL SALES DATA.'!$B$2:$B$1001,Custom!A632)</f>
        <v>7</v>
      </c>
    </row>
    <row r="633" spans="1:4" x14ac:dyDescent="0.3">
      <c r="A633" s="13" t="str">
        <v>Jordan Young</v>
      </c>
      <c r="B633" s="13" t="str">
        <v>Jordan Young</v>
      </c>
      <c r="C633" s="42" t="str">
        <v>Jordan Young</v>
      </c>
      <c r="D633" s="13">
        <f>SUMIFS('RETAIL SALES DATA.'!$F$2:$F$1001,'RETAIL SALES DATA.'!$B$2:$B$1001,Custom!A633)</f>
        <v>1</v>
      </c>
    </row>
    <row r="634" spans="1:4" x14ac:dyDescent="0.3">
      <c r="A634" s="13" t="str">
        <v>Joseph Richardson</v>
      </c>
      <c r="B634" s="13" t="str">
        <v>Joseph Richardson</v>
      </c>
      <c r="C634" s="42" t="str">
        <v>Joseph Richardson</v>
      </c>
      <c r="D634" s="13">
        <f>SUMIFS('RETAIL SALES DATA.'!$F$2:$F$1001,'RETAIL SALES DATA.'!$B$2:$B$1001,Custom!A634)</f>
        <v>17</v>
      </c>
    </row>
    <row r="635" spans="1:4" x14ac:dyDescent="0.3">
      <c r="A635" s="13" t="str">
        <v>Thomas Brooks</v>
      </c>
      <c r="B635" s="13" t="str">
        <v>Thomas Brooks</v>
      </c>
      <c r="C635" s="42" t="str">
        <v>Thomas Brooks</v>
      </c>
      <c r="D635" s="13">
        <f>SUMIFS('RETAIL SALES DATA.'!$F$2:$F$1001,'RETAIL SALES DATA.'!$B$2:$B$1001,Custom!A635)</f>
        <v>17</v>
      </c>
    </row>
    <row r="636" spans="1:4" x14ac:dyDescent="0.3">
      <c r="A636" s="13" t="str">
        <v>Timothy Edwards</v>
      </c>
      <c r="B636" s="13" t="str">
        <v>Timothy Edwards</v>
      </c>
      <c r="C636" s="42" t="str">
        <v>Timothy Edwards</v>
      </c>
      <c r="D636" s="13">
        <f>SUMIFS('RETAIL SALES DATA.'!$F$2:$F$1001,'RETAIL SALES DATA.'!$B$2:$B$1001,Custom!A636)</f>
        <v>15</v>
      </c>
    </row>
    <row r="637" spans="1:4" x14ac:dyDescent="0.3">
      <c r="A637" s="13" t="str">
        <v>Daniel Riley</v>
      </c>
      <c r="B637" s="13" t="str">
        <v>Daniel Riley</v>
      </c>
      <c r="C637" s="42" t="str">
        <v>Daniel Riley</v>
      </c>
      <c r="D637" s="13">
        <f>SUMIFS('RETAIL SALES DATA.'!$F$2:$F$1001,'RETAIL SALES DATA.'!$B$2:$B$1001,Custom!A637)</f>
        <v>20</v>
      </c>
    </row>
    <row r="638" spans="1:4" x14ac:dyDescent="0.3">
      <c r="A638" s="13" t="str">
        <v>Mariah Scott</v>
      </c>
      <c r="B638" s="13" t="str">
        <v>Mariah Scott</v>
      </c>
      <c r="C638" s="42" t="str">
        <v>Mariah Scott</v>
      </c>
      <c r="D638" s="13">
        <f>SUMIFS('RETAIL SALES DATA.'!$F$2:$F$1001,'RETAIL SALES DATA.'!$B$2:$B$1001,Custom!A638)</f>
        <v>7</v>
      </c>
    </row>
    <row r="639" spans="1:4" x14ac:dyDescent="0.3">
      <c r="A639" s="13" t="str">
        <v>Haley Mckinney</v>
      </c>
      <c r="B639" s="13" t="str">
        <v>Haley Mckinney</v>
      </c>
      <c r="C639" s="42" t="str">
        <v>Haley Mckinney</v>
      </c>
      <c r="D639" s="13">
        <f>SUMIFS('RETAIL SALES DATA.'!$F$2:$F$1001,'RETAIL SALES DATA.'!$B$2:$B$1001,Custom!A639)</f>
        <v>1</v>
      </c>
    </row>
    <row r="640" spans="1:4" x14ac:dyDescent="0.3">
      <c r="A640" s="13" t="str">
        <v>Sharon Romero</v>
      </c>
      <c r="B640" s="13" t="str">
        <v>Sharon Romero</v>
      </c>
      <c r="C640" s="42" t="str">
        <v>Sharon Romero</v>
      </c>
      <c r="D640" s="13">
        <f>SUMIFS('RETAIL SALES DATA.'!$F$2:$F$1001,'RETAIL SALES DATA.'!$B$2:$B$1001,Custom!A640)</f>
        <v>13</v>
      </c>
    </row>
    <row r="641" spans="1:4" x14ac:dyDescent="0.3">
      <c r="A641" s="13" t="str">
        <v>Theresa Schmidt</v>
      </c>
      <c r="B641" s="13" t="str">
        <v>Theresa Schmidt</v>
      </c>
      <c r="C641" s="42" t="str">
        <v>Theresa Schmidt</v>
      </c>
      <c r="D641" s="13">
        <f>SUMIFS('RETAIL SALES DATA.'!$F$2:$F$1001,'RETAIL SALES DATA.'!$B$2:$B$1001,Custom!A641)</f>
        <v>9</v>
      </c>
    </row>
    <row r="642" spans="1:4" x14ac:dyDescent="0.3">
      <c r="A642" s="13" t="str">
        <v>Wendy Pierce</v>
      </c>
      <c r="B642" s="13" t="str">
        <v>Wendy Pierce</v>
      </c>
      <c r="C642" s="42" t="str">
        <v>Wendy Pierce</v>
      </c>
      <c r="D642" s="13">
        <f>SUMIFS('RETAIL SALES DATA.'!$F$2:$F$1001,'RETAIL SALES DATA.'!$B$2:$B$1001,Custom!A642)</f>
        <v>9</v>
      </c>
    </row>
    <row r="643" spans="1:4" x14ac:dyDescent="0.3">
      <c r="A643" s="13" t="str">
        <v>Ashley Simpson</v>
      </c>
      <c r="B643" s="13" t="str">
        <v>Ashley Simpson</v>
      </c>
      <c r="C643" s="42" t="str">
        <v>Ashley Simpson</v>
      </c>
      <c r="D643" s="13">
        <f>SUMIFS('RETAIL SALES DATA.'!$F$2:$F$1001,'RETAIL SALES DATA.'!$B$2:$B$1001,Custom!A643)</f>
        <v>4</v>
      </c>
    </row>
    <row r="644" spans="1:4" x14ac:dyDescent="0.3">
      <c r="A644" s="13" t="str">
        <v>James Cook</v>
      </c>
      <c r="B644" s="13" t="str">
        <v>James Cook</v>
      </c>
      <c r="C644" s="42" t="str">
        <v>James Cook</v>
      </c>
      <c r="D644" s="13">
        <f>SUMIFS('RETAIL SALES DATA.'!$F$2:$F$1001,'RETAIL SALES DATA.'!$B$2:$B$1001,Custom!A644)</f>
        <v>10</v>
      </c>
    </row>
    <row r="645" spans="1:4" x14ac:dyDescent="0.3">
      <c r="A645" s="13" t="str">
        <v>Reginald Hansen</v>
      </c>
      <c r="B645" s="13" t="str">
        <v>Reginald Hansen</v>
      </c>
      <c r="C645" s="42" t="str">
        <v>Reginald Hansen</v>
      </c>
      <c r="D645" s="13">
        <f>SUMIFS('RETAIL SALES DATA.'!$F$2:$F$1001,'RETAIL SALES DATA.'!$B$2:$B$1001,Custom!A645)</f>
        <v>1</v>
      </c>
    </row>
    <row r="646" spans="1:4" x14ac:dyDescent="0.3">
      <c r="A646" s="13" t="str">
        <v>Megan Carter</v>
      </c>
      <c r="B646" s="13" t="str">
        <v>Megan Carter</v>
      </c>
      <c r="C646" s="42" t="str">
        <v>Megan Carter</v>
      </c>
      <c r="D646" s="13">
        <f>SUMIFS('RETAIL SALES DATA.'!$F$2:$F$1001,'RETAIL SALES DATA.'!$B$2:$B$1001,Custom!A646)</f>
        <v>10</v>
      </c>
    </row>
    <row r="647" spans="1:4" x14ac:dyDescent="0.3">
      <c r="A647" s="13" t="str">
        <v>Cindy Robertson</v>
      </c>
      <c r="B647" s="13" t="str">
        <v>Cindy Robertson</v>
      </c>
      <c r="C647" s="42" t="str">
        <v>Cindy Robertson</v>
      </c>
      <c r="D647" s="13">
        <f>SUMIFS('RETAIL SALES DATA.'!$F$2:$F$1001,'RETAIL SALES DATA.'!$B$2:$B$1001,Custom!A647)</f>
        <v>19</v>
      </c>
    </row>
    <row r="648" spans="1:4" x14ac:dyDescent="0.3">
      <c r="A648" s="13" t="str">
        <v>Janet Waller</v>
      </c>
      <c r="B648" s="13" t="str">
        <v>Janet Waller</v>
      </c>
      <c r="C648" s="42" t="str">
        <v>Janet Waller</v>
      </c>
      <c r="D648" s="13">
        <f>SUMIFS('RETAIL SALES DATA.'!$F$2:$F$1001,'RETAIL SALES DATA.'!$B$2:$B$1001,Custom!A648)</f>
        <v>2</v>
      </c>
    </row>
    <row r="649" spans="1:4" x14ac:dyDescent="0.3">
      <c r="A649" s="13" t="str">
        <v>David Weeks</v>
      </c>
      <c r="B649" s="13" t="str">
        <v>David Weeks</v>
      </c>
      <c r="C649" s="42" t="str">
        <v>David Weeks</v>
      </c>
      <c r="D649" s="13">
        <f>SUMIFS('RETAIL SALES DATA.'!$F$2:$F$1001,'RETAIL SALES DATA.'!$B$2:$B$1001,Custom!A649)</f>
        <v>3</v>
      </c>
    </row>
    <row r="650" spans="1:4" x14ac:dyDescent="0.3">
      <c r="A650" s="13" t="str">
        <v>Tammy Reeves</v>
      </c>
      <c r="B650" s="13" t="str">
        <v>Tammy Reeves</v>
      </c>
      <c r="C650" s="42" t="str">
        <v>Tammy Reeves</v>
      </c>
      <c r="D650" s="13">
        <f>SUMIFS('RETAIL SALES DATA.'!$F$2:$F$1001,'RETAIL SALES DATA.'!$B$2:$B$1001,Custom!A650)</f>
        <v>13</v>
      </c>
    </row>
    <row r="651" spans="1:4" x14ac:dyDescent="0.3">
      <c r="A651" s="13" t="str">
        <v>Adrienne Martin</v>
      </c>
      <c r="B651" s="13" t="str">
        <v>Adrienne Martin</v>
      </c>
      <c r="C651" s="42" t="str">
        <v>Adrienne Martin</v>
      </c>
      <c r="D651" s="13">
        <f>SUMIFS('RETAIL SALES DATA.'!$F$2:$F$1001,'RETAIL SALES DATA.'!$B$2:$B$1001,Custom!A651)</f>
        <v>7</v>
      </c>
    </row>
    <row r="652" spans="1:4" x14ac:dyDescent="0.3">
      <c r="A652" s="13" t="str">
        <v>Thomas Munoz</v>
      </c>
      <c r="B652" s="13" t="str">
        <v>Thomas Munoz</v>
      </c>
      <c r="C652" s="42" t="str">
        <v>Thomas Munoz</v>
      </c>
      <c r="D652" s="13">
        <f>SUMIFS('RETAIL SALES DATA.'!$F$2:$F$1001,'RETAIL SALES DATA.'!$B$2:$B$1001,Custom!A652)</f>
        <v>17</v>
      </c>
    </row>
    <row r="653" spans="1:4" x14ac:dyDescent="0.3">
      <c r="A653" s="13" t="str">
        <v>Dana Bartlett</v>
      </c>
      <c r="B653" s="13" t="str">
        <v>Dana Bartlett</v>
      </c>
      <c r="C653" s="42" t="str">
        <v>Dana Bartlett</v>
      </c>
      <c r="D653" s="13">
        <f>SUMIFS('RETAIL SALES DATA.'!$F$2:$F$1001,'RETAIL SALES DATA.'!$B$2:$B$1001,Custom!A653)</f>
        <v>15</v>
      </c>
    </row>
    <row r="654" spans="1:4" x14ac:dyDescent="0.3">
      <c r="A654" s="13" t="str">
        <v>Gary Scott</v>
      </c>
      <c r="B654" s="13" t="str">
        <v>Gary Scott</v>
      </c>
      <c r="C654" s="42" t="str">
        <v>Gary Scott</v>
      </c>
      <c r="D654" s="13">
        <f>SUMIFS('RETAIL SALES DATA.'!$F$2:$F$1001,'RETAIL SALES DATA.'!$B$2:$B$1001,Custom!A654)</f>
        <v>17</v>
      </c>
    </row>
    <row r="655" spans="1:4" x14ac:dyDescent="0.3">
      <c r="A655" s="13" t="str">
        <v>Tamara Fernandez</v>
      </c>
      <c r="B655" s="13" t="str">
        <v>Tamara Fernandez</v>
      </c>
      <c r="C655" s="42" t="str">
        <v>Tamara Fernandez</v>
      </c>
      <c r="D655" s="13">
        <f>SUMIFS('RETAIL SALES DATA.'!$F$2:$F$1001,'RETAIL SALES DATA.'!$B$2:$B$1001,Custom!A655)</f>
        <v>20</v>
      </c>
    </row>
    <row r="656" spans="1:4" x14ac:dyDescent="0.3">
      <c r="A656" s="13" t="str">
        <v>Paul Mcdaniel</v>
      </c>
      <c r="B656" s="13" t="str">
        <v>Paul Mcdaniel</v>
      </c>
      <c r="C656" s="42" t="str">
        <v>Paul Mcdaniel</v>
      </c>
      <c r="D656" s="13">
        <f>SUMIFS('RETAIL SALES DATA.'!$F$2:$F$1001,'RETAIL SALES DATA.'!$B$2:$B$1001,Custom!A656)</f>
        <v>16</v>
      </c>
    </row>
    <row r="657" spans="1:4" x14ac:dyDescent="0.3">
      <c r="A657" s="13" t="str">
        <v>Gabriel Park</v>
      </c>
      <c r="B657" s="13" t="str">
        <v>Gabriel Park</v>
      </c>
      <c r="C657" s="42" t="str">
        <v>Gabriel Park</v>
      </c>
      <c r="D657" s="13">
        <f>SUMIFS('RETAIL SALES DATA.'!$F$2:$F$1001,'RETAIL SALES DATA.'!$B$2:$B$1001,Custom!A657)</f>
        <v>2</v>
      </c>
    </row>
    <row r="658" spans="1:4" x14ac:dyDescent="0.3">
      <c r="A658" s="13" t="str">
        <v>Caitlyn Osborne</v>
      </c>
      <c r="B658" s="13" t="str">
        <v>Caitlyn Osborne</v>
      </c>
      <c r="C658" s="42" t="str">
        <v>Caitlyn Osborne</v>
      </c>
      <c r="D658" s="13">
        <f>SUMIFS('RETAIL SALES DATA.'!$F$2:$F$1001,'RETAIL SALES DATA.'!$B$2:$B$1001,Custom!A658)</f>
        <v>9</v>
      </c>
    </row>
    <row r="659" spans="1:4" x14ac:dyDescent="0.3">
      <c r="A659" s="13" t="str">
        <v>Ryan Bryant</v>
      </c>
      <c r="B659" s="13" t="str">
        <v>Ryan Bryant</v>
      </c>
      <c r="C659" s="42" t="str">
        <v>Ryan Bryant</v>
      </c>
      <c r="D659" s="13">
        <f>SUMIFS('RETAIL SALES DATA.'!$F$2:$F$1001,'RETAIL SALES DATA.'!$B$2:$B$1001,Custom!A659)</f>
        <v>16</v>
      </c>
    </row>
    <row r="660" spans="1:4" x14ac:dyDescent="0.3">
      <c r="A660" s="13" t="str">
        <v>Ryan Carter</v>
      </c>
      <c r="B660" s="13" t="str">
        <v>Ryan Carter</v>
      </c>
      <c r="C660" s="42" t="str">
        <v>Ryan Carter</v>
      </c>
      <c r="D660" s="13">
        <f>SUMIFS('RETAIL SALES DATA.'!$F$2:$F$1001,'RETAIL SALES DATA.'!$B$2:$B$1001,Custom!A660)</f>
        <v>1</v>
      </c>
    </row>
    <row r="661" spans="1:4" x14ac:dyDescent="0.3">
      <c r="A661" s="13" t="str">
        <v>Alexander Hoover</v>
      </c>
      <c r="B661" s="13" t="str">
        <v>Alexander Hoover</v>
      </c>
      <c r="C661" s="42" t="str">
        <v>Alexander Hoover</v>
      </c>
      <c r="D661" s="13">
        <f>SUMIFS('RETAIL SALES DATA.'!$F$2:$F$1001,'RETAIL SALES DATA.'!$B$2:$B$1001,Custom!A661)</f>
        <v>14</v>
      </c>
    </row>
    <row r="662" spans="1:4" x14ac:dyDescent="0.3">
      <c r="A662" s="13" t="str">
        <v>Laura Pearson</v>
      </c>
      <c r="B662" s="13" t="str">
        <v>Laura Pearson</v>
      </c>
      <c r="C662" s="42" t="str">
        <v>Laura Pearson</v>
      </c>
      <c r="D662" s="13">
        <f>SUMIFS('RETAIL SALES DATA.'!$F$2:$F$1001,'RETAIL SALES DATA.'!$B$2:$B$1001,Custom!A662)</f>
        <v>8</v>
      </c>
    </row>
    <row r="663" spans="1:4" x14ac:dyDescent="0.3">
      <c r="A663" s="13" t="str">
        <v>Garrett Cox</v>
      </c>
      <c r="B663" s="13" t="str">
        <v>Garrett Cox</v>
      </c>
      <c r="C663" s="42" t="str">
        <v>Garrett Cox</v>
      </c>
      <c r="D663" s="13">
        <f>SUMIFS('RETAIL SALES DATA.'!$F$2:$F$1001,'RETAIL SALES DATA.'!$B$2:$B$1001,Custom!A663)</f>
        <v>12</v>
      </c>
    </row>
    <row r="664" spans="1:4" x14ac:dyDescent="0.3">
      <c r="A664" s="13" t="str">
        <v>Heather Mayer</v>
      </c>
      <c r="B664" s="13" t="str">
        <v>Heather Mayer</v>
      </c>
      <c r="C664" s="42" t="str">
        <v>Heather Mayer</v>
      </c>
      <c r="D664" s="13">
        <f>SUMIFS('RETAIL SALES DATA.'!$F$2:$F$1001,'RETAIL SALES DATA.'!$B$2:$B$1001,Custom!A664)</f>
        <v>17</v>
      </c>
    </row>
    <row r="665" spans="1:4" x14ac:dyDescent="0.3">
      <c r="A665" s="13" t="str">
        <v>Kevin Miller</v>
      </c>
      <c r="B665" s="13" t="str">
        <v>Kevin Miller</v>
      </c>
      <c r="C665" s="42" t="str">
        <v>Kevin Miller</v>
      </c>
      <c r="D665" s="13">
        <f>SUMIFS('RETAIL SALES DATA.'!$F$2:$F$1001,'RETAIL SALES DATA.'!$B$2:$B$1001,Custom!A665)</f>
        <v>9</v>
      </c>
    </row>
    <row r="666" spans="1:4" x14ac:dyDescent="0.3">
      <c r="A666" s="13" t="str">
        <v>Andrew Velez</v>
      </c>
      <c r="B666" s="13" t="str">
        <v>Andrew Velez</v>
      </c>
      <c r="C666" s="42" t="str">
        <v>Andrew Velez</v>
      </c>
      <c r="D666" s="13">
        <f>SUMIFS('RETAIL SALES DATA.'!$F$2:$F$1001,'RETAIL SALES DATA.'!$B$2:$B$1001,Custom!A666)</f>
        <v>18</v>
      </c>
    </row>
    <row r="667" spans="1:4" x14ac:dyDescent="0.3">
      <c r="A667" s="13" t="str">
        <v>Samuel Gomez</v>
      </c>
      <c r="B667" s="13" t="str">
        <v>Samuel Gomez</v>
      </c>
      <c r="C667" s="42" t="str">
        <v>Samuel Gomez</v>
      </c>
      <c r="D667" s="13">
        <f>SUMIFS('RETAIL SALES DATA.'!$F$2:$F$1001,'RETAIL SALES DATA.'!$B$2:$B$1001,Custom!A667)</f>
        <v>16</v>
      </c>
    </row>
    <row r="668" spans="1:4" x14ac:dyDescent="0.3">
      <c r="A668" s="13" t="str">
        <v>Ronald Anderson</v>
      </c>
      <c r="B668" s="13" t="str">
        <v>Ronald Anderson</v>
      </c>
      <c r="C668" s="42" t="str">
        <v>Ronald Anderson</v>
      </c>
      <c r="D668" s="13">
        <f>SUMIFS('RETAIL SALES DATA.'!$F$2:$F$1001,'RETAIL SALES DATA.'!$B$2:$B$1001,Custom!A668)</f>
        <v>20</v>
      </c>
    </row>
    <row r="669" spans="1:4" x14ac:dyDescent="0.3">
      <c r="A669" s="13" t="str">
        <v>Joseph Chen</v>
      </c>
      <c r="B669" s="13" t="str">
        <v>Joseph Chen</v>
      </c>
      <c r="C669" s="42" t="str">
        <v>Joseph Chen</v>
      </c>
      <c r="D669" s="13">
        <f>SUMIFS('RETAIL SALES DATA.'!$F$2:$F$1001,'RETAIL SALES DATA.'!$B$2:$B$1001,Custom!A669)</f>
        <v>12</v>
      </c>
    </row>
    <row r="670" spans="1:4" x14ac:dyDescent="0.3">
      <c r="A670" s="13" t="str">
        <v>Meghan Rogers</v>
      </c>
      <c r="B670" s="13" t="str">
        <v>Meghan Rogers</v>
      </c>
      <c r="C670" s="42" t="str">
        <v>Meghan Rogers</v>
      </c>
      <c r="D670" s="13">
        <f>SUMIFS('RETAIL SALES DATA.'!$F$2:$F$1001,'RETAIL SALES DATA.'!$B$2:$B$1001,Custom!A670)</f>
        <v>13</v>
      </c>
    </row>
    <row r="671" spans="1:4" x14ac:dyDescent="0.3">
      <c r="A671" s="13" t="str">
        <v>Katherine Berger</v>
      </c>
      <c r="B671" s="13" t="str">
        <v>Katherine Berger</v>
      </c>
      <c r="C671" s="42" t="str">
        <v>Katherine Berger</v>
      </c>
      <c r="D671" s="13">
        <f>SUMIFS('RETAIL SALES DATA.'!$F$2:$F$1001,'RETAIL SALES DATA.'!$B$2:$B$1001,Custom!A671)</f>
        <v>14</v>
      </c>
    </row>
    <row r="672" spans="1:4" x14ac:dyDescent="0.3">
      <c r="A672" s="13" t="str">
        <v>Tyler Griffith</v>
      </c>
      <c r="B672" s="13" t="str">
        <v>Tyler Griffith</v>
      </c>
      <c r="C672" s="42" t="str">
        <v>Tyler Griffith</v>
      </c>
      <c r="D672" s="13">
        <f>SUMIFS('RETAIL SALES DATA.'!$F$2:$F$1001,'RETAIL SALES DATA.'!$B$2:$B$1001,Custom!A672)</f>
        <v>15</v>
      </c>
    </row>
    <row r="673" spans="1:4" x14ac:dyDescent="0.3">
      <c r="A673" s="13" t="str">
        <v>John Rogers</v>
      </c>
      <c r="B673" s="13" t="str">
        <v>John Rogers</v>
      </c>
      <c r="C673" s="42" t="str">
        <v>John Rogers</v>
      </c>
      <c r="D673" s="13">
        <f>SUMIFS('RETAIL SALES DATA.'!$F$2:$F$1001,'RETAIL SALES DATA.'!$B$2:$B$1001,Custom!A673)</f>
        <v>9</v>
      </c>
    </row>
    <row r="674" spans="1:4" x14ac:dyDescent="0.3">
      <c r="A674" s="13" t="str">
        <v>Jennifer Becker</v>
      </c>
      <c r="B674" s="13" t="str">
        <v>Jennifer Becker</v>
      </c>
      <c r="C674" s="42" t="str">
        <v>Jennifer Becker</v>
      </c>
      <c r="D674" s="13">
        <f>SUMIFS('RETAIL SALES DATA.'!$F$2:$F$1001,'RETAIL SALES DATA.'!$B$2:$B$1001,Custom!A674)</f>
        <v>8</v>
      </c>
    </row>
    <row r="675" spans="1:4" x14ac:dyDescent="0.3">
      <c r="A675" s="13" t="str">
        <v>Anthony Clarke</v>
      </c>
      <c r="B675" s="13" t="str">
        <v>Anthony Clarke</v>
      </c>
      <c r="C675" s="42" t="str">
        <v>Anthony Clarke</v>
      </c>
      <c r="D675" s="13">
        <f>SUMIFS('RETAIL SALES DATA.'!$F$2:$F$1001,'RETAIL SALES DATA.'!$B$2:$B$1001,Custom!A675)</f>
        <v>10</v>
      </c>
    </row>
    <row r="676" spans="1:4" x14ac:dyDescent="0.3">
      <c r="A676" s="13" t="str">
        <v>Randall Wall</v>
      </c>
      <c r="B676" s="13" t="str">
        <v>Randall Wall</v>
      </c>
      <c r="C676" s="42" t="str">
        <v>Randall Wall</v>
      </c>
      <c r="D676" s="13">
        <f>SUMIFS('RETAIL SALES DATA.'!$F$2:$F$1001,'RETAIL SALES DATA.'!$B$2:$B$1001,Custom!A676)</f>
        <v>20</v>
      </c>
    </row>
    <row r="677" spans="1:4" x14ac:dyDescent="0.3">
      <c r="A677" s="13" t="str">
        <v>Jonathan Jordan</v>
      </c>
      <c r="B677" s="13" t="str">
        <v>Jonathan Jordan</v>
      </c>
      <c r="C677" s="42" t="str">
        <v>Jonathan Jordan</v>
      </c>
      <c r="D677" s="13">
        <f>SUMIFS('RETAIL SALES DATA.'!$F$2:$F$1001,'RETAIL SALES DATA.'!$B$2:$B$1001,Custom!A677)</f>
        <v>14</v>
      </c>
    </row>
    <row r="678" spans="1:4" x14ac:dyDescent="0.3">
      <c r="A678" s="13" t="str">
        <v>Jonathon Wall</v>
      </c>
      <c r="B678" s="13" t="str">
        <v>Jonathon Wall</v>
      </c>
      <c r="C678" s="42" t="str">
        <v>Jonathon Wall</v>
      </c>
      <c r="D678" s="13">
        <f>SUMIFS('RETAIL SALES DATA.'!$F$2:$F$1001,'RETAIL SALES DATA.'!$B$2:$B$1001,Custom!A678)</f>
        <v>20</v>
      </c>
    </row>
    <row r="679" spans="1:4" x14ac:dyDescent="0.3">
      <c r="A679" s="13" t="str">
        <v>Brittany Ramirez</v>
      </c>
      <c r="B679" s="13" t="str">
        <v>Brittany Ramirez</v>
      </c>
      <c r="C679" s="42" t="str">
        <v>Brittany Ramirez</v>
      </c>
      <c r="D679" s="13">
        <f>SUMIFS('RETAIL SALES DATA.'!$F$2:$F$1001,'RETAIL SALES DATA.'!$B$2:$B$1001,Custom!A679)</f>
        <v>2</v>
      </c>
    </row>
    <row r="680" spans="1:4" x14ac:dyDescent="0.3">
      <c r="A680" s="13" t="str">
        <v>Frederick Mullins</v>
      </c>
      <c r="B680" s="13" t="str">
        <v>Frederick Mullins</v>
      </c>
      <c r="C680" s="42" t="str">
        <v>Frederick Mullins</v>
      </c>
      <c r="D680" s="13">
        <f>SUMIFS('RETAIL SALES DATA.'!$F$2:$F$1001,'RETAIL SALES DATA.'!$B$2:$B$1001,Custom!A680)</f>
        <v>13</v>
      </c>
    </row>
    <row r="681" spans="1:4" x14ac:dyDescent="0.3">
      <c r="A681" s="13" t="str">
        <v>Dillon Johnson</v>
      </c>
      <c r="B681" s="13" t="str">
        <v>Dillon Johnson</v>
      </c>
      <c r="C681" s="42" t="str">
        <v>Dillon Johnson</v>
      </c>
      <c r="D681" s="13">
        <f>SUMIFS('RETAIL SALES DATA.'!$F$2:$F$1001,'RETAIL SALES DATA.'!$B$2:$B$1001,Custom!A681)</f>
        <v>11</v>
      </c>
    </row>
    <row r="682" spans="1:4" x14ac:dyDescent="0.3">
      <c r="A682" s="13" t="str">
        <v>Nicolas Velez</v>
      </c>
      <c r="B682" s="13" t="str">
        <v>Nicolas Velez</v>
      </c>
      <c r="C682" s="42" t="str">
        <v>Nicolas Velez</v>
      </c>
      <c r="D682" s="13">
        <f>SUMIFS('RETAIL SALES DATA.'!$F$2:$F$1001,'RETAIL SALES DATA.'!$B$2:$B$1001,Custom!A682)</f>
        <v>3</v>
      </c>
    </row>
    <row r="683" spans="1:4" x14ac:dyDescent="0.3">
      <c r="A683" s="13" t="str">
        <v>Michael Watson</v>
      </c>
      <c r="B683" s="13" t="str">
        <v>Michael Watson</v>
      </c>
      <c r="C683" s="42" t="str">
        <v>Michael Watson</v>
      </c>
      <c r="D683" s="13">
        <f>SUMIFS('RETAIL SALES DATA.'!$F$2:$F$1001,'RETAIL SALES DATA.'!$B$2:$B$1001,Custom!A683)</f>
        <v>9</v>
      </c>
    </row>
    <row r="684" spans="1:4" x14ac:dyDescent="0.3">
      <c r="A684" s="13" t="str">
        <v>Laura Barnett</v>
      </c>
      <c r="B684" s="13" t="str">
        <v>Laura Barnett</v>
      </c>
      <c r="C684" s="42" t="str">
        <v>Laura Barnett</v>
      </c>
      <c r="D684" s="13">
        <f>SUMIFS('RETAIL SALES DATA.'!$F$2:$F$1001,'RETAIL SALES DATA.'!$B$2:$B$1001,Custom!A684)</f>
        <v>6</v>
      </c>
    </row>
    <row r="685" spans="1:4" x14ac:dyDescent="0.3">
      <c r="A685" s="13" t="str">
        <v>Brenda Taylor</v>
      </c>
      <c r="B685" s="13" t="str">
        <v>Brenda Taylor</v>
      </c>
      <c r="C685" s="42" t="str">
        <v>Brenda Taylor</v>
      </c>
      <c r="D685" s="13">
        <f>SUMIFS('RETAIL SALES DATA.'!$F$2:$F$1001,'RETAIL SALES DATA.'!$B$2:$B$1001,Custom!A685)</f>
        <v>16</v>
      </c>
    </row>
    <row r="686" spans="1:4" x14ac:dyDescent="0.3">
      <c r="A686" s="13" t="str">
        <v>Stacy Hanson</v>
      </c>
      <c r="B686" s="13" t="str">
        <v>Stacy Hanson</v>
      </c>
      <c r="C686" s="42" t="str">
        <v>Stacy Hanson</v>
      </c>
      <c r="D686" s="13">
        <f>SUMIFS('RETAIL SALES DATA.'!$F$2:$F$1001,'RETAIL SALES DATA.'!$B$2:$B$1001,Custom!A686)</f>
        <v>9</v>
      </c>
    </row>
    <row r="687" spans="1:4" x14ac:dyDescent="0.3">
      <c r="A687" s="13" t="str">
        <v>Amanda Perez</v>
      </c>
      <c r="B687" s="13" t="str">
        <v>Amanda Perez</v>
      </c>
      <c r="C687" s="42" t="str">
        <v>Amanda Perez</v>
      </c>
      <c r="D687" s="13">
        <f>SUMIFS('RETAIL SALES DATA.'!$F$2:$F$1001,'RETAIL SALES DATA.'!$B$2:$B$1001,Custom!A687)</f>
        <v>20</v>
      </c>
    </row>
    <row r="688" spans="1:4" x14ac:dyDescent="0.3">
      <c r="A688" s="13" t="str">
        <v>Susan Burns</v>
      </c>
      <c r="B688" s="13" t="str">
        <v>Susan Burns</v>
      </c>
      <c r="C688" s="42" t="str">
        <v>Susan Burns</v>
      </c>
      <c r="D688" s="13">
        <f>SUMIFS('RETAIL SALES DATA.'!$F$2:$F$1001,'RETAIL SALES DATA.'!$B$2:$B$1001,Custom!A688)</f>
        <v>6</v>
      </c>
    </row>
    <row r="689" spans="1:4" x14ac:dyDescent="0.3">
      <c r="A689" s="13" t="str">
        <v>Christy Morse</v>
      </c>
      <c r="B689" s="13" t="str">
        <v>Christy Morse</v>
      </c>
      <c r="C689" s="42" t="str">
        <v>Christy Morse</v>
      </c>
      <c r="D689" s="13">
        <f>SUMIFS('RETAIL SALES DATA.'!$F$2:$F$1001,'RETAIL SALES DATA.'!$B$2:$B$1001,Custom!A689)</f>
        <v>15</v>
      </c>
    </row>
    <row r="690" spans="1:4" x14ac:dyDescent="0.3">
      <c r="A690" s="13" t="str">
        <v>Richard Hickman</v>
      </c>
      <c r="B690" s="13" t="str">
        <v>Richard Hickman</v>
      </c>
      <c r="C690" s="42" t="str">
        <v>Richard Hickman</v>
      </c>
      <c r="D690" s="13">
        <f>SUMIFS('RETAIL SALES DATA.'!$F$2:$F$1001,'RETAIL SALES DATA.'!$B$2:$B$1001,Custom!A690)</f>
        <v>12</v>
      </c>
    </row>
    <row r="691" spans="1:4" x14ac:dyDescent="0.3">
      <c r="A691" s="13" t="str">
        <v>Cynthia Rodriguez</v>
      </c>
      <c r="B691" s="13" t="str">
        <v>Cynthia Rodriguez</v>
      </c>
      <c r="C691" s="42" t="str">
        <v>Cynthia Rodriguez</v>
      </c>
      <c r="D691" s="13">
        <f>SUMIFS('RETAIL SALES DATA.'!$F$2:$F$1001,'RETAIL SALES DATA.'!$B$2:$B$1001,Custom!A691)</f>
        <v>20</v>
      </c>
    </row>
    <row r="692" spans="1:4" x14ac:dyDescent="0.3">
      <c r="A692" s="13" t="str">
        <v>Gabrielle Walker</v>
      </c>
      <c r="B692" s="13" t="str">
        <v>Gabrielle Walker</v>
      </c>
      <c r="C692" s="42" t="str">
        <v>Gabrielle Walker</v>
      </c>
      <c r="D692" s="13">
        <f>SUMIFS('RETAIL SALES DATA.'!$F$2:$F$1001,'RETAIL SALES DATA.'!$B$2:$B$1001,Custom!A692)</f>
        <v>7</v>
      </c>
    </row>
    <row r="693" spans="1:4" x14ac:dyDescent="0.3">
      <c r="A693" s="13" t="str">
        <v>Donna Howard</v>
      </c>
      <c r="B693" s="13" t="str">
        <v>Donna Howard</v>
      </c>
      <c r="C693" s="42" t="str">
        <v>Donna Howard</v>
      </c>
      <c r="D693" s="13">
        <f>SUMIFS('RETAIL SALES DATA.'!$F$2:$F$1001,'RETAIL SALES DATA.'!$B$2:$B$1001,Custom!A693)</f>
        <v>16</v>
      </c>
    </row>
    <row r="694" spans="1:4" x14ac:dyDescent="0.3">
      <c r="A694" s="13" t="str">
        <v>Heather Owens</v>
      </c>
      <c r="B694" s="13" t="str">
        <v>Heather Owens</v>
      </c>
      <c r="C694" s="42" t="str">
        <v>Heather Owens</v>
      </c>
      <c r="D694" s="13">
        <f>SUMIFS('RETAIL SALES DATA.'!$F$2:$F$1001,'RETAIL SALES DATA.'!$B$2:$B$1001,Custom!A694)</f>
        <v>15</v>
      </c>
    </row>
    <row r="695" spans="1:4" x14ac:dyDescent="0.3">
      <c r="A695" s="13" t="str">
        <v>Phillip Herrera</v>
      </c>
      <c r="B695" s="13" t="str">
        <v>Phillip Herrera</v>
      </c>
      <c r="C695" s="42" t="str">
        <v>Phillip Herrera</v>
      </c>
      <c r="D695" s="13">
        <f>SUMIFS('RETAIL SALES DATA.'!$F$2:$F$1001,'RETAIL SALES DATA.'!$B$2:$B$1001,Custom!A695)</f>
        <v>4</v>
      </c>
    </row>
    <row r="696" spans="1:4" x14ac:dyDescent="0.3">
      <c r="A696" s="13" t="str">
        <v>William Graves</v>
      </c>
      <c r="B696" s="13" t="str">
        <v>William Graves</v>
      </c>
      <c r="C696" s="42" t="str">
        <v>William Graves</v>
      </c>
      <c r="D696" s="13">
        <f>SUMIFS('RETAIL SALES DATA.'!$F$2:$F$1001,'RETAIL SALES DATA.'!$B$2:$B$1001,Custom!A696)</f>
        <v>3</v>
      </c>
    </row>
    <row r="697" spans="1:4" x14ac:dyDescent="0.3">
      <c r="A697" s="13" t="str">
        <v>Martin Gardner</v>
      </c>
      <c r="B697" s="13" t="str">
        <v>Martin Gardner</v>
      </c>
      <c r="C697" s="42" t="str">
        <v>Martin Gardner</v>
      </c>
      <c r="D697" s="13">
        <f>SUMIFS('RETAIL SALES DATA.'!$F$2:$F$1001,'RETAIL SALES DATA.'!$B$2:$B$1001,Custom!A697)</f>
        <v>7</v>
      </c>
    </row>
    <row r="698" spans="1:4" x14ac:dyDescent="0.3">
      <c r="A698" s="13" t="str">
        <v>Lisa Munoz</v>
      </c>
      <c r="B698" s="13" t="str">
        <v>Lisa Munoz</v>
      </c>
      <c r="C698" s="42" t="str">
        <v>Lisa Munoz</v>
      </c>
      <c r="D698" s="13">
        <f>SUMIFS('RETAIL SALES DATA.'!$F$2:$F$1001,'RETAIL SALES DATA.'!$B$2:$B$1001,Custom!A698)</f>
        <v>12</v>
      </c>
    </row>
    <row r="699" spans="1:4" x14ac:dyDescent="0.3">
      <c r="A699" s="13" t="str">
        <v>Kimberly Davis</v>
      </c>
      <c r="B699" s="13" t="str">
        <v>Kimberly Davis</v>
      </c>
      <c r="C699" s="42" t="str">
        <v>Kimberly Davis</v>
      </c>
      <c r="D699" s="13">
        <f>SUMIFS('RETAIL SALES DATA.'!$F$2:$F$1001,'RETAIL SALES DATA.'!$B$2:$B$1001,Custom!A699)</f>
        <v>15</v>
      </c>
    </row>
    <row r="700" spans="1:4" x14ac:dyDescent="0.3">
      <c r="A700" s="13" t="str">
        <v>Nancy Walker</v>
      </c>
      <c r="B700" s="13" t="str">
        <v>Nancy Walker</v>
      </c>
      <c r="C700" s="42" t="str">
        <v>Nancy Walker</v>
      </c>
      <c r="D700" s="13">
        <f>SUMIFS('RETAIL SALES DATA.'!$F$2:$F$1001,'RETAIL SALES DATA.'!$B$2:$B$1001,Custom!A700)</f>
        <v>16</v>
      </c>
    </row>
    <row r="701" spans="1:4" x14ac:dyDescent="0.3">
      <c r="A701" s="13" t="str">
        <v>Helen Maxwell</v>
      </c>
      <c r="B701" s="13" t="str">
        <v>Helen Maxwell</v>
      </c>
      <c r="C701" s="42" t="str">
        <v>Helen Maxwell</v>
      </c>
      <c r="D701" s="13">
        <f>SUMIFS('RETAIL SALES DATA.'!$F$2:$F$1001,'RETAIL SALES DATA.'!$B$2:$B$1001,Custom!A701)</f>
        <v>18</v>
      </c>
    </row>
    <row r="702" spans="1:4" x14ac:dyDescent="0.3">
      <c r="A702" s="13" t="str">
        <v>Martin Zimmerman</v>
      </c>
      <c r="B702" s="13" t="str">
        <v>Martin Zimmerman</v>
      </c>
      <c r="C702" s="42" t="str">
        <v>Martin Zimmerman</v>
      </c>
      <c r="D702" s="13">
        <f>SUMIFS('RETAIL SALES DATA.'!$F$2:$F$1001,'RETAIL SALES DATA.'!$B$2:$B$1001,Custom!A702)</f>
        <v>6</v>
      </c>
    </row>
    <row r="703" spans="1:4" x14ac:dyDescent="0.3">
      <c r="A703" s="13" t="str">
        <v>Michael Chapman</v>
      </c>
      <c r="B703" s="13" t="str">
        <v>Michael Chapman</v>
      </c>
      <c r="C703" s="42" t="str">
        <v>Michael Chapman</v>
      </c>
      <c r="D703" s="13">
        <f>SUMIFS('RETAIL SALES DATA.'!$F$2:$F$1001,'RETAIL SALES DATA.'!$B$2:$B$1001,Custom!A703)</f>
        <v>18</v>
      </c>
    </row>
    <row r="704" spans="1:4" x14ac:dyDescent="0.3">
      <c r="A704" s="13" t="str">
        <v>Courtney Gray</v>
      </c>
      <c r="B704" s="13" t="str">
        <v>Courtney Gray</v>
      </c>
      <c r="C704" s="42" t="str">
        <v>Courtney Gray</v>
      </c>
      <c r="D704" s="13">
        <f>SUMIFS('RETAIL SALES DATA.'!$F$2:$F$1001,'RETAIL SALES DATA.'!$B$2:$B$1001,Custom!A704)</f>
        <v>1</v>
      </c>
    </row>
    <row r="705" spans="1:4" x14ac:dyDescent="0.3">
      <c r="A705" s="13" t="str">
        <v>Daniel Howell</v>
      </c>
      <c r="B705" s="13" t="str">
        <v>Daniel Howell</v>
      </c>
      <c r="C705" s="42" t="str">
        <v>Daniel Howell</v>
      </c>
      <c r="D705" s="13">
        <f>SUMIFS('RETAIL SALES DATA.'!$F$2:$F$1001,'RETAIL SALES DATA.'!$B$2:$B$1001,Custom!A705)</f>
        <v>4</v>
      </c>
    </row>
    <row r="706" spans="1:4" x14ac:dyDescent="0.3">
      <c r="A706" s="13" t="str">
        <v>Hannah Valencia</v>
      </c>
      <c r="B706" s="13" t="str">
        <v>Hannah Valencia</v>
      </c>
      <c r="C706" s="42" t="str">
        <v>Hannah Valencia</v>
      </c>
      <c r="D706" s="13">
        <f>SUMIFS('RETAIL SALES DATA.'!$F$2:$F$1001,'RETAIL SALES DATA.'!$B$2:$B$1001,Custom!A706)</f>
        <v>13</v>
      </c>
    </row>
    <row r="707" spans="1:4" x14ac:dyDescent="0.3">
      <c r="A707" s="13" t="str">
        <v>Diane Chavez</v>
      </c>
      <c r="B707" s="13" t="str">
        <v>Diane Chavez</v>
      </c>
      <c r="C707" s="42" t="str">
        <v>Diane Chavez</v>
      </c>
      <c r="D707" s="13">
        <f>SUMIFS('RETAIL SALES DATA.'!$F$2:$F$1001,'RETAIL SALES DATA.'!$B$2:$B$1001,Custom!A707)</f>
        <v>16</v>
      </c>
    </row>
    <row r="708" spans="1:4" x14ac:dyDescent="0.3">
      <c r="A708" s="13" t="str">
        <v>James Howard</v>
      </c>
      <c r="B708" s="13" t="str">
        <v>James Howard</v>
      </c>
      <c r="C708" s="42" t="str">
        <v>James Howard</v>
      </c>
      <c r="D708" s="13">
        <f>SUMIFS('RETAIL SALES DATA.'!$F$2:$F$1001,'RETAIL SALES DATA.'!$B$2:$B$1001,Custom!A708)</f>
        <v>18</v>
      </c>
    </row>
    <row r="709" spans="1:4" x14ac:dyDescent="0.3">
      <c r="A709" s="13" t="str">
        <v>Denise Gutierrez</v>
      </c>
      <c r="B709" s="13" t="str">
        <v>Denise Gutierrez</v>
      </c>
      <c r="C709" s="42" t="str">
        <v>Denise Gutierrez</v>
      </c>
      <c r="D709" s="13">
        <f>SUMIFS('RETAIL SALES DATA.'!$F$2:$F$1001,'RETAIL SALES DATA.'!$B$2:$B$1001,Custom!A709)</f>
        <v>14</v>
      </c>
    </row>
    <row r="710" spans="1:4" x14ac:dyDescent="0.3">
      <c r="A710" s="13" t="str">
        <v>Melissa Moody MD</v>
      </c>
      <c r="B710" s="13" t="str">
        <v>Melissa Moody MD</v>
      </c>
      <c r="C710" s="42" t="str">
        <v>Melissa Moody Md</v>
      </c>
      <c r="D710" s="13">
        <f>SUMIFS('RETAIL SALES DATA.'!$F$2:$F$1001,'RETAIL SALES DATA.'!$B$2:$B$1001,Custom!A710)</f>
        <v>9</v>
      </c>
    </row>
    <row r="711" spans="1:4" x14ac:dyDescent="0.3">
      <c r="A711" s="13" t="str">
        <v>Robin Morris MD</v>
      </c>
      <c r="B711" s="13" t="str">
        <v>Robin Morris MD</v>
      </c>
      <c r="C711" s="42" t="str">
        <v>Robin Morris Md</v>
      </c>
      <c r="D711" s="13">
        <f>SUMIFS('RETAIL SALES DATA.'!$F$2:$F$1001,'RETAIL SALES DATA.'!$B$2:$B$1001,Custom!A711)</f>
        <v>20</v>
      </c>
    </row>
    <row r="712" spans="1:4" x14ac:dyDescent="0.3">
      <c r="A712" s="13" t="str">
        <v>Jason Hamilton</v>
      </c>
      <c r="B712" s="13" t="str">
        <v>Jason Hamilton</v>
      </c>
      <c r="C712" s="42" t="str">
        <v>Jason Hamilton</v>
      </c>
      <c r="D712" s="13">
        <f>SUMIFS('RETAIL SALES DATA.'!$F$2:$F$1001,'RETAIL SALES DATA.'!$B$2:$B$1001,Custom!A712)</f>
        <v>3</v>
      </c>
    </row>
    <row r="713" spans="1:4" x14ac:dyDescent="0.3">
      <c r="A713" s="13" t="str">
        <v>Emily Johnson</v>
      </c>
      <c r="B713" s="13" t="str">
        <v>Emily Johnson</v>
      </c>
      <c r="C713" s="42" t="str">
        <v>Emily Johnson</v>
      </c>
      <c r="D713" s="13">
        <f>SUMIFS('RETAIL SALES DATA.'!$F$2:$F$1001,'RETAIL SALES DATA.'!$B$2:$B$1001,Custom!A713)</f>
        <v>5</v>
      </c>
    </row>
    <row r="714" spans="1:4" x14ac:dyDescent="0.3">
      <c r="A714" s="13" t="str">
        <v>Ryan Bates</v>
      </c>
      <c r="B714" s="13" t="str">
        <v>Ryan Bates</v>
      </c>
      <c r="C714" s="42" t="str">
        <v>Ryan Bates</v>
      </c>
      <c r="D714" s="13">
        <f>SUMIFS('RETAIL SALES DATA.'!$F$2:$F$1001,'RETAIL SALES DATA.'!$B$2:$B$1001,Custom!A714)</f>
        <v>13</v>
      </c>
    </row>
    <row r="715" spans="1:4" x14ac:dyDescent="0.3">
      <c r="A715" s="13" t="str">
        <v>Antonio Wood</v>
      </c>
      <c r="B715" s="13" t="str">
        <v>Antonio Wood</v>
      </c>
      <c r="C715" s="42" t="str">
        <v>Antonio Wood</v>
      </c>
      <c r="D715" s="13">
        <f>SUMIFS('RETAIL SALES DATA.'!$F$2:$F$1001,'RETAIL SALES DATA.'!$B$2:$B$1001,Custom!A715)</f>
        <v>9</v>
      </c>
    </row>
    <row r="716" spans="1:4" x14ac:dyDescent="0.3">
      <c r="A716" s="13" t="str">
        <v>Mark Alvarez</v>
      </c>
      <c r="B716" s="13" t="str">
        <v>Mark Alvarez</v>
      </c>
      <c r="C716" s="42" t="str">
        <v>Mark Alvarez</v>
      </c>
      <c r="D716" s="13">
        <f>SUMIFS('RETAIL SALES DATA.'!$F$2:$F$1001,'RETAIL SALES DATA.'!$B$2:$B$1001,Custom!A716)</f>
        <v>6</v>
      </c>
    </row>
    <row r="717" spans="1:4" x14ac:dyDescent="0.3">
      <c r="A717" s="13" t="str">
        <v>Dennis Wright</v>
      </c>
      <c r="B717" s="13" t="str">
        <v>Dennis Wright</v>
      </c>
      <c r="C717" s="42" t="str">
        <v>Dennis Wright</v>
      </c>
      <c r="D717" s="13">
        <f>SUMIFS('RETAIL SALES DATA.'!$F$2:$F$1001,'RETAIL SALES DATA.'!$B$2:$B$1001,Custom!A717)</f>
        <v>11</v>
      </c>
    </row>
    <row r="718" spans="1:4" x14ac:dyDescent="0.3">
      <c r="A718" s="13" t="str">
        <v>Mr. David Franco</v>
      </c>
      <c r="B718" s="13" t="str">
        <v>Mr. David Franco</v>
      </c>
      <c r="C718" s="42" t="str">
        <v>Mr. David Franco</v>
      </c>
      <c r="D718" s="13">
        <f>SUMIFS('RETAIL SALES DATA.'!$F$2:$F$1001,'RETAIL SALES DATA.'!$B$2:$B$1001,Custom!A718)</f>
        <v>15</v>
      </c>
    </row>
    <row r="719" spans="1:4" x14ac:dyDescent="0.3">
      <c r="A719" s="13" t="str">
        <v>Kevin Blair</v>
      </c>
      <c r="B719" s="13" t="str">
        <v>Kevin Blair</v>
      </c>
      <c r="C719" s="42" t="str">
        <v>Kevin Blair</v>
      </c>
      <c r="D719" s="13">
        <f>SUMIFS('RETAIL SALES DATA.'!$F$2:$F$1001,'RETAIL SALES DATA.'!$B$2:$B$1001,Custom!A719)</f>
        <v>11</v>
      </c>
    </row>
    <row r="720" spans="1:4" x14ac:dyDescent="0.3">
      <c r="A720" s="13" t="str">
        <v>Brittany Swanson DDS</v>
      </c>
      <c r="B720" s="13" t="str">
        <v>Brittany Swanson DDS</v>
      </c>
      <c r="C720" s="42" t="str">
        <v>Brittany Swanson Dds</v>
      </c>
      <c r="D720" s="13">
        <f>SUMIFS('RETAIL SALES DATA.'!$F$2:$F$1001,'RETAIL SALES DATA.'!$B$2:$B$1001,Custom!A720)</f>
        <v>4</v>
      </c>
    </row>
    <row r="721" spans="1:4" x14ac:dyDescent="0.3">
      <c r="A721" s="13" t="str">
        <v>Mandy Davis</v>
      </c>
      <c r="B721" s="13" t="str">
        <v>Mandy Davis</v>
      </c>
      <c r="C721" s="42" t="str">
        <v>Mandy Davis</v>
      </c>
      <c r="D721" s="13">
        <f>SUMIFS('RETAIL SALES DATA.'!$F$2:$F$1001,'RETAIL SALES DATA.'!$B$2:$B$1001,Custom!A721)</f>
        <v>3</v>
      </c>
    </row>
    <row r="722" spans="1:4" x14ac:dyDescent="0.3">
      <c r="A722" s="13" t="str">
        <v>Philip Kelley</v>
      </c>
      <c r="B722" s="13" t="str">
        <v>Philip Kelley</v>
      </c>
      <c r="C722" s="42" t="str">
        <v>Philip Kelley</v>
      </c>
      <c r="D722" s="13">
        <f>SUMIFS('RETAIL SALES DATA.'!$F$2:$F$1001,'RETAIL SALES DATA.'!$B$2:$B$1001,Custom!A722)</f>
        <v>19</v>
      </c>
    </row>
    <row r="723" spans="1:4" x14ac:dyDescent="0.3">
      <c r="A723" s="13" t="str">
        <v>Raymond Gonzalez</v>
      </c>
      <c r="B723" s="13" t="str">
        <v>Raymond Gonzalez</v>
      </c>
      <c r="C723" s="42" t="str">
        <v>Raymond Gonzalez</v>
      </c>
      <c r="D723" s="13">
        <f>SUMIFS('RETAIL SALES DATA.'!$F$2:$F$1001,'RETAIL SALES DATA.'!$B$2:$B$1001,Custom!A723)</f>
        <v>4</v>
      </c>
    </row>
    <row r="724" spans="1:4" x14ac:dyDescent="0.3">
      <c r="A724" s="13" t="str">
        <v>Brenda Martin</v>
      </c>
      <c r="B724" s="13" t="str">
        <v>Brenda Martin</v>
      </c>
      <c r="C724" s="42" t="str">
        <v>Brenda Martin</v>
      </c>
      <c r="D724" s="13">
        <f>SUMIFS('RETAIL SALES DATA.'!$F$2:$F$1001,'RETAIL SALES DATA.'!$B$2:$B$1001,Custom!A724)</f>
        <v>7</v>
      </c>
    </row>
    <row r="725" spans="1:4" x14ac:dyDescent="0.3">
      <c r="A725" s="13" t="str">
        <v>Shannon Byrd</v>
      </c>
      <c r="B725" s="13" t="str">
        <v>Shannon Byrd</v>
      </c>
      <c r="C725" s="42" t="str">
        <v>Shannon Byrd</v>
      </c>
      <c r="D725" s="13">
        <f>SUMIFS('RETAIL SALES DATA.'!$F$2:$F$1001,'RETAIL SALES DATA.'!$B$2:$B$1001,Custom!A725)</f>
        <v>7</v>
      </c>
    </row>
    <row r="726" spans="1:4" x14ac:dyDescent="0.3">
      <c r="A726" s="13" t="str">
        <v>Crystal Horn</v>
      </c>
      <c r="B726" s="13" t="str">
        <v>Crystal Horn</v>
      </c>
      <c r="C726" s="42" t="str">
        <v>Crystal Horn</v>
      </c>
      <c r="D726" s="13">
        <f>SUMIFS('RETAIL SALES DATA.'!$F$2:$F$1001,'RETAIL SALES DATA.'!$B$2:$B$1001,Custom!A726)</f>
        <v>12</v>
      </c>
    </row>
    <row r="727" spans="1:4" x14ac:dyDescent="0.3">
      <c r="A727" s="13" t="str">
        <v>Brett Roberts</v>
      </c>
      <c r="B727" s="13" t="str">
        <v>Brett Roberts</v>
      </c>
      <c r="C727" s="42" t="str">
        <v>Brett Roberts</v>
      </c>
      <c r="D727" s="13">
        <f>SUMIFS('RETAIL SALES DATA.'!$F$2:$F$1001,'RETAIL SALES DATA.'!$B$2:$B$1001,Custom!A727)</f>
        <v>14</v>
      </c>
    </row>
    <row r="728" spans="1:4" x14ac:dyDescent="0.3">
      <c r="A728" s="13" t="str">
        <v>Sarah Nelson</v>
      </c>
      <c r="B728" s="13" t="str">
        <v>Sarah Nelson</v>
      </c>
      <c r="C728" s="42" t="str">
        <v>Sarah Nelson</v>
      </c>
      <c r="D728" s="13">
        <f>SUMIFS('RETAIL SALES DATA.'!$F$2:$F$1001,'RETAIL SALES DATA.'!$B$2:$B$1001,Custom!A728)</f>
        <v>7</v>
      </c>
    </row>
    <row r="729" spans="1:4" x14ac:dyDescent="0.3">
      <c r="A729" s="13" t="str">
        <v>Stephanie Murphy</v>
      </c>
      <c r="B729" s="13" t="str">
        <v>Stephanie Murphy</v>
      </c>
      <c r="C729" s="42" t="str">
        <v>Stephanie Murphy</v>
      </c>
      <c r="D729" s="13">
        <f>SUMIFS('RETAIL SALES DATA.'!$F$2:$F$1001,'RETAIL SALES DATA.'!$B$2:$B$1001,Custom!A729)</f>
        <v>6</v>
      </c>
    </row>
    <row r="730" spans="1:4" x14ac:dyDescent="0.3">
      <c r="A730" s="13" t="str">
        <v>Veronica Morales</v>
      </c>
      <c r="B730" s="13" t="str">
        <v>Veronica Morales</v>
      </c>
      <c r="C730" s="42" t="str">
        <v>Veronica Morales</v>
      </c>
      <c r="D730" s="13">
        <f>SUMIFS('RETAIL SALES DATA.'!$F$2:$F$1001,'RETAIL SALES DATA.'!$B$2:$B$1001,Custom!A730)</f>
        <v>5</v>
      </c>
    </row>
    <row r="731" spans="1:4" x14ac:dyDescent="0.3">
      <c r="A731" s="13" t="str">
        <v>Alexander Johnson</v>
      </c>
      <c r="B731" s="13" t="str">
        <v>Alexander Johnson</v>
      </c>
      <c r="C731" s="42" t="str">
        <v>Alexander Johnson</v>
      </c>
      <c r="D731" s="13">
        <f>SUMIFS('RETAIL SALES DATA.'!$F$2:$F$1001,'RETAIL SALES DATA.'!$B$2:$B$1001,Custom!A731)</f>
        <v>3</v>
      </c>
    </row>
    <row r="732" spans="1:4" x14ac:dyDescent="0.3">
      <c r="A732" s="13" t="str">
        <v>Frank Weiss</v>
      </c>
      <c r="B732" s="13" t="str">
        <v>Frank Weiss</v>
      </c>
      <c r="C732" s="42" t="str">
        <v>Frank Weiss</v>
      </c>
      <c r="D732" s="13">
        <f>SUMIFS('RETAIL SALES DATA.'!$F$2:$F$1001,'RETAIL SALES DATA.'!$B$2:$B$1001,Custom!A732)</f>
        <v>4</v>
      </c>
    </row>
    <row r="733" spans="1:4" x14ac:dyDescent="0.3">
      <c r="A733" s="13" t="str">
        <v>Tony Jennings</v>
      </c>
      <c r="B733" s="13" t="str">
        <v>Tony Jennings</v>
      </c>
      <c r="C733" s="42" t="str">
        <v>Tony Jennings</v>
      </c>
      <c r="D733" s="13">
        <f>SUMIFS('RETAIL SALES DATA.'!$F$2:$F$1001,'RETAIL SALES DATA.'!$B$2:$B$1001,Custom!A733)</f>
        <v>8</v>
      </c>
    </row>
    <row r="734" spans="1:4" x14ac:dyDescent="0.3">
      <c r="A734" s="13" t="str">
        <v>Robert Brown</v>
      </c>
      <c r="B734" s="13" t="str">
        <v>Robert Brown</v>
      </c>
      <c r="C734" s="42" t="str">
        <v>Robert Brown</v>
      </c>
      <c r="D734" s="13">
        <f>SUMIFS('RETAIL SALES DATA.'!$F$2:$F$1001,'RETAIL SALES DATA.'!$B$2:$B$1001,Custom!A734)</f>
        <v>2</v>
      </c>
    </row>
    <row r="735" spans="1:4" x14ac:dyDescent="0.3">
      <c r="A735" s="13" t="str">
        <v>Dana Woods</v>
      </c>
      <c r="B735" s="13" t="str">
        <v>Dana Woods</v>
      </c>
      <c r="C735" s="42" t="str">
        <v>Dana Woods</v>
      </c>
      <c r="D735" s="13">
        <f>SUMIFS('RETAIL SALES DATA.'!$F$2:$F$1001,'RETAIL SALES DATA.'!$B$2:$B$1001,Custom!A735)</f>
        <v>17</v>
      </c>
    </row>
    <row r="736" spans="1:4" x14ac:dyDescent="0.3">
      <c r="A736" s="13" t="str">
        <v>Kelly Vargas</v>
      </c>
      <c r="B736" s="13" t="str">
        <v>Kelly Vargas</v>
      </c>
      <c r="C736" s="42" t="str">
        <v>Kelly Vargas</v>
      </c>
      <c r="D736" s="13">
        <f>SUMIFS('RETAIL SALES DATA.'!$F$2:$F$1001,'RETAIL SALES DATA.'!$B$2:$B$1001,Custom!A736)</f>
        <v>12</v>
      </c>
    </row>
    <row r="737" spans="1:4" x14ac:dyDescent="0.3">
      <c r="A737" s="13" t="str">
        <v>Roy Jackson</v>
      </c>
      <c r="B737" s="13" t="str">
        <v>Roy Jackson</v>
      </c>
      <c r="C737" s="42" t="str">
        <v>Roy Jackson</v>
      </c>
      <c r="D737" s="13">
        <f>SUMIFS('RETAIL SALES DATA.'!$F$2:$F$1001,'RETAIL SALES DATA.'!$B$2:$B$1001,Custom!A737)</f>
        <v>12</v>
      </c>
    </row>
    <row r="738" spans="1:4" x14ac:dyDescent="0.3">
      <c r="A738" s="13" t="str">
        <v>Troy Hernandez</v>
      </c>
      <c r="B738" s="13" t="str">
        <v>Troy Hernandez</v>
      </c>
      <c r="C738" s="42" t="str">
        <v>Troy Hernandez</v>
      </c>
      <c r="D738" s="13">
        <f>SUMIFS('RETAIL SALES DATA.'!$F$2:$F$1001,'RETAIL SALES DATA.'!$B$2:$B$1001,Custom!A738)</f>
        <v>1</v>
      </c>
    </row>
    <row r="739" spans="1:4" x14ac:dyDescent="0.3">
      <c r="A739" s="13" t="str">
        <v>Joseph Phillips</v>
      </c>
      <c r="B739" s="13" t="str">
        <v>Joseph Phillips</v>
      </c>
      <c r="C739" s="42" t="str">
        <v>Joseph Phillips</v>
      </c>
      <c r="D739" s="13">
        <f>SUMIFS('RETAIL SALES DATA.'!$F$2:$F$1001,'RETAIL SALES DATA.'!$B$2:$B$1001,Custom!A739)</f>
        <v>4</v>
      </c>
    </row>
    <row r="740" spans="1:4" x14ac:dyDescent="0.3">
      <c r="A740" s="13" t="str">
        <v>Michael Arias</v>
      </c>
      <c r="B740" s="13" t="str">
        <v>Michael Arias</v>
      </c>
      <c r="C740" s="42" t="str">
        <v>Michael Arias</v>
      </c>
      <c r="D740" s="13">
        <f>SUMIFS('RETAIL SALES DATA.'!$F$2:$F$1001,'RETAIL SALES DATA.'!$B$2:$B$1001,Custom!A740)</f>
        <v>2</v>
      </c>
    </row>
    <row r="741" spans="1:4" x14ac:dyDescent="0.3">
      <c r="A741" s="13" t="str">
        <v>Wesley Lynch</v>
      </c>
      <c r="B741" s="13" t="str">
        <v>Wesley Lynch</v>
      </c>
      <c r="C741" s="42" t="str">
        <v>Wesley Lynch</v>
      </c>
      <c r="D741" s="13">
        <f>SUMIFS('RETAIL SALES DATA.'!$F$2:$F$1001,'RETAIL SALES DATA.'!$B$2:$B$1001,Custom!A741)</f>
        <v>10</v>
      </c>
    </row>
    <row r="742" spans="1:4" x14ac:dyDescent="0.3">
      <c r="A742" s="13" t="str">
        <v>Hayden Ortega</v>
      </c>
      <c r="B742" s="13" t="str">
        <v>Hayden Ortega</v>
      </c>
      <c r="C742" s="42" t="str">
        <v>Hayden Ortega</v>
      </c>
      <c r="D742" s="13">
        <f>SUMIFS('RETAIL SALES DATA.'!$F$2:$F$1001,'RETAIL SALES DATA.'!$B$2:$B$1001,Custom!A742)</f>
        <v>16</v>
      </c>
    </row>
    <row r="743" spans="1:4" x14ac:dyDescent="0.3">
      <c r="A743" s="13" t="str">
        <v>Sharon Richardson</v>
      </c>
      <c r="B743" s="13" t="str">
        <v>Sharon Richardson</v>
      </c>
      <c r="C743" s="42" t="str">
        <v>Sharon Richardson</v>
      </c>
      <c r="D743" s="13">
        <f>SUMIFS('RETAIL SALES DATA.'!$F$2:$F$1001,'RETAIL SALES DATA.'!$B$2:$B$1001,Custom!A743)</f>
        <v>9</v>
      </c>
    </row>
    <row r="744" spans="1:4" x14ac:dyDescent="0.3">
      <c r="A744" s="13" t="str">
        <v>Laurie Padilla MD</v>
      </c>
      <c r="B744" s="13" t="str">
        <v>Laurie Padilla MD</v>
      </c>
      <c r="C744" s="42" t="str">
        <v>Laurie Padilla Md</v>
      </c>
      <c r="D744" s="13">
        <f>SUMIFS('RETAIL SALES DATA.'!$F$2:$F$1001,'RETAIL SALES DATA.'!$B$2:$B$1001,Custom!A744)</f>
        <v>9</v>
      </c>
    </row>
    <row r="745" spans="1:4" x14ac:dyDescent="0.3">
      <c r="A745" s="13" t="str">
        <v>Sylvia Johnson</v>
      </c>
      <c r="B745" s="13" t="str">
        <v>Sylvia Johnson</v>
      </c>
      <c r="C745" s="42" t="str">
        <v>Sylvia Johnson</v>
      </c>
      <c r="D745" s="13">
        <f>SUMIFS('RETAIL SALES DATA.'!$F$2:$F$1001,'RETAIL SALES DATA.'!$B$2:$B$1001,Custom!A745)</f>
        <v>9</v>
      </c>
    </row>
    <row r="746" spans="1:4" x14ac:dyDescent="0.3">
      <c r="A746" s="13" t="str">
        <v>Marcus Hall</v>
      </c>
      <c r="B746" s="13" t="str">
        <v>Marcus Hall</v>
      </c>
      <c r="C746" s="42" t="str">
        <v>Marcus Hall</v>
      </c>
      <c r="D746" s="13">
        <f>SUMIFS('RETAIL SALES DATA.'!$F$2:$F$1001,'RETAIL SALES DATA.'!$B$2:$B$1001,Custom!A746)</f>
        <v>14</v>
      </c>
    </row>
    <row r="747" spans="1:4" x14ac:dyDescent="0.3">
      <c r="A747" s="13" t="str">
        <v>Kevin Martinez</v>
      </c>
      <c r="B747" s="13" t="str">
        <v>Kevin Martinez</v>
      </c>
      <c r="C747" s="42" t="str">
        <v>Kevin Martinez</v>
      </c>
      <c r="D747" s="13">
        <f>SUMIFS('RETAIL SALES DATA.'!$F$2:$F$1001,'RETAIL SALES DATA.'!$B$2:$B$1001,Custom!A747)</f>
        <v>3</v>
      </c>
    </row>
    <row r="748" spans="1:4" x14ac:dyDescent="0.3">
      <c r="A748" s="13" t="str">
        <v>Derek Brandt</v>
      </c>
      <c r="B748" s="13" t="str">
        <v>Derek Brandt</v>
      </c>
      <c r="C748" s="42" t="str">
        <v>Derek Brandt</v>
      </c>
      <c r="D748" s="13">
        <f>SUMIFS('RETAIL SALES DATA.'!$F$2:$F$1001,'RETAIL SALES DATA.'!$B$2:$B$1001,Custom!A748)</f>
        <v>3</v>
      </c>
    </row>
    <row r="749" spans="1:4" x14ac:dyDescent="0.3">
      <c r="A749" s="13" t="str">
        <v>Brittany Stokes</v>
      </c>
      <c r="B749" s="13" t="str">
        <v>Brittany Stokes</v>
      </c>
      <c r="C749" s="42" t="str">
        <v>Brittany Stokes</v>
      </c>
      <c r="D749" s="13">
        <f>SUMIFS('RETAIL SALES DATA.'!$F$2:$F$1001,'RETAIL SALES DATA.'!$B$2:$B$1001,Custom!A749)</f>
        <v>14</v>
      </c>
    </row>
    <row r="750" spans="1:4" x14ac:dyDescent="0.3">
      <c r="A750" s="13" t="str">
        <v>Mary Franco</v>
      </c>
      <c r="B750" s="13" t="str">
        <v>Mary Franco</v>
      </c>
      <c r="C750" s="42" t="str">
        <v>Mary Franco</v>
      </c>
      <c r="D750" s="13">
        <f>SUMIFS('RETAIL SALES DATA.'!$F$2:$F$1001,'RETAIL SALES DATA.'!$B$2:$B$1001,Custom!A750)</f>
        <v>14</v>
      </c>
    </row>
    <row r="751" spans="1:4" x14ac:dyDescent="0.3">
      <c r="A751" s="13" t="str">
        <v>Veronica Stewart</v>
      </c>
      <c r="B751" s="13" t="str">
        <v>Veronica Stewart</v>
      </c>
      <c r="C751" s="42" t="str">
        <v>Veronica Stewart</v>
      </c>
      <c r="D751" s="13">
        <f>SUMIFS('RETAIL SALES DATA.'!$F$2:$F$1001,'RETAIL SALES DATA.'!$B$2:$B$1001,Custom!A751)</f>
        <v>11</v>
      </c>
    </row>
    <row r="752" spans="1:4" x14ac:dyDescent="0.3">
      <c r="A752" s="13" t="str">
        <v>Savannah Adams</v>
      </c>
      <c r="B752" s="13" t="str">
        <v>Savannah Adams</v>
      </c>
      <c r="C752" s="42" t="str">
        <v>Savannah Adams</v>
      </c>
      <c r="D752" s="13">
        <f>SUMIFS('RETAIL SALES DATA.'!$F$2:$F$1001,'RETAIL SALES DATA.'!$B$2:$B$1001,Custom!A752)</f>
        <v>20</v>
      </c>
    </row>
    <row r="753" spans="1:4" x14ac:dyDescent="0.3">
      <c r="A753" s="13" t="str">
        <v>Brenda Morales</v>
      </c>
      <c r="B753" s="13" t="str">
        <v>Brenda Morales</v>
      </c>
      <c r="C753" s="42" t="str">
        <v>Brenda Morales</v>
      </c>
      <c r="D753" s="13">
        <f>SUMIFS('RETAIL SALES DATA.'!$F$2:$F$1001,'RETAIL SALES DATA.'!$B$2:$B$1001,Custom!A753)</f>
        <v>4</v>
      </c>
    </row>
    <row r="754" spans="1:4" x14ac:dyDescent="0.3">
      <c r="A754" s="13" t="str">
        <v>Alan Farrell</v>
      </c>
      <c r="B754" s="13" t="str">
        <v>Alan Farrell</v>
      </c>
      <c r="C754" s="42" t="str">
        <v>Alan Farrell</v>
      </c>
      <c r="D754" s="13">
        <f>SUMIFS('RETAIL SALES DATA.'!$F$2:$F$1001,'RETAIL SALES DATA.'!$B$2:$B$1001,Custom!A754)</f>
        <v>9</v>
      </c>
    </row>
    <row r="755" spans="1:4" x14ac:dyDescent="0.3">
      <c r="A755" s="13" t="str">
        <v>Erika Wilson</v>
      </c>
      <c r="B755" s="13" t="str">
        <v>Erika Wilson</v>
      </c>
      <c r="C755" s="42" t="str">
        <v>Erika Wilson</v>
      </c>
      <c r="D755" s="13">
        <f>SUMIFS('RETAIL SALES DATA.'!$F$2:$F$1001,'RETAIL SALES DATA.'!$B$2:$B$1001,Custom!A755)</f>
        <v>18</v>
      </c>
    </row>
    <row r="756" spans="1:4" x14ac:dyDescent="0.3">
      <c r="A756" s="13" t="str">
        <v>Mr. Matthew Ross</v>
      </c>
      <c r="B756" s="13" t="str">
        <v>Mr. Matthew Ross</v>
      </c>
      <c r="C756" s="42" t="str">
        <v>Mr. Matthew Ross</v>
      </c>
      <c r="D756" s="13">
        <f>SUMIFS('RETAIL SALES DATA.'!$F$2:$F$1001,'RETAIL SALES DATA.'!$B$2:$B$1001,Custom!A756)</f>
        <v>5</v>
      </c>
    </row>
    <row r="757" spans="1:4" x14ac:dyDescent="0.3">
      <c r="A757" s="13" t="str">
        <v>Mackenzie Martinez</v>
      </c>
      <c r="B757" s="13" t="str">
        <v>Mackenzie Martinez</v>
      </c>
      <c r="C757" s="42" t="str">
        <v>Mackenzie Martinez</v>
      </c>
      <c r="D757" s="13">
        <f>SUMIFS('RETAIL SALES DATA.'!$F$2:$F$1001,'RETAIL SALES DATA.'!$B$2:$B$1001,Custom!A757)</f>
        <v>11</v>
      </c>
    </row>
    <row r="758" spans="1:4" x14ac:dyDescent="0.3">
      <c r="A758" s="13" t="str">
        <v>Samantha Salazar</v>
      </c>
      <c r="B758" s="13" t="str">
        <v>Samantha Salazar</v>
      </c>
      <c r="C758" s="42" t="str">
        <v>Samantha Salazar</v>
      </c>
      <c r="D758" s="13">
        <f>SUMIFS('RETAIL SALES DATA.'!$F$2:$F$1001,'RETAIL SALES DATA.'!$B$2:$B$1001,Custom!A758)</f>
        <v>6</v>
      </c>
    </row>
    <row r="759" spans="1:4" x14ac:dyDescent="0.3">
      <c r="A759" s="13" t="str">
        <v>Mikayla Johnson</v>
      </c>
      <c r="B759" s="13" t="str">
        <v>Mikayla Johnson</v>
      </c>
      <c r="C759" s="42" t="str">
        <v>Mikayla Johnson</v>
      </c>
      <c r="D759" s="13">
        <f>SUMIFS('RETAIL SALES DATA.'!$F$2:$F$1001,'RETAIL SALES DATA.'!$B$2:$B$1001,Custom!A759)</f>
        <v>4</v>
      </c>
    </row>
    <row r="760" spans="1:4" x14ac:dyDescent="0.3">
      <c r="A760" s="13" t="str">
        <v>Scott Woods</v>
      </c>
      <c r="B760" s="13" t="str">
        <v>Scott Woods</v>
      </c>
      <c r="C760" s="42" t="str">
        <v>Scott Woods</v>
      </c>
      <c r="D760" s="13">
        <f>SUMIFS('RETAIL SALES DATA.'!$F$2:$F$1001,'RETAIL SALES DATA.'!$B$2:$B$1001,Custom!A760)</f>
        <v>17</v>
      </c>
    </row>
    <row r="761" spans="1:4" x14ac:dyDescent="0.3">
      <c r="A761" s="13" t="str">
        <v>Tracey Huffman</v>
      </c>
      <c r="B761" s="13" t="str">
        <v>Tracey Huffman</v>
      </c>
      <c r="C761" s="42" t="str">
        <v>Tracey Huffman</v>
      </c>
      <c r="D761" s="13">
        <f>SUMIFS('RETAIL SALES DATA.'!$F$2:$F$1001,'RETAIL SALES DATA.'!$B$2:$B$1001,Custom!A761)</f>
        <v>8</v>
      </c>
    </row>
    <row r="762" spans="1:4" x14ac:dyDescent="0.3">
      <c r="A762" s="13" t="str">
        <v>Courtney Long</v>
      </c>
      <c r="B762" s="13" t="str">
        <v>Courtney Long</v>
      </c>
      <c r="C762" s="42" t="str">
        <v>Courtney Long</v>
      </c>
      <c r="D762" s="13">
        <f>SUMIFS('RETAIL SALES DATA.'!$F$2:$F$1001,'RETAIL SALES DATA.'!$B$2:$B$1001,Custom!A762)</f>
        <v>15</v>
      </c>
    </row>
    <row r="763" spans="1:4" x14ac:dyDescent="0.3">
      <c r="A763" s="13" t="str">
        <v>John Sawyer</v>
      </c>
      <c r="B763" s="13" t="str">
        <v>John Sawyer</v>
      </c>
      <c r="C763" s="42" t="str">
        <v>John Sawyer</v>
      </c>
      <c r="D763" s="13">
        <f>SUMIFS('RETAIL SALES DATA.'!$F$2:$F$1001,'RETAIL SALES DATA.'!$B$2:$B$1001,Custom!A763)</f>
        <v>11</v>
      </c>
    </row>
    <row r="764" spans="1:4" x14ac:dyDescent="0.3">
      <c r="A764" s="13" t="str">
        <v>Christopher Gates</v>
      </c>
      <c r="B764" s="13" t="str">
        <v>Christopher Gates</v>
      </c>
      <c r="C764" s="42" t="str">
        <v>Christopher Gates</v>
      </c>
      <c r="D764" s="13">
        <f>SUMIFS('RETAIL SALES DATA.'!$F$2:$F$1001,'RETAIL SALES DATA.'!$B$2:$B$1001,Custom!A764)</f>
        <v>18</v>
      </c>
    </row>
    <row r="765" spans="1:4" x14ac:dyDescent="0.3">
      <c r="A765" s="13" t="str">
        <v>William Stewart</v>
      </c>
      <c r="B765" s="13" t="str">
        <v>William Stewart</v>
      </c>
      <c r="C765" s="42" t="str">
        <v>William Stewart</v>
      </c>
      <c r="D765" s="13">
        <f>SUMIFS('RETAIL SALES DATA.'!$F$2:$F$1001,'RETAIL SALES DATA.'!$B$2:$B$1001,Custom!A765)</f>
        <v>17</v>
      </c>
    </row>
    <row r="766" spans="1:4" x14ac:dyDescent="0.3">
      <c r="A766" s="13" t="str">
        <v>Kathryn Gilbert</v>
      </c>
      <c r="B766" s="13" t="str">
        <v>Kathryn Gilbert</v>
      </c>
      <c r="C766" s="42" t="str">
        <v>Kathryn Gilbert</v>
      </c>
      <c r="D766" s="13">
        <f>SUMIFS('RETAIL SALES DATA.'!$F$2:$F$1001,'RETAIL SALES DATA.'!$B$2:$B$1001,Custom!A766)</f>
        <v>14</v>
      </c>
    </row>
    <row r="767" spans="1:4" x14ac:dyDescent="0.3">
      <c r="A767" s="13" t="str">
        <v>Kyle Castro</v>
      </c>
      <c r="B767" s="13" t="str">
        <v>Kyle Castro</v>
      </c>
      <c r="C767" s="42" t="str">
        <v>Kyle Castro</v>
      </c>
      <c r="D767" s="13">
        <f>SUMIFS('RETAIL SALES DATA.'!$F$2:$F$1001,'RETAIL SALES DATA.'!$B$2:$B$1001,Custom!A767)</f>
        <v>9</v>
      </c>
    </row>
    <row r="768" spans="1:4" x14ac:dyDescent="0.3">
      <c r="A768" s="13" t="str">
        <v>Sarah Wade</v>
      </c>
      <c r="B768" s="13" t="str">
        <v>Sarah Wade</v>
      </c>
      <c r="C768" s="42" t="str">
        <v>Sarah Wade</v>
      </c>
      <c r="D768" s="13">
        <f>SUMIFS('RETAIL SALES DATA.'!$F$2:$F$1001,'RETAIL SALES DATA.'!$B$2:$B$1001,Custom!A768)</f>
        <v>18</v>
      </c>
    </row>
    <row r="769" spans="1:4" x14ac:dyDescent="0.3">
      <c r="A769" s="13" t="str">
        <v>Diane Garrett</v>
      </c>
      <c r="B769" s="13" t="str">
        <v>Diane Garrett</v>
      </c>
      <c r="C769" s="42" t="str">
        <v>Diane Garrett</v>
      </c>
      <c r="D769" s="13">
        <f>SUMIFS('RETAIL SALES DATA.'!$F$2:$F$1001,'RETAIL SALES DATA.'!$B$2:$B$1001,Custom!A769)</f>
        <v>9</v>
      </c>
    </row>
    <row r="770" spans="1:4" x14ac:dyDescent="0.3">
      <c r="A770" s="13" t="str">
        <v>William Weaver</v>
      </c>
      <c r="B770" s="13" t="str">
        <v>William Weaver</v>
      </c>
      <c r="C770" s="42" t="str">
        <v>William Weaver</v>
      </c>
      <c r="D770" s="13">
        <f>SUMIFS('RETAIL SALES DATA.'!$F$2:$F$1001,'RETAIL SALES DATA.'!$B$2:$B$1001,Custom!A770)</f>
        <v>20</v>
      </c>
    </row>
    <row r="771" spans="1:4" x14ac:dyDescent="0.3">
      <c r="A771" s="13" t="str">
        <v>Todd Pierce</v>
      </c>
      <c r="B771" s="13" t="str">
        <v>Todd Pierce</v>
      </c>
      <c r="C771" s="42" t="str">
        <v>Todd Pierce</v>
      </c>
      <c r="D771" s="13">
        <f>SUMIFS('RETAIL SALES DATA.'!$F$2:$F$1001,'RETAIL SALES DATA.'!$B$2:$B$1001,Custom!A771)</f>
        <v>4</v>
      </c>
    </row>
    <row r="772" spans="1:4" x14ac:dyDescent="0.3">
      <c r="A772" s="13" t="str">
        <v>Cheryl Green</v>
      </c>
      <c r="B772" s="13" t="str">
        <v>Cheryl Green</v>
      </c>
      <c r="C772" s="42" t="str">
        <v>Cheryl Green</v>
      </c>
      <c r="D772" s="13">
        <f>SUMIFS('RETAIL SALES DATA.'!$F$2:$F$1001,'RETAIL SALES DATA.'!$B$2:$B$1001,Custom!A772)</f>
        <v>8</v>
      </c>
    </row>
    <row r="773" spans="1:4" x14ac:dyDescent="0.3">
      <c r="A773" s="13" t="str">
        <v>Anna Bennett</v>
      </c>
      <c r="B773" s="13" t="str">
        <v>Anna Bennett</v>
      </c>
      <c r="C773" s="42" t="str">
        <v>Anna Bennett</v>
      </c>
      <c r="D773" s="13">
        <f>SUMIFS('RETAIL SALES DATA.'!$F$2:$F$1001,'RETAIL SALES DATA.'!$B$2:$B$1001,Custom!A773)</f>
        <v>4</v>
      </c>
    </row>
    <row r="774" spans="1:4" x14ac:dyDescent="0.3">
      <c r="A774" s="13" t="str">
        <v>Brad Garcia</v>
      </c>
      <c r="B774" s="13" t="str">
        <v>Brad Garcia</v>
      </c>
      <c r="C774" s="42" t="str">
        <v>Brad Garcia</v>
      </c>
      <c r="D774" s="13">
        <f>SUMIFS('RETAIL SALES DATA.'!$F$2:$F$1001,'RETAIL SALES DATA.'!$B$2:$B$1001,Custom!A774)</f>
        <v>12</v>
      </c>
    </row>
    <row r="775" spans="1:4" x14ac:dyDescent="0.3">
      <c r="A775" s="13" t="str">
        <v>Erica Marquez</v>
      </c>
      <c r="B775" s="13" t="str">
        <v>Erica Marquez</v>
      </c>
      <c r="C775" s="42" t="str">
        <v>Erica Marquez</v>
      </c>
      <c r="D775" s="13">
        <f>SUMIFS('RETAIL SALES DATA.'!$F$2:$F$1001,'RETAIL SALES DATA.'!$B$2:$B$1001,Custom!A775)</f>
        <v>7</v>
      </c>
    </row>
    <row r="776" spans="1:4" x14ac:dyDescent="0.3">
      <c r="A776" s="13" t="str">
        <v>Jennifer Ward</v>
      </c>
      <c r="B776" s="13" t="str">
        <v>Jennifer Ward</v>
      </c>
      <c r="C776" s="42" t="str">
        <v>Jennifer Ward</v>
      </c>
      <c r="D776" s="13">
        <f>SUMIFS('RETAIL SALES DATA.'!$F$2:$F$1001,'RETAIL SALES DATA.'!$B$2:$B$1001,Custom!A776)</f>
        <v>17</v>
      </c>
    </row>
    <row r="777" spans="1:4" x14ac:dyDescent="0.3">
      <c r="A777" s="13" t="str">
        <v>Samuel Maxwell</v>
      </c>
      <c r="B777" s="13" t="str">
        <v>Samuel Maxwell</v>
      </c>
      <c r="C777" s="42" t="str">
        <v>Samuel Maxwell</v>
      </c>
      <c r="D777" s="13">
        <f>SUMIFS('RETAIL SALES DATA.'!$F$2:$F$1001,'RETAIL SALES DATA.'!$B$2:$B$1001,Custom!A777)</f>
        <v>12</v>
      </c>
    </row>
    <row r="778" spans="1:4" x14ac:dyDescent="0.3">
      <c r="A778" s="13" t="str">
        <v>Whitney Williams</v>
      </c>
      <c r="B778" s="13" t="str">
        <v>Whitney Williams</v>
      </c>
      <c r="C778" s="42" t="str">
        <v>Whitney Williams</v>
      </c>
      <c r="D778" s="13">
        <f>SUMIFS('RETAIL SALES DATA.'!$F$2:$F$1001,'RETAIL SALES DATA.'!$B$2:$B$1001,Custom!A778)</f>
        <v>7</v>
      </c>
    </row>
    <row r="779" spans="1:4" x14ac:dyDescent="0.3">
      <c r="A779" s="13" t="str">
        <v>Kimberly Martin</v>
      </c>
      <c r="B779" s="13" t="str">
        <v>Kimberly Martin</v>
      </c>
      <c r="C779" s="42" t="str">
        <v>Kimberly Martin</v>
      </c>
      <c r="D779" s="13">
        <f>SUMIFS('RETAIL SALES DATA.'!$F$2:$F$1001,'RETAIL SALES DATA.'!$B$2:$B$1001,Custom!A779)</f>
        <v>4</v>
      </c>
    </row>
    <row r="780" spans="1:4" x14ac:dyDescent="0.3">
      <c r="A780" s="13" t="str">
        <v>Gregg Montoya</v>
      </c>
      <c r="B780" s="13" t="str">
        <v>Gregg Montoya</v>
      </c>
      <c r="C780" s="42" t="str">
        <v>Gregg Montoya</v>
      </c>
      <c r="D780" s="13">
        <f>SUMIFS('RETAIL SALES DATA.'!$F$2:$F$1001,'RETAIL SALES DATA.'!$B$2:$B$1001,Custom!A780)</f>
        <v>15</v>
      </c>
    </row>
    <row r="781" spans="1:4" x14ac:dyDescent="0.3">
      <c r="A781" s="13" t="str">
        <v>Stephen Thomas</v>
      </c>
      <c r="B781" s="13" t="str">
        <v>Stephen Thomas</v>
      </c>
      <c r="C781" s="42" t="str">
        <v>Stephen Thomas</v>
      </c>
      <c r="D781" s="13">
        <f>SUMIFS('RETAIL SALES DATA.'!$F$2:$F$1001,'RETAIL SALES DATA.'!$B$2:$B$1001,Custom!A781)</f>
        <v>1</v>
      </c>
    </row>
    <row r="782" spans="1:4" x14ac:dyDescent="0.3">
      <c r="A782" s="13" t="str">
        <v>Matthew Nash</v>
      </c>
      <c r="B782" s="13" t="str">
        <v>Matthew Nash</v>
      </c>
      <c r="C782" s="42" t="str">
        <v>Matthew Nash</v>
      </c>
      <c r="D782" s="13">
        <f>SUMIFS('RETAIL SALES DATA.'!$F$2:$F$1001,'RETAIL SALES DATA.'!$B$2:$B$1001,Custom!A782)</f>
        <v>10</v>
      </c>
    </row>
    <row r="783" spans="1:4" x14ac:dyDescent="0.3">
      <c r="A783" s="13" t="str">
        <v>Chris Carlson</v>
      </c>
      <c r="B783" s="13" t="str">
        <v>Chris Carlson</v>
      </c>
      <c r="C783" s="42" t="str">
        <v>Chris Carlson</v>
      </c>
      <c r="D783" s="13">
        <f>SUMIFS('RETAIL SALES DATA.'!$F$2:$F$1001,'RETAIL SALES DATA.'!$B$2:$B$1001,Custom!A783)</f>
        <v>11</v>
      </c>
    </row>
    <row r="784" spans="1:4" x14ac:dyDescent="0.3">
      <c r="A784" s="13" t="str">
        <v>Mark Morrison</v>
      </c>
      <c r="B784" s="13" t="str">
        <v>Mark Morrison</v>
      </c>
      <c r="C784" s="42" t="str">
        <v>Mark Morrison</v>
      </c>
      <c r="D784" s="13">
        <f>SUMIFS('RETAIL SALES DATA.'!$F$2:$F$1001,'RETAIL SALES DATA.'!$B$2:$B$1001,Custom!A784)</f>
        <v>13</v>
      </c>
    </row>
    <row r="785" spans="1:4" x14ac:dyDescent="0.3">
      <c r="A785" s="13" t="str">
        <v>Jeanne Jackson</v>
      </c>
      <c r="B785" s="13" t="str">
        <v>Jeanne Jackson</v>
      </c>
      <c r="C785" s="42" t="str">
        <v>Jeanne Jackson</v>
      </c>
      <c r="D785" s="13">
        <f>SUMIFS('RETAIL SALES DATA.'!$F$2:$F$1001,'RETAIL SALES DATA.'!$B$2:$B$1001,Custom!A785)</f>
        <v>18</v>
      </c>
    </row>
    <row r="786" spans="1:4" x14ac:dyDescent="0.3">
      <c r="A786" s="13" t="str">
        <v>Michelle Allen</v>
      </c>
      <c r="B786" s="13" t="str">
        <v>Michelle Allen</v>
      </c>
      <c r="C786" s="42" t="str">
        <v>Michelle Allen</v>
      </c>
      <c r="D786" s="13">
        <f>SUMIFS('RETAIL SALES DATA.'!$F$2:$F$1001,'RETAIL SALES DATA.'!$B$2:$B$1001,Custom!A786)</f>
        <v>14</v>
      </c>
    </row>
    <row r="787" spans="1:4" x14ac:dyDescent="0.3">
      <c r="A787" s="13" t="str">
        <v>Brenda Wright</v>
      </c>
      <c r="B787" s="13" t="str">
        <v>Brenda Wright</v>
      </c>
      <c r="C787" s="42" t="str">
        <v>Brenda Wright</v>
      </c>
      <c r="D787" s="13">
        <f>SUMIFS('RETAIL SALES DATA.'!$F$2:$F$1001,'RETAIL SALES DATA.'!$B$2:$B$1001,Custom!A787)</f>
        <v>1</v>
      </c>
    </row>
    <row r="788" spans="1:4" x14ac:dyDescent="0.3">
      <c r="A788" s="13" t="str">
        <v>Steve Juarez</v>
      </c>
      <c r="B788" s="13" t="str">
        <v>Steve Juarez</v>
      </c>
      <c r="C788" s="42" t="str">
        <v>Steve Juarez</v>
      </c>
      <c r="D788" s="13">
        <f>SUMIFS('RETAIL SALES DATA.'!$F$2:$F$1001,'RETAIL SALES DATA.'!$B$2:$B$1001,Custom!A788)</f>
        <v>8</v>
      </c>
    </row>
    <row r="789" spans="1:4" x14ac:dyDescent="0.3">
      <c r="A789" s="13" t="str">
        <v>James Mckinney</v>
      </c>
      <c r="B789" s="13" t="str">
        <v>James Mckinney</v>
      </c>
      <c r="C789" s="42" t="str">
        <v>James Mckinney</v>
      </c>
      <c r="D789" s="13">
        <f>SUMIFS('RETAIL SALES DATA.'!$F$2:$F$1001,'RETAIL SALES DATA.'!$B$2:$B$1001,Custom!A789)</f>
        <v>6</v>
      </c>
    </row>
    <row r="790" spans="1:4" x14ac:dyDescent="0.3">
      <c r="A790" s="13" t="str">
        <v>Mr. Matthew Coleman MD</v>
      </c>
      <c r="B790" s="13" t="str">
        <v>Mr. Matthew Coleman MD</v>
      </c>
      <c r="C790" s="42" t="str">
        <v>Mr. Matthew Coleman Md</v>
      </c>
      <c r="D790" s="13">
        <f>SUMIFS('RETAIL SALES DATA.'!$F$2:$F$1001,'RETAIL SALES DATA.'!$B$2:$B$1001,Custom!A790)</f>
        <v>18</v>
      </c>
    </row>
    <row r="791" spans="1:4" x14ac:dyDescent="0.3">
      <c r="A791" s="13" t="str">
        <v>Devin Anderson</v>
      </c>
      <c r="B791" s="13" t="str">
        <v>Devin Anderson</v>
      </c>
      <c r="C791" s="42" t="str">
        <v>Devin Anderson</v>
      </c>
      <c r="D791" s="13">
        <f>SUMIFS('RETAIL SALES DATA.'!$F$2:$F$1001,'RETAIL SALES DATA.'!$B$2:$B$1001,Custom!A791)</f>
        <v>19</v>
      </c>
    </row>
    <row r="792" spans="1:4" x14ac:dyDescent="0.3">
      <c r="A792" s="13" t="str">
        <v>Elizabeth King</v>
      </c>
      <c r="B792" s="13" t="str">
        <v>Elizabeth King</v>
      </c>
      <c r="C792" s="42" t="str">
        <v>Elizabeth King</v>
      </c>
      <c r="D792" s="13">
        <f>SUMIFS('RETAIL SALES DATA.'!$F$2:$F$1001,'RETAIL SALES DATA.'!$B$2:$B$1001,Custom!A792)</f>
        <v>7</v>
      </c>
    </row>
    <row r="793" spans="1:4" x14ac:dyDescent="0.3">
      <c r="A793" s="13" t="str">
        <v>Emily Molina</v>
      </c>
      <c r="B793" s="13" t="str">
        <v>Emily Molina</v>
      </c>
      <c r="C793" s="42" t="str">
        <v>Emily Molina</v>
      </c>
      <c r="D793" s="13">
        <f>SUMIFS('RETAIL SALES DATA.'!$F$2:$F$1001,'RETAIL SALES DATA.'!$B$2:$B$1001,Custom!A793)</f>
        <v>18</v>
      </c>
    </row>
    <row r="794" spans="1:4" x14ac:dyDescent="0.3">
      <c r="A794" s="13" t="str">
        <v>Michael Phillips</v>
      </c>
      <c r="B794" s="13" t="str">
        <v>Michael Phillips</v>
      </c>
      <c r="C794" s="42" t="str">
        <v>Michael Phillips</v>
      </c>
      <c r="D794" s="13">
        <f>SUMIFS('RETAIL SALES DATA.'!$F$2:$F$1001,'RETAIL SALES DATA.'!$B$2:$B$1001,Custom!A794)</f>
        <v>6</v>
      </c>
    </row>
    <row r="795" spans="1:4" x14ac:dyDescent="0.3">
      <c r="A795" s="13" t="str">
        <v>Amanda Nelson</v>
      </c>
      <c r="B795" s="13" t="str">
        <v>Amanda Nelson</v>
      </c>
      <c r="C795" s="42" t="str">
        <v>Amanda Nelson</v>
      </c>
      <c r="D795" s="13">
        <f>SUMIFS('RETAIL SALES DATA.'!$F$2:$F$1001,'RETAIL SALES DATA.'!$B$2:$B$1001,Custom!A795)</f>
        <v>4</v>
      </c>
    </row>
    <row r="796" spans="1:4" x14ac:dyDescent="0.3">
      <c r="A796" s="13" t="str">
        <v>Beth Parker</v>
      </c>
      <c r="B796" s="13" t="str">
        <v>Beth Parker</v>
      </c>
      <c r="C796" s="42" t="str">
        <v>Beth Parker</v>
      </c>
      <c r="D796" s="13">
        <f>SUMIFS('RETAIL SALES DATA.'!$F$2:$F$1001,'RETAIL SALES DATA.'!$B$2:$B$1001,Custom!A796)</f>
        <v>18</v>
      </c>
    </row>
    <row r="797" spans="1:4" x14ac:dyDescent="0.3">
      <c r="A797" s="13" t="str">
        <v>Rodney Bradshaw</v>
      </c>
      <c r="B797" s="13" t="str">
        <v>Rodney Bradshaw</v>
      </c>
      <c r="C797" s="42" t="str">
        <v>Rodney Bradshaw</v>
      </c>
      <c r="D797" s="13">
        <f>SUMIFS('RETAIL SALES DATA.'!$F$2:$F$1001,'RETAIL SALES DATA.'!$B$2:$B$1001,Custom!A797)</f>
        <v>12</v>
      </c>
    </row>
    <row r="798" spans="1:4" x14ac:dyDescent="0.3">
      <c r="A798" s="13" t="str">
        <v>Crystal Mullins</v>
      </c>
      <c r="B798" s="13" t="str">
        <v>Crystal Mullins</v>
      </c>
      <c r="C798" s="42" t="str">
        <v>Crystal Mullins</v>
      </c>
      <c r="D798" s="13">
        <f>SUMIFS('RETAIL SALES DATA.'!$F$2:$F$1001,'RETAIL SALES DATA.'!$B$2:$B$1001,Custom!A798)</f>
        <v>6</v>
      </c>
    </row>
    <row r="799" spans="1:4" x14ac:dyDescent="0.3">
      <c r="A799" s="13" t="str">
        <v>Jamie Jones</v>
      </c>
      <c r="B799" s="13" t="str">
        <v>Jamie Jones</v>
      </c>
      <c r="C799" s="42" t="str">
        <v>Jamie Jones</v>
      </c>
      <c r="D799" s="13">
        <f>SUMIFS('RETAIL SALES DATA.'!$F$2:$F$1001,'RETAIL SALES DATA.'!$B$2:$B$1001,Custom!A799)</f>
        <v>10</v>
      </c>
    </row>
    <row r="800" spans="1:4" x14ac:dyDescent="0.3">
      <c r="A800" s="13" t="str">
        <v>Mark Hernandez</v>
      </c>
      <c r="B800" s="13" t="str">
        <v>Mark Hernandez</v>
      </c>
      <c r="C800" s="42" t="str">
        <v>Mark Hernandez</v>
      </c>
      <c r="D800" s="13">
        <f>SUMIFS('RETAIL SALES DATA.'!$F$2:$F$1001,'RETAIL SALES DATA.'!$B$2:$B$1001,Custom!A800)</f>
        <v>17</v>
      </c>
    </row>
    <row r="801" spans="1:4" x14ac:dyDescent="0.3">
      <c r="A801" s="13" t="str">
        <v>Shane Daniels</v>
      </c>
      <c r="B801" s="13" t="str">
        <v>Shane Daniels</v>
      </c>
      <c r="C801" s="42" t="str">
        <v>Shane Daniels</v>
      </c>
      <c r="D801" s="13">
        <f>SUMIFS('RETAIL SALES DATA.'!$F$2:$F$1001,'RETAIL SALES DATA.'!$B$2:$B$1001,Custom!A801)</f>
        <v>14</v>
      </c>
    </row>
    <row r="802" spans="1:4" x14ac:dyDescent="0.3">
      <c r="A802" s="13" t="str">
        <v>Christopher Fletcher</v>
      </c>
      <c r="B802" s="13" t="str">
        <v>Christopher Fletcher</v>
      </c>
      <c r="C802" s="42" t="str">
        <v>Christopher Fletcher</v>
      </c>
      <c r="D802" s="13">
        <f>SUMIFS('RETAIL SALES DATA.'!$F$2:$F$1001,'RETAIL SALES DATA.'!$B$2:$B$1001,Custom!A802)</f>
        <v>19</v>
      </c>
    </row>
    <row r="803" spans="1:4" x14ac:dyDescent="0.3">
      <c r="A803" s="13" t="str">
        <v>Nathan Conner</v>
      </c>
      <c r="B803" s="13" t="str">
        <v>Nathan Conner</v>
      </c>
      <c r="C803" s="42" t="str">
        <v>Nathan Conner</v>
      </c>
      <c r="D803" s="13">
        <f>SUMIFS('RETAIL SALES DATA.'!$F$2:$F$1001,'RETAIL SALES DATA.'!$B$2:$B$1001,Custom!A803)</f>
        <v>14</v>
      </c>
    </row>
    <row r="804" spans="1:4" x14ac:dyDescent="0.3">
      <c r="A804" s="13" t="str">
        <v>Beverly Lowe</v>
      </c>
      <c r="B804" s="13" t="str">
        <v>Beverly Lowe</v>
      </c>
      <c r="C804" s="42" t="str">
        <v>Beverly Lowe</v>
      </c>
      <c r="D804" s="13">
        <f>SUMIFS('RETAIL SALES DATA.'!$F$2:$F$1001,'RETAIL SALES DATA.'!$B$2:$B$1001,Custom!A804)</f>
        <v>3</v>
      </c>
    </row>
    <row r="805" spans="1:4" x14ac:dyDescent="0.3">
      <c r="A805" s="13" t="str">
        <v>Melissa Leach</v>
      </c>
      <c r="B805" s="13" t="str">
        <v>Melissa Leach</v>
      </c>
      <c r="C805" s="42" t="str">
        <v>Melissa Leach</v>
      </c>
      <c r="D805" s="13">
        <f>SUMIFS('RETAIL SALES DATA.'!$F$2:$F$1001,'RETAIL SALES DATA.'!$B$2:$B$1001,Custom!A805)</f>
        <v>17</v>
      </c>
    </row>
    <row r="806" spans="1:4" x14ac:dyDescent="0.3">
      <c r="A806" s="13" t="str">
        <v>Catherine Miller</v>
      </c>
      <c r="B806" s="13" t="str">
        <v>Catherine Miller</v>
      </c>
      <c r="C806" s="42" t="str">
        <v>Catherine Miller</v>
      </c>
      <c r="D806" s="13">
        <f>SUMIFS('RETAIL SALES DATA.'!$F$2:$F$1001,'RETAIL SALES DATA.'!$B$2:$B$1001,Custom!A806)</f>
        <v>16</v>
      </c>
    </row>
    <row r="807" spans="1:4" x14ac:dyDescent="0.3">
      <c r="A807" s="13" t="str">
        <v>Michael David</v>
      </c>
      <c r="B807" s="13" t="str">
        <v>Michael David</v>
      </c>
      <c r="C807" s="42" t="str">
        <v>Michael David</v>
      </c>
      <c r="D807" s="13">
        <f>SUMIFS('RETAIL SALES DATA.'!$F$2:$F$1001,'RETAIL SALES DATA.'!$B$2:$B$1001,Custom!A807)</f>
        <v>2</v>
      </c>
    </row>
    <row r="808" spans="1:4" x14ac:dyDescent="0.3">
      <c r="A808" s="13" t="str">
        <v>Morgan Thomas</v>
      </c>
      <c r="B808" s="13" t="str">
        <v>Morgan Thomas</v>
      </c>
      <c r="C808" s="42" t="str">
        <v>Morgan Thomas</v>
      </c>
      <c r="D808" s="13">
        <f>SUMIFS('RETAIL SALES DATA.'!$F$2:$F$1001,'RETAIL SALES DATA.'!$B$2:$B$1001,Custom!A808)</f>
        <v>17</v>
      </c>
    </row>
    <row r="809" spans="1:4" x14ac:dyDescent="0.3">
      <c r="A809" s="13" t="str">
        <v>Tara Patel</v>
      </c>
      <c r="B809" s="13" t="str">
        <v>Tara Patel</v>
      </c>
      <c r="C809" s="42" t="str">
        <v>Tara Patel</v>
      </c>
      <c r="D809" s="13">
        <f>SUMIFS('RETAIL SALES DATA.'!$F$2:$F$1001,'RETAIL SALES DATA.'!$B$2:$B$1001,Custom!A809)</f>
        <v>7</v>
      </c>
    </row>
    <row r="810" spans="1:4" x14ac:dyDescent="0.3">
      <c r="A810" s="13" t="str">
        <v>Stephanie Ellis</v>
      </c>
      <c r="B810" s="13" t="str">
        <v>Stephanie Ellis</v>
      </c>
      <c r="C810" s="42" t="str">
        <v>Stephanie Ellis</v>
      </c>
      <c r="D810" s="13">
        <f>SUMIFS('RETAIL SALES DATA.'!$F$2:$F$1001,'RETAIL SALES DATA.'!$B$2:$B$1001,Custom!A810)</f>
        <v>3</v>
      </c>
    </row>
    <row r="811" spans="1:4" x14ac:dyDescent="0.3">
      <c r="A811" s="13" t="str">
        <v>Debra Powell</v>
      </c>
      <c r="B811" s="13" t="str">
        <v>Debra Powell</v>
      </c>
      <c r="C811" s="42" t="str">
        <v>Debra Powell</v>
      </c>
      <c r="D811" s="13">
        <f>SUMIFS('RETAIL SALES DATA.'!$F$2:$F$1001,'RETAIL SALES DATA.'!$B$2:$B$1001,Custom!A811)</f>
        <v>12</v>
      </c>
    </row>
    <row r="812" spans="1:4" x14ac:dyDescent="0.3">
      <c r="A812" s="13" t="str">
        <v>Troy Richards</v>
      </c>
      <c r="B812" s="13" t="str">
        <v>Troy Richards</v>
      </c>
      <c r="C812" s="42" t="str">
        <v>Troy Richards</v>
      </c>
      <c r="D812" s="13">
        <f>SUMIFS('RETAIL SALES DATA.'!$F$2:$F$1001,'RETAIL SALES DATA.'!$B$2:$B$1001,Custom!A812)</f>
        <v>11</v>
      </c>
    </row>
    <row r="813" spans="1:4" x14ac:dyDescent="0.3">
      <c r="A813" s="13" t="str">
        <v>Joseph Mata</v>
      </c>
      <c r="B813" s="13" t="str">
        <v>Joseph Mata</v>
      </c>
      <c r="C813" s="42" t="str">
        <v>Joseph Mata</v>
      </c>
      <c r="D813" s="13">
        <f>SUMIFS('RETAIL SALES DATA.'!$F$2:$F$1001,'RETAIL SALES DATA.'!$B$2:$B$1001,Custom!A813)</f>
        <v>6</v>
      </c>
    </row>
    <row r="814" spans="1:4" x14ac:dyDescent="0.3">
      <c r="A814" s="13" t="str">
        <v>Brian Campbell</v>
      </c>
      <c r="B814" s="13" t="str">
        <v>Brian Campbell</v>
      </c>
      <c r="C814" s="42" t="str">
        <v>Brian Campbell</v>
      </c>
      <c r="D814" s="13">
        <f>SUMIFS('RETAIL SALES DATA.'!$F$2:$F$1001,'RETAIL SALES DATA.'!$B$2:$B$1001,Custom!A814)</f>
        <v>9</v>
      </c>
    </row>
    <row r="815" spans="1:4" x14ac:dyDescent="0.3">
      <c r="A815" s="13" t="str">
        <v>Jasmine Smith</v>
      </c>
      <c r="B815" s="13" t="str">
        <v>Jasmine Smith</v>
      </c>
      <c r="C815" s="42" t="str">
        <v>Jasmine Smith</v>
      </c>
      <c r="D815" s="13">
        <f>SUMIFS('RETAIL SALES DATA.'!$F$2:$F$1001,'RETAIL SALES DATA.'!$B$2:$B$1001,Custom!A815)</f>
        <v>6</v>
      </c>
    </row>
    <row r="816" spans="1:4" x14ac:dyDescent="0.3">
      <c r="A816" s="13" t="str">
        <v>Alan Nicholson</v>
      </c>
      <c r="B816" s="13" t="str">
        <v>Alan Nicholson</v>
      </c>
      <c r="C816" s="42" t="str">
        <v>Alan Nicholson</v>
      </c>
      <c r="D816" s="13">
        <f>SUMIFS('RETAIL SALES DATA.'!$F$2:$F$1001,'RETAIL SALES DATA.'!$B$2:$B$1001,Custom!A816)</f>
        <v>4</v>
      </c>
    </row>
    <row r="817" spans="1:4" x14ac:dyDescent="0.3">
      <c r="A817" s="13" t="str">
        <v>Megan Wallace</v>
      </c>
      <c r="B817" s="13" t="str">
        <v>Megan Wallace</v>
      </c>
      <c r="C817" s="42" t="str">
        <v>Megan Wallace</v>
      </c>
      <c r="D817" s="13">
        <f>SUMIFS('RETAIL SALES DATA.'!$F$2:$F$1001,'RETAIL SALES DATA.'!$B$2:$B$1001,Custom!A817)</f>
        <v>2</v>
      </c>
    </row>
    <row r="818" spans="1:4" x14ac:dyDescent="0.3">
      <c r="A818" s="13" t="str">
        <v>William Brown</v>
      </c>
      <c r="B818" s="13" t="str">
        <v>William Brown</v>
      </c>
      <c r="C818" s="42" t="str">
        <v>William Brown</v>
      </c>
      <c r="D818" s="13">
        <f>SUMIFS('RETAIL SALES DATA.'!$F$2:$F$1001,'RETAIL SALES DATA.'!$B$2:$B$1001,Custom!A818)</f>
        <v>4</v>
      </c>
    </row>
    <row r="819" spans="1:4" x14ac:dyDescent="0.3">
      <c r="A819" s="13" t="str">
        <v>Eric Freeman</v>
      </c>
      <c r="B819" s="13" t="str">
        <v>Eric Freeman</v>
      </c>
      <c r="C819" s="42" t="str">
        <v>Eric Freeman</v>
      </c>
      <c r="D819" s="13">
        <f>SUMIFS('RETAIL SALES DATA.'!$F$2:$F$1001,'RETAIL SALES DATA.'!$B$2:$B$1001,Custom!A819)</f>
        <v>17</v>
      </c>
    </row>
    <row r="820" spans="1:4" x14ac:dyDescent="0.3">
      <c r="A820" s="13" t="str">
        <v>Bradley Mcmillan</v>
      </c>
      <c r="B820" s="13" t="str">
        <v>Bradley Mcmillan</v>
      </c>
      <c r="C820" s="42" t="str">
        <v>Bradley Mcmillan</v>
      </c>
      <c r="D820" s="13">
        <f>SUMIFS('RETAIL SALES DATA.'!$F$2:$F$1001,'RETAIL SALES DATA.'!$B$2:$B$1001,Custom!A820)</f>
        <v>6</v>
      </c>
    </row>
    <row r="821" spans="1:4" x14ac:dyDescent="0.3">
      <c r="A821" s="13" t="str">
        <v>Susan Benton</v>
      </c>
      <c r="B821" s="13" t="str">
        <v>Susan Benton</v>
      </c>
      <c r="C821" s="42" t="str">
        <v>Susan Benton</v>
      </c>
      <c r="D821" s="13">
        <f>SUMIFS('RETAIL SALES DATA.'!$F$2:$F$1001,'RETAIL SALES DATA.'!$B$2:$B$1001,Custom!A821)</f>
        <v>10</v>
      </c>
    </row>
    <row r="822" spans="1:4" x14ac:dyDescent="0.3">
      <c r="A822" s="13" t="str">
        <v>Michael Sanchez</v>
      </c>
      <c r="B822" s="13" t="str">
        <v>Michael Sanchez</v>
      </c>
      <c r="C822" s="42" t="str">
        <v>Michael Sanchez</v>
      </c>
      <c r="D822" s="13">
        <f>SUMIFS('RETAIL SALES DATA.'!$F$2:$F$1001,'RETAIL SALES DATA.'!$B$2:$B$1001,Custom!A822)</f>
        <v>15</v>
      </c>
    </row>
    <row r="823" spans="1:4" x14ac:dyDescent="0.3">
      <c r="A823" s="13" t="str">
        <v>James Parker</v>
      </c>
      <c r="B823" s="13" t="str">
        <v>James Parker</v>
      </c>
      <c r="C823" s="42" t="str">
        <v>James Parker</v>
      </c>
      <c r="D823" s="13">
        <f>SUMIFS('RETAIL SALES DATA.'!$F$2:$F$1001,'RETAIL SALES DATA.'!$B$2:$B$1001,Custom!A823)</f>
        <v>15</v>
      </c>
    </row>
    <row r="824" spans="1:4" x14ac:dyDescent="0.3">
      <c r="A824" s="13" t="str">
        <v>Rachel Cook</v>
      </c>
      <c r="B824" s="13" t="str">
        <v>Rachel Cook</v>
      </c>
      <c r="C824" s="42" t="str">
        <v>Rachel Cook</v>
      </c>
      <c r="D824" s="13">
        <f>SUMIFS('RETAIL SALES DATA.'!$F$2:$F$1001,'RETAIL SALES DATA.'!$B$2:$B$1001,Custom!A824)</f>
        <v>8</v>
      </c>
    </row>
    <row r="825" spans="1:4" x14ac:dyDescent="0.3">
      <c r="A825" s="13" t="str">
        <v>Shawn Zimmerman</v>
      </c>
      <c r="B825" s="13" t="str">
        <v>Shawn Zimmerman</v>
      </c>
      <c r="C825" s="42" t="str">
        <v>Shawn Zimmerman</v>
      </c>
      <c r="D825" s="13">
        <f>SUMIFS('RETAIL SALES DATA.'!$F$2:$F$1001,'RETAIL SALES DATA.'!$B$2:$B$1001,Custom!A825)</f>
        <v>13</v>
      </c>
    </row>
    <row r="826" spans="1:4" x14ac:dyDescent="0.3">
      <c r="A826" s="13" t="str">
        <v>Ashley Harris</v>
      </c>
      <c r="B826" s="13" t="str">
        <v>Ashley Harris</v>
      </c>
      <c r="C826" s="42" t="str">
        <v>Ashley Harris</v>
      </c>
      <c r="D826" s="13">
        <f>SUMIFS('RETAIL SALES DATA.'!$F$2:$F$1001,'RETAIL SALES DATA.'!$B$2:$B$1001,Custom!A826)</f>
        <v>11</v>
      </c>
    </row>
    <row r="827" spans="1:4" x14ac:dyDescent="0.3">
      <c r="A827" s="13" t="str">
        <v>Amanda Gonzalez</v>
      </c>
      <c r="B827" s="13" t="str">
        <v>Amanda Gonzalez</v>
      </c>
      <c r="C827" s="42" t="str">
        <v>Amanda Gonzalez</v>
      </c>
      <c r="D827" s="13">
        <f>SUMIFS('RETAIL SALES DATA.'!$F$2:$F$1001,'RETAIL SALES DATA.'!$B$2:$B$1001,Custom!A827)</f>
        <v>5</v>
      </c>
    </row>
    <row r="828" spans="1:4" x14ac:dyDescent="0.3">
      <c r="A828" s="13" t="str">
        <v>James Odonnell</v>
      </c>
      <c r="B828" s="13" t="str">
        <v>James Odonnell</v>
      </c>
      <c r="C828" s="42" t="str">
        <v>James Odonnell</v>
      </c>
      <c r="D828" s="13">
        <f>SUMIFS('RETAIL SALES DATA.'!$F$2:$F$1001,'RETAIL SALES DATA.'!$B$2:$B$1001,Custom!A828)</f>
        <v>19</v>
      </c>
    </row>
    <row r="829" spans="1:4" x14ac:dyDescent="0.3">
      <c r="A829" s="13" t="str">
        <v>Gail Hunt</v>
      </c>
      <c r="B829" s="13" t="str">
        <v>Gail Hunt</v>
      </c>
      <c r="C829" s="42" t="str">
        <v>Gail Hunt</v>
      </c>
      <c r="D829" s="13">
        <f>SUMIFS('RETAIL SALES DATA.'!$F$2:$F$1001,'RETAIL SALES DATA.'!$B$2:$B$1001,Custom!A829)</f>
        <v>10</v>
      </c>
    </row>
    <row r="830" spans="1:4" x14ac:dyDescent="0.3">
      <c r="A830" s="13" t="str">
        <v>Jessica Davis</v>
      </c>
      <c r="B830" s="13" t="str">
        <v>Jessica Davis</v>
      </c>
      <c r="C830" s="42" t="str">
        <v>Jessica Davis</v>
      </c>
      <c r="D830" s="13">
        <f>SUMIFS('RETAIL SALES DATA.'!$F$2:$F$1001,'RETAIL SALES DATA.'!$B$2:$B$1001,Custom!A830)</f>
        <v>13</v>
      </c>
    </row>
    <row r="831" spans="1:4" x14ac:dyDescent="0.3">
      <c r="A831" s="13" t="str">
        <v>Jose Curry</v>
      </c>
      <c r="B831" s="13" t="str">
        <v>Jose Curry</v>
      </c>
      <c r="C831" s="42" t="str">
        <v>Jose Curry</v>
      </c>
      <c r="D831" s="13">
        <f>SUMIFS('RETAIL SALES DATA.'!$F$2:$F$1001,'RETAIL SALES DATA.'!$B$2:$B$1001,Custom!A831)</f>
        <v>10</v>
      </c>
    </row>
    <row r="832" spans="1:4" x14ac:dyDescent="0.3">
      <c r="A832" s="13" t="str">
        <v>Lorraine Irwin</v>
      </c>
      <c r="B832" s="13" t="str">
        <v>Lorraine Irwin</v>
      </c>
      <c r="C832" s="42" t="str">
        <v>Lorraine Irwin</v>
      </c>
      <c r="D832" s="13">
        <f>SUMIFS('RETAIL SALES DATA.'!$F$2:$F$1001,'RETAIL SALES DATA.'!$B$2:$B$1001,Custom!A832)</f>
        <v>8</v>
      </c>
    </row>
    <row r="833" spans="1:4" x14ac:dyDescent="0.3">
      <c r="A833" s="13" t="str">
        <v>Tim Meyer</v>
      </c>
      <c r="B833" s="13" t="str">
        <v>Tim Meyer</v>
      </c>
      <c r="C833" s="42" t="str">
        <v>Tim Meyer</v>
      </c>
      <c r="D833" s="13">
        <f>SUMIFS('RETAIL SALES DATA.'!$F$2:$F$1001,'RETAIL SALES DATA.'!$B$2:$B$1001,Custom!A833)</f>
        <v>14</v>
      </c>
    </row>
    <row r="834" spans="1:4" x14ac:dyDescent="0.3">
      <c r="A834" s="13" t="str">
        <v>Tonya Erickson</v>
      </c>
      <c r="B834" s="13" t="str">
        <v>Tonya Erickson</v>
      </c>
      <c r="C834" s="42" t="str">
        <v>Tonya Erickson</v>
      </c>
      <c r="D834" s="13">
        <f>SUMIFS('RETAIL SALES DATA.'!$F$2:$F$1001,'RETAIL SALES DATA.'!$B$2:$B$1001,Custom!A834)</f>
        <v>18</v>
      </c>
    </row>
    <row r="835" spans="1:4" x14ac:dyDescent="0.3">
      <c r="A835" s="13" t="str">
        <v>Jessica Wheeler</v>
      </c>
      <c r="B835" s="13" t="str">
        <v>Jessica Wheeler</v>
      </c>
      <c r="C835" s="42" t="str">
        <v>Jessica Wheeler</v>
      </c>
      <c r="D835" s="13">
        <f>SUMIFS('RETAIL SALES DATA.'!$F$2:$F$1001,'RETAIL SALES DATA.'!$B$2:$B$1001,Custom!A835)</f>
        <v>16</v>
      </c>
    </row>
    <row r="836" spans="1:4" x14ac:dyDescent="0.3">
      <c r="A836" s="13" t="str">
        <v>Katherine Woods</v>
      </c>
      <c r="B836" s="13" t="str">
        <v>Katherine Woods</v>
      </c>
      <c r="C836" s="42" t="str">
        <v>Katherine Woods</v>
      </c>
      <c r="D836" s="13">
        <f>SUMIFS('RETAIL SALES DATA.'!$F$2:$F$1001,'RETAIL SALES DATA.'!$B$2:$B$1001,Custom!A836)</f>
        <v>10</v>
      </c>
    </row>
    <row r="837" spans="1:4" x14ac:dyDescent="0.3">
      <c r="A837" s="13" t="str">
        <v>Michelle Mcbride</v>
      </c>
      <c r="B837" s="13" t="str">
        <v>Michelle Mcbride</v>
      </c>
      <c r="C837" s="42" t="str">
        <v>Michelle Mcbride</v>
      </c>
      <c r="D837" s="13">
        <f>SUMIFS('RETAIL SALES DATA.'!$F$2:$F$1001,'RETAIL SALES DATA.'!$B$2:$B$1001,Custom!A837)</f>
        <v>1</v>
      </c>
    </row>
    <row r="838" spans="1:4" x14ac:dyDescent="0.3">
      <c r="A838" s="13" t="str">
        <v>Lori Rodriguez</v>
      </c>
      <c r="B838" s="13" t="str">
        <v>Lori Rodriguez</v>
      </c>
      <c r="C838" s="42" t="str">
        <v>Lori Rodriguez</v>
      </c>
      <c r="D838" s="13">
        <f>SUMIFS('RETAIL SALES DATA.'!$F$2:$F$1001,'RETAIL SALES DATA.'!$B$2:$B$1001,Custom!A838)</f>
        <v>6</v>
      </c>
    </row>
    <row r="839" spans="1:4" x14ac:dyDescent="0.3">
      <c r="A839" s="13" t="str">
        <v>Ellen Palmer</v>
      </c>
      <c r="B839" s="13" t="str">
        <v>Ellen Palmer</v>
      </c>
      <c r="C839" s="42" t="str">
        <v>Ellen Palmer</v>
      </c>
      <c r="D839" s="13">
        <f>SUMIFS('RETAIL SALES DATA.'!$F$2:$F$1001,'RETAIL SALES DATA.'!$B$2:$B$1001,Custom!A839)</f>
        <v>20</v>
      </c>
    </row>
    <row r="840" spans="1:4" x14ac:dyDescent="0.3">
      <c r="A840" s="13" t="str">
        <v>Diane Tran</v>
      </c>
      <c r="B840" s="13" t="str">
        <v>Diane Tran</v>
      </c>
      <c r="C840" s="42" t="str">
        <v>Diane Tran</v>
      </c>
      <c r="D840" s="13">
        <f>SUMIFS('RETAIL SALES DATA.'!$F$2:$F$1001,'RETAIL SALES DATA.'!$B$2:$B$1001,Custom!A840)</f>
        <v>6</v>
      </c>
    </row>
    <row r="841" spans="1:4" x14ac:dyDescent="0.3">
      <c r="A841" s="13" t="str">
        <v>Scott Morgan</v>
      </c>
      <c r="B841" s="13" t="str">
        <v>Scott Morgan</v>
      </c>
      <c r="C841" s="42" t="str">
        <v>Scott Morgan</v>
      </c>
      <c r="D841" s="13">
        <f>SUMIFS('RETAIL SALES DATA.'!$F$2:$F$1001,'RETAIL SALES DATA.'!$B$2:$B$1001,Custom!A841)</f>
        <v>15</v>
      </c>
    </row>
    <row r="842" spans="1:4" x14ac:dyDescent="0.3">
      <c r="A842" s="13" t="str">
        <v>Matthew Rivas</v>
      </c>
      <c r="B842" s="13" t="str">
        <v>Matthew Rivas</v>
      </c>
      <c r="C842" s="42" t="str">
        <v>Matthew Rivas</v>
      </c>
      <c r="D842" s="13">
        <f>SUMIFS('RETAIL SALES DATA.'!$F$2:$F$1001,'RETAIL SALES DATA.'!$B$2:$B$1001,Custom!A842)</f>
        <v>8</v>
      </c>
    </row>
    <row r="843" spans="1:4" x14ac:dyDescent="0.3">
      <c r="A843" s="13" t="str">
        <v>Christina Davidson</v>
      </c>
      <c r="B843" s="13" t="str">
        <v>Christina Davidson</v>
      </c>
      <c r="C843" s="42" t="str">
        <v>Christina Davidson</v>
      </c>
      <c r="D843" s="13">
        <f>SUMIFS('RETAIL SALES DATA.'!$F$2:$F$1001,'RETAIL SALES DATA.'!$B$2:$B$1001,Custom!A843)</f>
        <v>17</v>
      </c>
    </row>
    <row r="844" spans="1:4" x14ac:dyDescent="0.3">
      <c r="A844" s="13" t="str">
        <v>Carl Jackson</v>
      </c>
      <c r="B844" s="13" t="str">
        <v>Carl Jackson</v>
      </c>
      <c r="C844" s="42" t="str">
        <v>Carl Jackson</v>
      </c>
      <c r="D844" s="13">
        <f>SUMIFS('RETAIL SALES DATA.'!$F$2:$F$1001,'RETAIL SALES DATA.'!$B$2:$B$1001,Custom!A844)</f>
        <v>5</v>
      </c>
    </row>
    <row r="845" spans="1:4" x14ac:dyDescent="0.3">
      <c r="A845" s="13" t="str">
        <v>Chad Guzman</v>
      </c>
      <c r="B845" s="13" t="str">
        <v>Chad Guzman</v>
      </c>
      <c r="C845" s="42" t="str">
        <v>Chad Guzman</v>
      </c>
      <c r="D845" s="13">
        <f>SUMIFS('RETAIL SALES DATA.'!$F$2:$F$1001,'RETAIL SALES DATA.'!$B$2:$B$1001,Custom!A845)</f>
        <v>8</v>
      </c>
    </row>
    <row r="846" spans="1:4" x14ac:dyDescent="0.3">
      <c r="A846" s="13" t="str">
        <v>Bradley Jackson</v>
      </c>
      <c r="B846" s="13" t="str">
        <v>Bradley Jackson</v>
      </c>
      <c r="C846" s="42" t="str">
        <v>Bradley Jackson</v>
      </c>
      <c r="D846" s="13">
        <f>SUMIFS('RETAIL SALES DATA.'!$F$2:$F$1001,'RETAIL SALES DATA.'!$B$2:$B$1001,Custom!A846)</f>
        <v>6</v>
      </c>
    </row>
    <row r="847" spans="1:4" x14ac:dyDescent="0.3">
      <c r="A847" s="13" t="str">
        <v>Shawn Graves</v>
      </c>
      <c r="B847" s="13" t="str">
        <v>Shawn Graves</v>
      </c>
      <c r="C847" s="42" t="str">
        <v>Shawn Graves</v>
      </c>
      <c r="D847" s="13">
        <f>SUMIFS('RETAIL SALES DATA.'!$F$2:$F$1001,'RETAIL SALES DATA.'!$B$2:$B$1001,Custom!A847)</f>
        <v>2</v>
      </c>
    </row>
    <row r="848" spans="1:4" x14ac:dyDescent="0.3">
      <c r="A848" s="13" t="str">
        <v>James Lewis</v>
      </c>
      <c r="B848" s="13" t="str">
        <v>James Lewis</v>
      </c>
      <c r="C848" s="42" t="str">
        <v>James Lewis</v>
      </c>
      <c r="D848" s="13">
        <f>SUMIFS('RETAIL SALES DATA.'!$F$2:$F$1001,'RETAIL SALES DATA.'!$B$2:$B$1001,Custom!A848)</f>
        <v>4</v>
      </c>
    </row>
    <row r="849" spans="1:4" x14ac:dyDescent="0.3">
      <c r="A849" s="13" t="str">
        <v>Ryan Garcia</v>
      </c>
      <c r="B849" s="13" t="str">
        <v>Ryan Garcia</v>
      </c>
      <c r="C849" s="42" t="str">
        <v>Ryan Garcia</v>
      </c>
      <c r="D849" s="13">
        <f>SUMIFS('RETAIL SALES DATA.'!$F$2:$F$1001,'RETAIL SALES DATA.'!$B$2:$B$1001,Custom!A849)</f>
        <v>4</v>
      </c>
    </row>
    <row r="850" spans="1:4" x14ac:dyDescent="0.3">
      <c r="A850" s="13" t="str">
        <v>Charles Green</v>
      </c>
      <c r="B850" s="13" t="str">
        <v>Charles Green</v>
      </c>
      <c r="C850" s="42" t="str">
        <v>Charles Green</v>
      </c>
      <c r="D850" s="13">
        <f>SUMIFS('RETAIL SALES DATA.'!$F$2:$F$1001,'RETAIL SALES DATA.'!$B$2:$B$1001,Custom!A850)</f>
        <v>19</v>
      </c>
    </row>
    <row r="851" spans="1:4" x14ac:dyDescent="0.3">
      <c r="A851" s="13" t="str">
        <v>Jeffrey Hamilton</v>
      </c>
      <c r="B851" s="13" t="str">
        <v>Jeffrey Hamilton</v>
      </c>
      <c r="C851" s="42" t="str">
        <v>Jeffrey Hamilton</v>
      </c>
      <c r="D851" s="13">
        <f>SUMIFS('RETAIL SALES DATA.'!$F$2:$F$1001,'RETAIL SALES DATA.'!$B$2:$B$1001,Custom!A851)</f>
        <v>11</v>
      </c>
    </row>
    <row r="852" spans="1:4" x14ac:dyDescent="0.3">
      <c r="A852" s="13" t="str">
        <v>Joseph Thomas</v>
      </c>
      <c r="B852" s="13" t="str">
        <v>Joseph Thomas</v>
      </c>
      <c r="C852" s="42" t="str">
        <v>Joseph Thomas</v>
      </c>
      <c r="D852" s="13">
        <f>SUMIFS('RETAIL SALES DATA.'!$F$2:$F$1001,'RETAIL SALES DATA.'!$B$2:$B$1001,Custom!A852)</f>
        <v>7</v>
      </c>
    </row>
    <row r="853" spans="1:4" x14ac:dyDescent="0.3">
      <c r="A853" s="13" t="str">
        <v>Amber Mueller</v>
      </c>
      <c r="B853" s="13" t="str">
        <v>Amber Mueller</v>
      </c>
      <c r="C853" s="42" t="str">
        <v>Amber Mueller</v>
      </c>
      <c r="D853" s="13">
        <f>SUMIFS('RETAIL SALES DATA.'!$F$2:$F$1001,'RETAIL SALES DATA.'!$B$2:$B$1001,Custom!A853)</f>
        <v>3</v>
      </c>
    </row>
    <row r="854" spans="1:4" x14ac:dyDescent="0.3">
      <c r="A854" s="13" t="str">
        <v>Brenda Stevens</v>
      </c>
      <c r="B854" s="13" t="str">
        <v>Brenda Stevens</v>
      </c>
      <c r="C854" s="42" t="str">
        <v>Brenda Stevens</v>
      </c>
      <c r="D854" s="13">
        <f>SUMIFS('RETAIL SALES DATA.'!$F$2:$F$1001,'RETAIL SALES DATA.'!$B$2:$B$1001,Custom!A854)</f>
        <v>14</v>
      </c>
    </row>
    <row r="855" spans="1:4" x14ac:dyDescent="0.3">
      <c r="A855" s="13" t="str">
        <v>Howard Jackson</v>
      </c>
      <c r="B855" s="13" t="str">
        <v>Howard Jackson</v>
      </c>
      <c r="C855" s="42" t="str">
        <v>Howard Jackson</v>
      </c>
      <c r="D855" s="13">
        <f>SUMIFS('RETAIL SALES DATA.'!$F$2:$F$1001,'RETAIL SALES DATA.'!$B$2:$B$1001,Custom!A855)</f>
        <v>20</v>
      </c>
    </row>
    <row r="856" spans="1:4" x14ac:dyDescent="0.3">
      <c r="A856" s="13" t="str">
        <v>Victor Camacho</v>
      </c>
      <c r="B856" s="13" t="str">
        <v>Victor Camacho</v>
      </c>
      <c r="C856" s="42" t="str">
        <v>Victor Camacho</v>
      </c>
      <c r="D856" s="13">
        <f>SUMIFS('RETAIL SALES DATA.'!$F$2:$F$1001,'RETAIL SALES DATA.'!$B$2:$B$1001,Custom!A856)</f>
        <v>11</v>
      </c>
    </row>
    <row r="857" spans="1:4" x14ac:dyDescent="0.3">
      <c r="A857" s="13" t="str">
        <v>Anthony Hansen</v>
      </c>
      <c r="B857" s="13" t="str">
        <v>Anthony Hansen</v>
      </c>
      <c r="C857" s="42" t="str">
        <v>Anthony Hansen</v>
      </c>
      <c r="D857" s="13">
        <f>SUMIFS('RETAIL SALES DATA.'!$F$2:$F$1001,'RETAIL SALES DATA.'!$B$2:$B$1001,Custom!A857)</f>
        <v>7</v>
      </c>
    </row>
    <row r="858" spans="1:4" x14ac:dyDescent="0.3">
      <c r="A858" s="13" t="str">
        <v>Michael Holt</v>
      </c>
      <c r="B858" s="13" t="str">
        <v>Michael Holt</v>
      </c>
      <c r="C858" s="42" t="str">
        <v>Michael Holt</v>
      </c>
      <c r="D858" s="13">
        <f>SUMIFS('RETAIL SALES DATA.'!$F$2:$F$1001,'RETAIL SALES DATA.'!$B$2:$B$1001,Custom!A858)</f>
        <v>5</v>
      </c>
    </row>
    <row r="859" spans="1:4" x14ac:dyDescent="0.3">
      <c r="A859" s="13" t="str">
        <v>Patrick Johnson</v>
      </c>
      <c r="B859" s="13" t="str">
        <v>Patrick Johnson</v>
      </c>
      <c r="C859" s="42" t="str">
        <v>Patrick Johnson</v>
      </c>
      <c r="D859" s="13">
        <f>SUMIFS('RETAIL SALES DATA.'!$F$2:$F$1001,'RETAIL SALES DATA.'!$B$2:$B$1001,Custom!A859)</f>
        <v>8</v>
      </c>
    </row>
    <row r="860" spans="1:4" x14ac:dyDescent="0.3">
      <c r="A860" s="13" t="str">
        <v>Lisa Parker</v>
      </c>
      <c r="B860" s="13" t="str">
        <v>Lisa Parker</v>
      </c>
      <c r="C860" s="42" t="str">
        <v>Lisa Parker</v>
      </c>
      <c r="D860" s="13">
        <f>SUMIFS('RETAIL SALES DATA.'!$F$2:$F$1001,'RETAIL SALES DATA.'!$B$2:$B$1001,Custom!A860)</f>
        <v>8</v>
      </c>
    </row>
    <row r="861" spans="1:4" x14ac:dyDescent="0.3">
      <c r="A861" s="13" t="str">
        <v>Charles Flores</v>
      </c>
      <c r="B861" s="13" t="str">
        <v>Charles Flores</v>
      </c>
      <c r="C861" s="42" t="str">
        <v>Charles Flores</v>
      </c>
      <c r="D861" s="13">
        <f>SUMIFS('RETAIL SALES DATA.'!$F$2:$F$1001,'RETAIL SALES DATA.'!$B$2:$B$1001,Custom!A861)</f>
        <v>11</v>
      </c>
    </row>
    <row r="862" spans="1:4" x14ac:dyDescent="0.3">
      <c r="A862" s="13" t="str">
        <v>Alexis Bell</v>
      </c>
      <c r="B862" s="13" t="str">
        <v>Alexis Bell</v>
      </c>
      <c r="C862" s="42" t="str">
        <v>Alexis Bell</v>
      </c>
      <c r="D862" s="13">
        <f>SUMIFS('RETAIL SALES DATA.'!$F$2:$F$1001,'RETAIL SALES DATA.'!$B$2:$B$1001,Custom!A862)</f>
        <v>10</v>
      </c>
    </row>
    <row r="863" spans="1:4" x14ac:dyDescent="0.3">
      <c r="A863" s="13" t="str">
        <v>Holly Harris</v>
      </c>
      <c r="B863" s="13" t="str">
        <v>Holly Harris</v>
      </c>
      <c r="C863" s="42" t="str">
        <v>Holly Harris</v>
      </c>
      <c r="D863" s="13">
        <f>SUMIFS('RETAIL SALES DATA.'!$F$2:$F$1001,'RETAIL SALES DATA.'!$B$2:$B$1001,Custom!A863)</f>
        <v>12</v>
      </c>
    </row>
    <row r="864" spans="1:4" x14ac:dyDescent="0.3">
      <c r="A864" s="13" t="str">
        <v>Seth West</v>
      </c>
      <c r="B864" s="13" t="str">
        <v>Seth West</v>
      </c>
      <c r="C864" s="42" t="str">
        <v>Seth West</v>
      </c>
      <c r="D864" s="13">
        <f>SUMIFS('RETAIL SALES DATA.'!$F$2:$F$1001,'RETAIL SALES DATA.'!$B$2:$B$1001,Custom!A864)</f>
        <v>20</v>
      </c>
    </row>
    <row r="865" spans="1:4" x14ac:dyDescent="0.3">
      <c r="A865" s="13" t="str">
        <v>Brittany Arnold</v>
      </c>
      <c r="B865" s="13" t="str">
        <v>Brittany Arnold</v>
      </c>
      <c r="C865" s="42" t="str">
        <v>Brittany Arnold</v>
      </c>
      <c r="D865" s="13">
        <f>SUMIFS('RETAIL SALES DATA.'!$F$2:$F$1001,'RETAIL SALES DATA.'!$B$2:$B$1001,Custom!A865)</f>
        <v>9</v>
      </c>
    </row>
    <row r="866" spans="1:4" x14ac:dyDescent="0.3">
      <c r="A866" s="13" t="str">
        <v>Melissa Poole</v>
      </c>
      <c r="B866" s="13" t="str">
        <v>Melissa Poole</v>
      </c>
      <c r="C866" s="42" t="str">
        <v>Melissa Poole</v>
      </c>
      <c r="D866" s="13">
        <f>SUMIFS('RETAIL SALES DATA.'!$F$2:$F$1001,'RETAIL SALES DATA.'!$B$2:$B$1001,Custom!A866)</f>
        <v>14</v>
      </c>
    </row>
    <row r="867" spans="1:4" x14ac:dyDescent="0.3">
      <c r="A867" s="13" t="str">
        <v>Anthony Taylor</v>
      </c>
      <c r="B867" s="13" t="str">
        <v>Anthony Taylor</v>
      </c>
      <c r="C867" s="42" t="str">
        <v>Anthony Taylor</v>
      </c>
      <c r="D867" s="13">
        <f>SUMIFS('RETAIL SALES DATA.'!$F$2:$F$1001,'RETAIL SALES DATA.'!$B$2:$B$1001,Custom!A867)</f>
        <v>13</v>
      </c>
    </row>
    <row r="868" spans="1:4" x14ac:dyDescent="0.3">
      <c r="A868" s="13" t="str">
        <v>Donald Murray</v>
      </c>
      <c r="B868" s="13" t="str">
        <v>Donald Murray</v>
      </c>
      <c r="C868" s="42" t="str">
        <v>Donald Murray</v>
      </c>
      <c r="D868" s="13">
        <f>SUMIFS('RETAIL SALES DATA.'!$F$2:$F$1001,'RETAIL SALES DATA.'!$B$2:$B$1001,Custom!A868)</f>
        <v>9</v>
      </c>
    </row>
    <row r="869" spans="1:4" x14ac:dyDescent="0.3">
      <c r="A869" s="13" t="str">
        <v>Amanda Dickerson</v>
      </c>
      <c r="B869" s="13" t="str">
        <v>Amanda Dickerson</v>
      </c>
      <c r="C869" s="42" t="str">
        <v>Amanda Dickerson</v>
      </c>
      <c r="D869" s="13">
        <f>SUMIFS('RETAIL SALES DATA.'!$F$2:$F$1001,'RETAIL SALES DATA.'!$B$2:$B$1001,Custom!A869)</f>
        <v>4</v>
      </c>
    </row>
    <row r="870" spans="1:4" x14ac:dyDescent="0.3">
      <c r="A870" s="13" t="str">
        <v>Ronald Ramsey</v>
      </c>
      <c r="B870" s="13" t="str">
        <v>Ronald Ramsey</v>
      </c>
      <c r="C870" s="42" t="str">
        <v>Ronald Ramsey</v>
      </c>
      <c r="D870" s="13">
        <f>SUMIFS('RETAIL SALES DATA.'!$F$2:$F$1001,'RETAIL SALES DATA.'!$B$2:$B$1001,Custom!A870)</f>
        <v>19</v>
      </c>
    </row>
    <row r="871" spans="1:4" x14ac:dyDescent="0.3">
      <c r="A871" s="13" t="str">
        <v>Anthony Wright</v>
      </c>
      <c r="B871" s="13" t="str">
        <v>Anthony Wright</v>
      </c>
      <c r="C871" s="42" t="str">
        <v>Anthony Wright</v>
      </c>
      <c r="D871" s="13">
        <f>SUMIFS('RETAIL SALES DATA.'!$F$2:$F$1001,'RETAIL SALES DATA.'!$B$2:$B$1001,Custom!A871)</f>
        <v>7</v>
      </c>
    </row>
    <row r="872" spans="1:4" x14ac:dyDescent="0.3">
      <c r="A872" s="13" t="str">
        <v>Nicole Morris</v>
      </c>
      <c r="B872" s="13" t="str">
        <v>Nicole Morris</v>
      </c>
      <c r="C872" s="42" t="str">
        <v>Nicole Morris</v>
      </c>
      <c r="D872" s="13">
        <f>SUMIFS('RETAIL SALES DATA.'!$F$2:$F$1001,'RETAIL SALES DATA.'!$B$2:$B$1001,Custom!A872)</f>
        <v>3</v>
      </c>
    </row>
    <row r="873" spans="1:4" x14ac:dyDescent="0.3">
      <c r="A873" s="13" t="str">
        <v>Derek Archer</v>
      </c>
      <c r="B873" s="13" t="str">
        <v>Derek Archer</v>
      </c>
      <c r="C873" s="42" t="str">
        <v>Derek Archer</v>
      </c>
      <c r="D873" s="13">
        <f>SUMIFS('RETAIL SALES DATA.'!$F$2:$F$1001,'RETAIL SALES DATA.'!$B$2:$B$1001,Custom!A873)</f>
        <v>17</v>
      </c>
    </row>
    <row r="874" spans="1:4" x14ac:dyDescent="0.3">
      <c r="A874" s="13" t="str">
        <v>Joseph Johnson</v>
      </c>
      <c r="B874" s="13" t="str">
        <v>Joseph Johnson</v>
      </c>
      <c r="C874" s="42" t="str">
        <v>Joseph Johnson</v>
      </c>
      <c r="D874" s="13">
        <f>SUMIFS('RETAIL SALES DATA.'!$F$2:$F$1001,'RETAIL SALES DATA.'!$B$2:$B$1001,Custom!A874)</f>
        <v>20</v>
      </c>
    </row>
    <row r="875" spans="1:4" x14ac:dyDescent="0.3">
      <c r="A875" s="13" t="str">
        <v>Robert Joyce</v>
      </c>
      <c r="B875" s="13" t="str">
        <v>Robert Joyce</v>
      </c>
      <c r="C875" s="42" t="str">
        <v>Robert Joyce</v>
      </c>
      <c r="D875" s="13">
        <f>SUMIFS('RETAIL SALES DATA.'!$F$2:$F$1001,'RETAIL SALES DATA.'!$B$2:$B$1001,Custom!A875)</f>
        <v>6</v>
      </c>
    </row>
    <row r="876" spans="1:4" x14ac:dyDescent="0.3">
      <c r="A876" s="13" t="str">
        <v>Amy Cochran</v>
      </c>
      <c r="B876" s="13" t="str">
        <v>Amy Cochran</v>
      </c>
      <c r="C876" s="42" t="str">
        <v>Amy Cochran</v>
      </c>
      <c r="D876" s="13">
        <f>SUMIFS('RETAIL SALES DATA.'!$F$2:$F$1001,'RETAIL SALES DATA.'!$B$2:$B$1001,Custom!A876)</f>
        <v>5</v>
      </c>
    </row>
    <row r="877" spans="1:4" x14ac:dyDescent="0.3">
      <c r="A877" s="13" t="str">
        <v>Michael Hayes</v>
      </c>
      <c r="B877" s="13" t="str">
        <v>Michael Hayes</v>
      </c>
      <c r="C877" s="42" t="str">
        <v>Michael Hayes</v>
      </c>
      <c r="D877" s="13">
        <f>SUMIFS('RETAIL SALES DATA.'!$F$2:$F$1001,'RETAIL SALES DATA.'!$B$2:$B$1001,Custom!A877)</f>
        <v>19</v>
      </c>
    </row>
    <row r="878" spans="1:4" x14ac:dyDescent="0.3">
      <c r="A878" s="13" t="str">
        <v>Erin Larson</v>
      </c>
      <c r="B878" s="13" t="str">
        <v>Erin Larson</v>
      </c>
      <c r="C878" s="42" t="str">
        <v>Erin Larson</v>
      </c>
      <c r="D878" s="13">
        <f>SUMIFS('RETAIL SALES DATA.'!$F$2:$F$1001,'RETAIL SALES DATA.'!$B$2:$B$1001,Custom!A878)</f>
        <v>8</v>
      </c>
    </row>
    <row r="879" spans="1:4" x14ac:dyDescent="0.3">
      <c r="A879" s="13" t="str">
        <v>Billy Smith</v>
      </c>
      <c r="B879" s="13" t="str">
        <v>Billy Smith</v>
      </c>
      <c r="C879" s="42" t="str">
        <v>Billy Smith</v>
      </c>
      <c r="D879" s="13">
        <f>SUMIFS('RETAIL SALES DATA.'!$F$2:$F$1001,'RETAIL SALES DATA.'!$B$2:$B$1001,Custom!A879)</f>
        <v>15</v>
      </c>
    </row>
    <row r="880" spans="1:4" x14ac:dyDescent="0.3">
      <c r="A880" s="13" t="str">
        <v>Savannah Warner</v>
      </c>
      <c r="B880" s="13" t="str">
        <v>Savannah Warner</v>
      </c>
      <c r="C880" s="42" t="str">
        <v>Savannah Warner</v>
      </c>
      <c r="D880" s="13">
        <f>SUMIFS('RETAIL SALES DATA.'!$F$2:$F$1001,'RETAIL SALES DATA.'!$B$2:$B$1001,Custom!A880)</f>
        <v>10</v>
      </c>
    </row>
    <row r="881" spans="1:4" x14ac:dyDescent="0.3">
      <c r="A881" s="13" t="str">
        <v>Christina Le</v>
      </c>
      <c r="B881" s="13" t="str">
        <v>Christina Le</v>
      </c>
      <c r="C881" s="42" t="str">
        <v>Christina Le</v>
      </c>
      <c r="D881" s="13">
        <f>SUMIFS('RETAIL SALES DATA.'!$F$2:$F$1001,'RETAIL SALES DATA.'!$B$2:$B$1001,Custom!A881)</f>
        <v>4</v>
      </c>
    </row>
    <row r="882" spans="1:4" x14ac:dyDescent="0.3">
      <c r="A882" s="13" t="str">
        <v>Kyle Mcgee</v>
      </c>
      <c r="B882" s="13" t="str">
        <v>Kyle Mcgee</v>
      </c>
      <c r="C882" s="42" t="str">
        <v>Kyle Mcgee</v>
      </c>
      <c r="D882" s="13">
        <f>SUMIFS('RETAIL SALES DATA.'!$F$2:$F$1001,'RETAIL SALES DATA.'!$B$2:$B$1001,Custom!A882)</f>
        <v>5</v>
      </c>
    </row>
    <row r="883" spans="1:4" x14ac:dyDescent="0.3">
      <c r="A883" s="13" t="str">
        <v>Tyler Kaufman</v>
      </c>
      <c r="B883" s="13" t="str">
        <v>Tyler Kaufman</v>
      </c>
      <c r="C883" s="42" t="str">
        <v>Tyler Kaufman</v>
      </c>
      <c r="D883" s="13">
        <f>SUMIFS('RETAIL SALES DATA.'!$F$2:$F$1001,'RETAIL SALES DATA.'!$B$2:$B$1001,Custom!A883)</f>
        <v>7</v>
      </c>
    </row>
    <row r="884" spans="1:4" x14ac:dyDescent="0.3">
      <c r="A884" s="13" t="str">
        <v>Daniel Lewis</v>
      </c>
      <c r="B884" s="13" t="str">
        <v>Daniel Lewis</v>
      </c>
      <c r="C884" s="42" t="str">
        <v>Daniel Lewis</v>
      </c>
      <c r="D884" s="13">
        <f>SUMIFS('RETAIL SALES DATA.'!$F$2:$F$1001,'RETAIL SALES DATA.'!$B$2:$B$1001,Custom!A884)</f>
        <v>8</v>
      </c>
    </row>
    <row r="885" spans="1:4" x14ac:dyDescent="0.3">
      <c r="A885" s="13" t="str">
        <v>Kristy Mitchell</v>
      </c>
      <c r="B885" s="13" t="str">
        <v>Kristy Mitchell</v>
      </c>
      <c r="C885" s="42" t="str">
        <v>Kristy Mitchell</v>
      </c>
      <c r="D885" s="13">
        <f>SUMIFS('RETAIL SALES DATA.'!$F$2:$F$1001,'RETAIL SALES DATA.'!$B$2:$B$1001,Custom!A885)</f>
        <v>5</v>
      </c>
    </row>
    <row r="886" spans="1:4" x14ac:dyDescent="0.3">
      <c r="A886" s="13" t="str">
        <v>Christopher Alexander</v>
      </c>
      <c r="B886" s="13" t="str">
        <v>Christopher Alexander</v>
      </c>
      <c r="C886" s="42" t="str">
        <v>Christopher Alexander</v>
      </c>
      <c r="D886" s="13">
        <f>SUMIFS('RETAIL SALES DATA.'!$F$2:$F$1001,'RETAIL SALES DATA.'!$B$2:$B$1001,Custom!A886)</f>
        <v>10</v>
      </c>
    </row>
    <row r="887" spans="1:4" x14ac:dyDescent="0.3">
      <c r="A887" s="13" t="str">
        <v>David Henderson</v>
      </c>
      <c r="B887" s="13" t="str">
        <v>David Henderson</v>
      </c>
      <c r="C887" s="42" t="str">
        <v>David Henderson</v>
      </c>
      <c r="D887" s="13">
        <f>SUMIFS('RETAIL SALES DATA.'!$F$2:$F$1001,'RETAIL SALES DATA.'!$B$2:$B$1001,Custom!A887)</f>
        <v>13</v>
      </c>
    </row>
    <row r="888" spans="1:4" x14ac:dyDescent="0.3">
      <c r="A888" s="13" t="str">
        <v>Brandon Rivers</v>
      </c>
      <c r="B888" s="13" t="str">
        <v>Brandon Rivers</v>
      </c>
      <c r="C888" s="42" t="str">
        <v>Brandon Rivers</v>
      </c>
      <c r="D888" s="13">
        <f>SUMIFS('RETAIL SALES DATA.'!$F$2:$F$1001,'RETAIL SALES DATA.'!$B$2:$B$1001,Custom!A888)</f>
        <v>8</v>
      </c>
    </row>
    <row r="889" spans="1:4" x14ac:dyDescent="0.3">
      <c r="A889" s="13" t="str">
        <v>Samantha Mendoza</v>
      </c>
      <c r="B889" s="13" t="str">
        <v>Samantha Mendoza</v>
      </c>
      <c r="C889" s="42" t="str">
        <v>Samantha Mendoza</v>
      </c>
      <c r="D889" s="13">
        <f>SUMIFS('RETAIL SALES DATA.'!$F$2:$F$1001,'RETAIL SALES DATA.'!$B$2:$B$1001,Custom!A889)</f>
        <v>8</v>
      </c>
    </row>
    <row r="890" spans="1:4" x14ac:dyDescent="0.3">
      <c r="A890" s="13" t="str">
        <v>Marcus Sanders</v>
      </c>
      <c r="B890" s="13" t="str">
        <v>Marcus Sanders</v>
      </c>
      <c r="C890" s="42" t="str">
        <v>Marcus Sanders</v>
      </c>
      <c r="D890" s="13">
        <f>SUMIFS('RETAIL SALES DATA.'!$F$2:$F$1001,'RETAIL SALES DATA.'!$B$2:$B$1001,Custom!A890)</f>
        <v>1</v>
      </c>
    </row>
    <row r="891" spans="1:4" x14ac:dyDescent="0.3">
      <c r="A891" s="13" t="str">
        <v>Lisa Miller</v>
      </c>
      <c r="B891" s="13" t="str">
        <v>Lisa Miller</v>
      </c>
      <c r="C891" s="42" t="str">
        <v>Lisa Miller</v>
      </c>
      <c r="D891" s="13">
        <f>SUMIFS('RETAIL SALES DATA.'!$F$2:$F$1001,'RETAIL SALES DATA.'!$B$2:$B$1001,Custom!A891)</f>
        <v>18</v>
      </c>
    </row>
    <row r="892" spans="1:4" x14ac:dyDescent="0.3">
      <c r="A892" s="13" t="str">
        <v>Laura Park</v>
      </c>
      <c r="B892" s="13" t="str">
        <v>Laura Park</v>
      </c>
      <c r="C892" s="42" t="str">
        <v>Laura Park</v>
      </c>
      <c r="D892" s="13">
        <f>SUMIFS('RETAIL SALES DATA.'!$F$2:$F$1001,'RETAIL SALES DATA.'!$B$2:$B$1001,Custom!A892)</f>
        <v>12</v>
      </c>
    </row>
    <row r="893" spans="1:4" x14ac:dyDescent="0.3">
      <c r="A893" s="13" t="str">
        <v>Amy Compton</v>
      </c>
      <c r="B893" s="13" t="str">
        <v>Amy Compton</v>
      </c>
      <c r="C893" s="42" t="str">
        <v>Amy Compton</v>
      </c>
      <c r="D893" s="13">
        <f>SUMIFS('RETAIL SALES DATA.'!$F$2:$F$1001,'RETAIL SALES DATA.'!$B$2:$B$1001,Custom!A893)</f>
        <v>18</v>
      </c>
    </row>
    <row r="894" spans="1:4" x14ac:dyDescent="0.3">
      <c r="A894" s="13" t="str">
        <v>Amber Rodriguez</v>
      </c>
      <c r="B894" s="13" t="str">
        <v>Amber Rodriguez</v>
      </c>
      <c r="C894" s="42" t="str">
        <v>Amber Rodriguez</v>
      </c>
      <c r="D894" s="13">
        <f>SUMIFS('RETAIL SALES DATA.'!$F$2:$F$1001,'RETAIL SALES DATA.'!$B$2:$B$1001,Custom!A894)</f>
        <v>6</v>
      </c>
    </row>
    <row r="895" spans="1:4" x14ac:dyDescent="0.3">
      <c r="A895" s="13" t="str">
        <v>Caitlyn Cole</v>
      </c>
      <c r="B895" s="13" t="str">
        <v>Caitlyn Cole</v>
      </c>
      <c r="C895" s="42" t="str">
        <v>Caitlyn Cole</v>
      </c>
      <c r="D895" s="13">
        <f>SUMIFS('RETAIL SALES DATA.'!$F$2:$F$1001,'RETAIL SALES DATA.'!$B$2:$B$1001,Custom!A895)</f>
        <v>17</v>
      </c>
    </row>
    <row r="896" spans="1:4" x14ac:dyDescent="0.3">
      <c r="A896" s="13" t="str">
        <v>Jeremy Drake</v>
      </c>
      <c r="B896" s="13" t="str">
        <v>Jeremy Drake</v>
      </c>
      <c r="C896" s="42" t="str">
        <v>Jeremy Drake</v>
      </c>
      <c r="D896" s="13">
        <f>SUMIFS('RETAIL SALES DATA.'!$F$2:$F$1001,'RETAIL SALES DATA.'!$B$2:$B$1001,Custom!A896)</f>
        <v>11</v>
      </c>
    </row>
    <row r="897" spans="1:4" x14ac:dyDescent="0.3">
      <c r="A897" s="13" t="str">
        <v>Nicole Newton</v>
      </c>
      <c r="B897" s="13" t="str">
        <v>Nicole Newton</v>
      </c>
      <c r="C897" s="42" t="str">
        <v>Nicole Newton</v>
      </c>
      <c r="D897" s="13">
        <f>SUMIFS('RETAIL SALES DATA.'!$F$2:$F$1001,'RETAIL SALES DATA.'!$B$2:$B$1001,Custom!A897)</f>
        <v>12</v>
      </c>
    </row>
    <row r="898" spans="1:4" x14ac:dyDescent="0.3">
      <c r="A898" s="13" t="str">
        <v>Adam White</v>
      </c>
      <c r="B898" s="13" t="str">
        <v>Adam White</v>
      </c>
      <c r="C898" s="42" t="str">
        <v>Adam White</v>
      </c>
      <c r="D898" s="13">
        <f>SUMIFS('RETAIL SALES DATA.'!$F$2:$F$1001,'RETAIL SALES DATA.'!$B$2:$B$1001,Custom!A898)</f>
        <v>6</v>
      </c>
    </row>
    <row r="899" spans="1:4" x14ac:dyDescent="0.3">
      <c r="A899" s="13" t="str">
        <v>Sarah Anderson</v>
      </c>
      <c r="B899" s="13" t="str">
        <v>Sarah Anderson</v>
      </c>
      <c r="C899" s="42" t="str">
        <v>Sarah Anderson</v>
      </c>
      <c r="D899" s="13">
        <f>SUMIFS('RETAIL SALES DATA.'!$F$2:$F$1001,'RETAIL SALES DATA.'!$B$2:$B$1001,Custom!A899)</f>
        <v>3</v>
      </c>
    </row>
    <row r="900" spans="1:4" x14ac:dyDescent="0.3">
      <c r="A900" s="13" t="str">
        <v>Jesse Williams</v>
      </c>
      <c r="B900" s="13" t="str">
        <v>Jesse Williams</v>
      </c>
      <c r="C900" s="42" t="str">
        <v>Jesse Williams</v>
      </c>
      <c r="D900" s="13">
        <f>SUMIFS('RETAIL SALES DATA.'!$F$2:$F$1001,'RETAIL SALES DATA.'!$B$2:$B$1001,Custom!A900)</f>
        <v>20</v>
      </c>
    </row>
    <row r="901" spans="1:4" x14ac:dyDescent="0.3">
      <c r="A901" s="13" t="str">
        <v>Dr. Jennifer Washington DVM</v>
      </c>
      <c r="B901" s="13" t="str">
        <v>Dr. Jennifer Washington DVM</v>
      </c>
      <c r="C901" s="42" t="str">
        <v>Dr. Jennifer Washington Dvm</v>
      </c>
      <c r="D901" s="13">
        <f>SUMIFS('RETAIL SALES DATA.'!$F$2:$F$1001,'RETAIL SALES DATA.'!$B$2:$B$1001,Custom!A901)</f>
        <v>18</v>
      </c>
    </row>
    <row r="902" spans="1:4" x14ac:dyDescent="0.3">
      <c r="A902" s="13" t="str">
        <v>Holly Davenport</v>
      </c>
      <c r="B902" s="13" t="str">
        <v>Holly Davenport</v>
      </c>
      <c r="C902" s="42" t="str">
        <v>Holly Davenport</v>
      </c>
      <c r="D902" s="13">
        <f>SUMIFS('RETAIL SALES DATA.'!$F$2:$F$1001,'RETAIL SALES DATA.'!$B$2:$B$1001,Custom!A902)</f>
        <v>14</v>
      </c>
    </row>
    <row r="903" spans="1:4" x14ac:dyDescent="0.3">
      <c r="A903" s="13" t="str">
        <v>Daniel Shelton</v>
      </c>
      <c r="B903" s="13" t="str">
        <v>Daniel Shelton</v>
      </c>
      <c r="C903" s="42" t="str">
        <v>Daniel Shelton</v>
      </c>
      <c r="D903" s="13">
        <f>SUMIFS('RETAIL SALES DATA.'!$F$2:$F$1001,'RETAIL SALES DATA.'!$B$2:$B$1001,Custom!A903)</f>
        <v>11</v>
      </c>
    </row>
    <row r="904" spans="1:4" x14ac:dyDescent="0.3">
      <c r="A904" s="13" t="str">
        <v>Dr. Karen Avila</v>
      </c>
      <c r="B904" s="13" t="str">
        <v>Dr. Karen Avila</v>
      </c>
      <c r="C904" s="42" t="str">
        <v>Dr. Karen Avila</v>
      </c>
      <c r="D904" s="13">
        <f>SUMIFS('RETAIL SALES DATA.'!$F$2:$F$1001,'RETAIL SALES DATA.'!$B$2:$B$1001,Custom!A904)</f>
        <v>16</v>
      </c>
    </row>
    <row r="905" spans="1:4" x14ac:dyDescent="0.3">
      <c r="A905" s="13" t="str">
        <v>Dr. Andrew Conrad</v>
      </c>
      <c r="B905" s="13" t="str">
        <v>Dr. Andrew Conrad</v>
      </c>
      <c r="C905" s="42" t="str">
        <v>Dr. Andrew Conrad</v>
      </c>
      <c r="D905" s="13">
        <f>SUMIFS('RETAIL SALES DATA.'!$F$2:$F$1001,'RETAIL SALES DATA.'!$B$2:$B$1001,Custom!A905)</f>
        <v>13</v>
      </c>
    </row>
    <row r="906" spans="1:4" x14ac:dyDescent="0.3">
      <c r="A906" s="13" t="str">
        <v>Allen Evans</v>
      </c>
      <c r="B906" s="13" t="str">
        <v>Allen Evans</v>
      </c>
      <c r="C906" s="42" t="str">
        <v>Allen Evans</v>
      </c>
      <c r="D906" s="13">
        <f>SUMIFS('RETAIL SALES DATA.'!$F$2:$F$1001,'RETAIL SALES DATA.'!$B$2:$B$1001,Custom!A906)</f>
        <v>12</v>
      </c>
    </row>
    <row r="907" spans="1:4" x14ac:dyDescent="0.3">
      <c r="A907" s="13" t="str">
        <v>Joseph Burns</v>
      </c>
      <c r="B907" s="13" t="str">
        <v>Joseph Burns</v>
      </c>
      <c r="C907" s="42" t="str">
        <v>Joseph Burns</v>
      </c>
      <c r="D907" s="13">
        <f>SUMIFS('RETAIL SALES DATA.'!$F$2:$F$1001,'RETAIL SALES DATA.'!$B$2:$B$1001,Custom!A907)</f>
        <v>10</v>
      </c>
    </row>
    <row r="908" spans="1:4" x14ac:dyDescent="0.3">
      <c r="A908" s="13" t="str">
        <v>Anthony Dawson</v>
      </c>
      <c r="B908" s="13" t="str">
        <v>Anthony Dawson</v>
      </c>
      <c r="C908" s="42" t="str">
        <v>Anthony Dawson</v>
      </c>
      <c r="D908" s="13">
        <f>SUMIFS('RETAIL SALES DATA.'!$F$2:$F$1001,'RETAIL SALES DATA.'!$B$2:$B$1001,Custom!A908)</f>
        <v>11</v>
      </c>
    </row>
    <row r="909" spans="1:4" x14ac:dyDescent="0.3">
      <c r="A909" s="13" t="str">
        <v>Judy Allison</v>
      </c>
      <c r="B909" s="13" t="str">
        <v>Judy Allison</v>
      </c>
      <c r="C909" s="42" t="str">
        <v>Judy Allison</v>
      </c>
      <c r="D909" s="13">
        <f>SUMIFS('RETAIL SALES DATA.'!$F$2:$F$1001,'RETAIL SALES DATA.'!$B$2:$B$1001,Custom!A909)</f>
        <v>5</v>
      </c>
    </row>
    <row r="910" spans="1:4" x14ac:dyDescent="0.3">
      <c r="A910" s="13" t="str">
        <v>Tina Griffith</v>
      </c>
      <c r="B910" s="13" t="str">
        <v>Tina Griffith</v>
      </c>
      <c r="C910" s="42" t="str">
        <v>Tina Griffith</v>
      </c>
      <c r="D910" s="13">
        <f>SUMIFS('RETAIL SALES DATA.'!$F$2:$F$1001,'RETAIL SALES DATA.'!$B$2:$B$1001,Custom!A910)</f>
        <v>5</v>
      </c>
    </row>
    <row r="911" spans="1:4" x14ac:dyDescent="0.3">
      <c r="A911" s="13" t="str">
        <v>Carol Malone</v>
      </c>
      <c r="B911" s="13" t="str">
        <v>Carol Malone</v>
      </c>
      <c r="C911" s="42" t="str">
        <v>Carol Malone</v>
      </c>
      <c r="D911" s="13">
        <f>SUMIFS('RETAIL SALES DATA.'!$F$2:$F$1001,'RETAIL SALES DATA.'!$B$2:$B$1001,Custom!A911)</f>
        <v>2</v>
      </c>
    </row>
    <row r="912" spans="1:4" x14ac:dyDescent="0.3">
      <c r="A912" s="13" t="str">
        <v>Mary Arnold</v>
      </c>
      <c r="B912" s="13" t="str">
        <v>Mary Arnold</v>
      </c>
      <c r="C912" s="42" t="str">
        <v>Mary Arnold</v>
      </c>
      <c r="D912" s="13">
        <f>SUMIFS('RETAIL SALES DATA.'!$F$2:$F$1001,'RETAIL SALES DATA.'!$B$2:$B$1001,Custom!A912)</f>
        <v>10</v>
      </c>
    </row>
    <row r="913" spans="1:4" x14ac:dyDescent="0.3">
      <c r="A913" s="13" t="str">
        <v>Amanda Lambert</v>
      </c>
      <c r="B913" s="13" t="str">
        <v>Amanda Lambert</v>
      </c>
      <c r="C913" s="42" t="str">
        <v>Amanda Lambert</v>
      </c>
      <c r="D913" s="13">
        <f>SUMIFS('RETAIL SALES DATA.'!$F$2:$F$1001,'RETAIL SALES DATA.'!$B$2:$B$1001,Custom!A913)</f>
        <v>1</v>
      </c>
    </row>
    <row r="914" spans="1:4" x14ac:dyDescent="0.3">
      <c r="A914" s="13" t="str">
        <v>Tom Le</v>
      </c>
      <c r="B914" s="13" t="str">
        <v>Tom Le</v>
      </c>
      <c r="C914" s="42" t="str">
        <v>Tom Le</v>
      </c>
      <c r="D914" s="13">
        <f>SUMIFS('RETAIL SALES DATA.'!$F$2:$F$1001,'RETAIL SALES DATA.'!$B$2:$B$1001,Custom!A914)</f>
        <v>18</v>
      </c>
    </row>
    <row r="915" spans="1:4" x14ac:dyDescent="0.3">
      <c r="A915" s="13" t="str">
        <v>Gina Smith</v>
      </c>
      <c r="B915" s="13" t="str">
        <v>Gina Smith</v>
      </c>
      <c r="C915" s="42" t="str">
        <v>Gina Smith</v>
      </c>
      <c r="D915" s="13">
        <f>SUMIFS('RETAIL SALES DATA.'!$F$2:$F$1001,'RETAIL SALES DATA.'!$B$2:$B$1001,Custom!A915)</f>
        <v>7</v>
      </c>
    </row>
    <row r="916" spans="1:4" x14ac:dyDescent="0.3">
      <c r="A916" s="13" t="str">
        <v>Monica Wilson</v>
      </c>
      <c r="B916" s="13" t="str">
        <v>Monica Wilson</v>
      </c>
      <c r="C916" s="42" t="str">
        <v>Monica Wilson</v>
      </c>
      <c r="D916" s="13">
        <f>SUMIFS('RETAIL SALES DATA.'!$F$2:$F$1001,'RETAIL SALES DATA.'!$B$2:$B$1001,Custom!A916)</f>
        <v>3</v>
      </c>
    </row>
    <row r="917" spans="1:4" x14ac:dyDescent="0.3">
      <c r="A917" s="13" t="str">
        <v>Maxwell Miller</v>
      </c>
      <c r="B917" s="13" t="str">
        <v>Maxwell Miller</v>
      </c>
      <c r="C917" s="42" t="str">
        <v>Maxwell Miller</v>
      </c>
      <c r="D917" s="13">
        <f>SUMIFS('RETAIL SALES DATA.'!$F$2:$F$1001,'RETAIL SALES DATA.'!$B$2:$B$1001,Custom!A917)</f>
        <v>18</v>
      </c>
    </row>
    <row r="918" spans="1:4" x14ac:dyDescent="0.3">
      <c r="A918" s="13" t="str">
        <v>Jonathan Phillips DDS</v>
      </c>
      <c r="B918" s="13" t="str">
        <v>Jonathan Phillips DDS</v>
      </c>
      <c r="C918" s="42" t="str">
        <v>Jonathan Phillips Dds</v>
      </c>
      <c r="D918" s="13">
        <f>SUMIFS('RETAIL SALES DATA.'!$F$2:$F$1001,'RETAIL SALES DATA.'!$B$2:$B$1001,Custom!A918)</f>
        <v>2</v>
      </c>
    </row>
    <row r="919" spans="1:4" x14ac:dyDescent="0.3">
      <c r="A919" s="13" t="str">
        <v>Brandon Sanford</v>
      </c>
      <c r="B919" s="13" t="str">
        <v>Brandon Sanford</v>
      </c>
      <c r="C919" s="42" t="str">
        <v>Brandon Sanford</v>
      </c>
      <c r="D919" s="13">
        <f>SUMIFS('RETAIL SALES DATA.'!$F$2:$F$1001,'RETAIL SALES DATA.'!$B$2:$B$1001,Custom!A919)</f>
        <v>8</v>
      </c>
    </row>
    <row r="920" spans="1:4" x14ac:dyDescent="0.3">
      <c r="A920" s="13" t="str">
        <v>Felicia Smith</v>
      </c>
      <c r="B920" s="13" t="str">
        <v>Felicia Smith</v>
      </c>
      <c r="C920" s="42" t="str">
        <v>Felicia Smith</v>
      </c>
      <c r="D920" s="13">
        <f>SUMIFS('RETAIL SALES DATA.'!$F$2:$F$1001,'RETAIL SALES DATA.'!$B$2:$B$1001,Custom!A920)</f>
        <v>9</v>
      </c>
    </row>
    <row r="921" spans="1:4" x14ac:dyDescent="0.3">
      <c r="A921" s="13" t="str">
        <v>Sean Barnett</v>
      </c>
      <c r="B921" s="13" t="str">
        <v>Sean Barnett</v>
      </c>
      <c r="C921" s="42" t="str">
        <v>Sean Barnett</v>
      </c>
      <c r="D921" s="13">
        <f>SUMIFS('RETAIL SALES DATA.'!$F$2:$F$1001,'RETAIL SALES DATA.'!$B$2:$B$1001,Custom!A921)</f>
        <v>3</v>
      </c>
    </row>
    <row r="922" spans="1:4" x14ac:dyDescent="0.3">
      <c r="A922" s="13" t="str">
        <v>Laura Holt</v>
      </c>
      <c r="B922" s="13" t="str">
        <v>Laura Holt</v>
      </c>
      <c r="C922" s="42" t="str">
        <v>Laura Holt</v>
      </c>
      <c r="D922" s="13">
        <f>SUMIFS('RETAIL SALES DATA.'!$F$2:$F$1001,'RETAIL SALES DATA.'!$B$2:$B$1001,Custom!A922)</f>
        <v>14</v>
      </c>
    </row>
    <row r="923" spans="1:4" x14ac:dyDescent="0.3">
      <c r="A923" s="13" t="str">
        <v>Julie Miller</v>
      </c>
      <c r="B923" s="13" t="str">
        <v>Julie Miller</v>
      </c>
      <c r="C923" s="42" t="str">
        <v>Julie Miller</v>
      </c>
      <c r="D923" s="13">
        <f>SUMIFS('RETAIL SALES DATA.'!$F$2:$F$1001,'RETAIL SALES DATA.'!$B$2:$B$1001,Custom!A923)</f>
        <v>3</v>
      </c>
    </row>
    <row r="924" spans="1:4" x14ac:dyDescent="0.3">
      <c r="A924" s="13" t="str">
        <v>Jason Kim</v>
      </c>
      <c r="B924" s="13" t="str">
        <v>Jason Kim</v>
      </c>
      <c r="C924" s="42" t="str">
        <v>Jason Kim</v>
      </c>
      <c r="D924" s="13">
        <f>SUMIFS('RETAIL SALES DATA.'!$F$2:$F$1001,'RETAIL SALES DATA.'!$B$2:$B$1001,Custom!A924)</f>
        <v>20</v>
      </c>
    </row>
    <row r="925" spans="1:4" x14ac:dyDescent="0.3">
      <c r="A925" s="13" t="str">
        <v>Jennifer Evans</v>
      </c>
      <c r="B925" s="13" t="str">
        <v>Jennifer Evans</v>
      </c>
      <c r="C925" s="42" t="str">
        <v>Jennifer Evans</v>
      </c>
      <c r="D925" s="13">
        <f>SUMIFS('RETAIL SALES DATA.'!$F$2:$F$1001,'RETAIL SALES DATA.'!$B$2:$B$1001,Custom!A925)</f>
        <v>6</v>
      </c>
    </row>
    <row r="926" spans="1:4" x14ac:dyDescent="0.3">
      <c r="A926" s="13" t="str">
        <v>Kathryn Taylor</v>
      </c>
      <c r="B926" s="13" t="str">
        <v>Kathryn Taylor</v>
      </c>
      <c r="C926" s="42" t="str">
        <v>Kathryn Taylor</v>
      </c>
      <c r="D926" s="13">
        <f>SUMIFS('RETAIL SALES DATA.'!$F$2:$F$1001,'RETAIL SALES DATA.'!$B$2:$B$1001,Custom!A926)</f>
        <v>5</v>
      </c>
    </row>
    <row r="927" spans="1:4" x14ac:dyDescent="0.3">
      <c r="A927" s="13" t="str">
        <v>Amy Perez</v>
      </c>
      <c r="B927" s="13" t="str">
        <v>Amy Perez</v>
      </c>
      <c r="C927" s="42" t="str">
        <v>Amy Perez</v>
      </c>
      <c r="D927" s="13">
        <f>SUMIFS('RETAIL SALES DATA.'!$F$2:$F$1001,'RETAIL SALES DATA.'!$B$2:$B$1001,Custom!A927)</f>
        <v>11</v>
      </c>
    </row>
    <row r="928" spans="1:4" x14ac:dyDescent="0.3">
      <c r="A928" s="13" t="str">
        <v>Vincent Hicks</v>
      </c>
      <c r="B928" s="13" t="str">
        <v>Vincent Hicks</v>
      </c>
      <c r="C928" s="42" t="str">
        <v>Vincent Hicks</v>
      </c>
      <c r="D928" s="13">
        <f>SUMIFS('RETAIL SALES DATA.'!$F$2:$F$1001,'RETAIL SALES DATA.'!$B$2:$B$1001,Custom!A928)</f>
        <v>19</v>
      </c>
    </row>
    <row r="929" spans="1:4" x14ac:dyDescent="0.3">
      <c r="A929" s="13" t="str">
        <v>Ashley Patel</v>
      </c>
      <c r="B929" s="13" t="str">
        <v>Ashley Patel</v>
      </c>
      <c r="C929" s="42" t="str">
        <v>Ashley Patel</v>
      </c>
      <c r="D929" s="13">
        <f>SUMIFS('RETAIL SALES DATA.'!$F$2:$F$1001,'RETAIL SALES DATA.'!$B$2:$B$1001,Custom!A929)</f>
        <v>2</v>
      </c>
    </row>
    <row r="930" spans="1:4" x14ac:dyDescent="0.3">
      <c r="A930" s="13" t="str">
        <v>Ashley Brown</v>
      </c>
      <c r="B930" s="13" t="str">
        <v>Ashley Brown</v>
      </c>
      <c r="C930" s="42" t="str">
        <v>Ashley Brown</v>
      </c>
      <c r="D930" s="13">
        <f>SUMIFS('RETAIL SALES DATA.'!$F$2:$F$1001,'RETAIL SALES DATA.'!$B$2:$B$1001,Custom!A930)</f>
        <v>9</v>
      </c>
    </row>
    <row r="931" spans="1:4" x14ac:dyDescent="0.3">
      <c r="A931" s="13" t="str">
        <v>Peggy Daniels</v>
      </c>
      <c r="B931" s="13" t="str">
        <v>Peggy Daniels</v>
      </c>
      <c r="C931" s="42" t="str">
        <v>Peggy Daniels</v>
      </c>
      <c r="D931" s="13">
        <f>SUMIFS('RETAIL SALES DATA.'!$F$2:$F$1001,'RETAIL SALES DATA.'!$B$2:$B$1001,Custom!A931)</f>
        <v>15</v>
      </c>
    </row>
    <row r="932" spans="1:4" x14ac:dyDescent="0.3">
      <c r="A932" s="13" t="str">
        <v>Monique Rodriguez</v>
      </c>
      <c r="B932" s="13" t="str">
        <v>Monique Rodriguez</v>
      </c>
      <c r="C932" s="42" t="str">
        <v>Monique Rodriguez</v>
      </c>
      <c r="D932" s="13">
        <f>SUMIFS('RETAIL SALES DATA.'!$F$2:$F$1001,'RETAIL SALES DATA.'!$B$2:$B$1001,Custom!A932)</f>
        <v>5</v>
      </c>
    </row>
    <row r="933" spans="1:4" x14ac:dyDescent="0.3">
      <c r="A933" s="13" t="str">
        <v>Dawn Randall</v>
      </c>
      <c r="B933" s="13" t="str">
        <v>Dawn Randall</v>
      </c>
      <c r="C933" s="42" t="str">
        <v>Dawn Randall</v>
      </c>
      <c r="D933" s="13">
        <f>SUMIFS('RETAIL SALES DATA.'!$F$2:$F$1001,'RETAIL SALES DATA.'!$B$2:$B$1001,Custom!A933)</f>
        <v>12</v>
      </c>
    </row>
    <row r="934" spans="1:4" x14ac:dyDescent="0.3">
      <c r="A934" s="13" t="str">
        <v>Elizabeth Glass</v>
      </c>
      <c r="B934" s="13" t="str">
        <v>Elizabeth Glass</v>
      </c>
      <c r="C934" s="42" t="str">
        <v>Elizabeth Glass</v>
      </c>
      <c r="D934" s="13">
        <f>SUMIFS('RETAIL SALES DATA.'!$F$2:$F$1001,'RETAIL SALES DATA.'!$B$2:$B$1001,Custom!A934)</f>
        <v>20</v>
      </c>
    </row>
    <row r="935" spans="1:4" x14ac:dyDescent="0.3">
      <c r="A935" s="13" t="str">
        <v>Timothy Owens</v>
      </c>
      <c r="B935" s="13" t="str">
        <v>Timothy Owens</v>
      </c>
      <c r="C935" s="42" t="str">
        <v>Timothy Owens</v>
      </c>
      <c r="D935" s="13">
        <f>SUMIFS('RETAIL SALES DATA.'!$F$2:$F$1001,'RETAIL SALES DATA.'!$B$2:$B$1001,Custom!A935)</f>
        <v>19</v>
      </c>
    </row>
    <row r="936" spans="1:4" x14ac:dyDescent="0.3">
      <c r="A936" s="13" t="str">
        <v>Jennifer Luna</v>
      </c>
      <c r="B936" s="13" t="str">
        <v>Jennifer Luna</v>
      </c>
      <c r="C936" s="42" t="str">
        <v>Jennifer Luna</v>
      </c>
      <c r="D936" s="13">
        <f>SUMIFS('RETAIL SALES DATA.'!$F$2:$F$1001,'RETAIL SALES DATA.'!$B$2:$B$1001,Custom!A936)</f>
        <v>15</v>
      </c>
    </row>
    <row r="937" spans="1:4" x14ac:dyDescent="0.3">
      <c r="A937" s="13" t="str">
        <v>Alexander Johnson DVM</v>
      </c>
      <c r="B937" s="13" t="str">
        <v>Alexander Johnson DVM</v>
      </c>
      <c r="C937" s="42" t="str">
        <v>Alexander Johnson Dvm</v>
      </c>
      <c r="D937" s="13">
        <f>SUMIFS('RETAIL SALES DATA.'!$F$2:$F$1001,'RETAIL SALES DATA.'!$B$2:$B$1001,Custom!A937)</f>
        <v>19</v>
      </c>
    </row>
    <row r="938" spans="1:4" x14ac:dyDescent="0.3">
      <c r="A938" s="13" t="str">
        <v>Justin Wilkerson</v>
      </c>
      <c r="B938" s="13" t="str">
        <v>Justin Wilkerson</v>
      </c>
      <c r="C938" s="42" t="str">
        <v>Justin Wilkerson</v>
      </c>
      <c r="D938" s="13">
        <f>SUMIFS('RETAIL SALES DATA.'!$F$2:$F$1001,'RETAIL SALES DATA.'!$B$2:$B$1001,Custom!A938)</f>
        <v>9</v>
      </c>
    </row>
    <row r="939" spans="1:4" x14ac:dyDescent="0.3">
      <c r="A939" s="13" t="str">
        <v>Anna Garza</v>
      </c>
      <c r="B939" s="13" t="str">
        <v>Anna Garza</v>
      </c>
      <c r="C939" s="42" t="str">
        <v>Anna Garza</v>
      </c>
      <c r="D939" s="13">
        <f>SUMIFS('RETAIL SALES DATA.'!$F$2:$F$1001,'RETAIL SALES DATA.'!$B$2:$B$1001,Custom!A939)</f>
        <v>15</v>
      </c>
    </row>
    <row r="940" spans="1:4" x14ac:dyDescent="0.3">
      <c r="A940" s="13" t="str">
        <v>Dr. Sean Allen</v>
      </c>
      <c r="B940" s="13" t="str">
        <v>Dr. Sean Allen</v>
      </c>
      <c r="C940" s="42" t="str">
        <v>Dr. Sean Allen</v>
      </c>
      <c r="D940" s="13">
        <f>SUMIFS('RETAIL SALES DATA.'!$F$2:$F$1001,'RETAIL SALES DATA.'!$B$2:$B$1001,Custom!A940)</f>
        <v>2</v>
      </c>
    </row>
    <row r="941" spans="1:4" x14ac:dyDescent="0.3">
      <c r="A941" s="13" t="str">
        <v>Jim Glover</v>
      </c>
      <c r="B941" s="13" t="str">
        <v>Jim Glover</v>
      </c>
      <c r="C941" s="42" t="str">
        <v>Jim Glover</v>
      </c>
      <c r="D941" s="13">
        <f>SUMIFS('RETAIL SALES DATA.'!$F$2:$F$1001,'RETAIL SALES DATA.'!$B$2:$B$1001,Custom!A941)</f>
        <v>3</v>
      </c>
    </row>
    <row r="942" spans="1:4" x14ac:dyDescent="0.3">
      <c r="A942" s="13" t="str">
        <v>Stacy Meyer</v>
      </c>
      <c r="B942" s="13" t="str">
        <v>Stacy Meyer</v>
      </c>
      <c r="C942" s="42" t="str">
        <v>Stacy Meyer</v>
      </c>
      <c r="D942" s="13">
        <f>SUMIFS('RETAIL SALES DATA.'!$F$2:$F$1001,'RETAIL SALES DATA.'!$B$2:$B$1001,Custom!A942)</f>
        <v>1</v>
      </c>
    </row>
    <row r="943" spans="1:4" x14ac:dyDescent="0.3">
      <c r="A943" s="13" t="str">
        <v>Ashley Mitchell</v>
      </c>
      <c r="B943" s="13" t="str">
        <v>Ashley Mitchell</v>
      </c>
      <c r="C943" s="42" t="str">
        <v>Ashley Mitchell</v>
      </c>
      <c r="D943" s="13">
        <f>SUMIFS('RETAIL SALES DATA.'!$F$2:$F$1001,'RETAIL SALES DATA.'!$B$2:$B$1001,Custom!A943)</f>
        <v>17</v>
      </c>
    </row>
    <row r="944" spans="1:4" x14ac:dyDescent="0.3">
      <c r="A944" s="13" t="str">
        <v>Mark Davis</v>
      </c>
      <c r="B944" s="13" t="str">
        <v>Mark Davis</v>
      </c>
      <c r="C944" s="42" t="str">
        <v>Mark Davis</v>
      </c>
      <c r="D944" s="13">
        <f>SUMIFS('RETAIL SALES DATA.'!$F$2:$F$1001,'RETAIL SALES DATA.'!$B$2:$B$1001,Custom!A944)</f>
        <v>2</v>
      </c>
    </row>
    <row r="945" spans="1:4" x14ac:dyDescent="0.3">
      <c r="A945" s="13" t="str">
        <v>Heather Townsend</v>
      </c>
      <c r="B945" s="13" t="str">
        <v>Heather Townsend</v>
      </c>
      <c r="C945" s="42" t="str">
        <v>Heather Townsend</v>
      </c>
      <c r="D945" s="13">
        <f>SUMIFS('RETAIL SALES DATA.'!$F$2:$F$1001,'RETAIL SALES DATA.'!$B$2:$B$1001,Custom!A945)</f>
        <v>13</v>
      </c>
    </row>
    <row r="946" spans="1:4" x14ac:dyDescent="0.3">
      <c r="A946" s="13" t="str">
        <v>Jesus Chan</v>
      </c>
      <c r="B946" s="13" t="str">
        <v>Jesus Chan</v>
      </c>
      <c r="C946" s="42" t="str">
        <v>Jesus Chan</v>
      </c>
      <c r="D946" s="13">
        <f>SUMIFS('RETAIL SALES DATA.'!$F$2:$F$1001,'RETAIL SALES DATA.'!$B$2:$B$1001,Custom!A946)</f>
        <v>8</v>
      </c>
    </row>
    <row r="947" spans="1:4" x14ac:dyDescent="0.3">
      <c r="A947" s="13" t="str">
        <v>Henry Williamson</v>
      </c>
      <c r="B947" s="13" t="str">
        <v>Henry Williamson</v>
      </c>
      <c r="C947" s="42" t="str">
        <v>Henry Williamson</v>
      </c>
      <c r="D947" s="13">
        <f>SUMIFS('RETAIL SALES DATA.'!$F$2:$F$1001,'RETAIL SALES DATA.'!$B$2:$B$1001,Custom!A947)</f>
        <v>18</v>
      </c>
    </row>
    <row r="948" spans="1:4" x14ac:dyDescent="0.3">
      <c r="A948" s="13" t="str">
        <v>Antonio Rios</v>
      </c>
      <c r="B948" s="13" t="str">
        <v>Antonio Rios</v>
      </c>
      <c r="C948" s="42" t="str">
        <v>Antonio Rios</v>
      </c>
      <c r="D948" s="13">
        <f>SUMIFS('RETAIL SALES DATA.'!$F$2:$F$1001,'RETAIL SALES DATA.'!$B$2:$B$1001,Custom!A948)</f>
        <v>4</v>
      </c>
    </row>
    <row r="949" spans="1:4" x14ac:dyDescent="0.3">
      <c r="A949" s="13" t="str">
        <v>Andrew Long</v>
      </c>
      <c r="B949" s="13" t="str">
        <v>Andrew Long</v>
      </c>
      <c r="C949" s="42" t="str">
        <v>Andrew Long</v>
      </c>
      <c r="D949" s="13">
        <f>SUMIFS('RETAIL SALES DATA.'!$F$2:$F$1001,'RETAIL SALES DATA.'!$B$2:$B$1001,Custom!A949)</f>
        <v>4</v>
      </c>
    </row>
    <row r="950" spans="1:4" x14ac:dyDescent="0.3">
      <c r="A950" s="13" t="str">
        <v>Chelsea Hampton</v>
      </c>
      <c r="B950" s="13" t="str">
        <v>Chelsea Hampton</v>
      </c>
      <c r="C950" s="42" t="str">
        <v>Chelsea Hampton</v>
      </c>
      <c r="D950" s="13">
        <f>SUMIFS('RETAIL SALES DATA.'!$F$2:$F$1001,'RETAIL SALES DATA.'!$B$2:$B$1001,Custom!A950)</f>
        <v>6</v>
      </c>
    </row>
    <row r="951" spans="1:4" x14ac:dyDescent="0.3">
      <c r="A951" s="13" t="str">
        <v>Briana Sellers</v>
      </c>
      <c r="B951" s="13" t="str">
        <v>Briana Sellers</v>
      </c>
      <c r="C951" s="42" t="str">
        <v>Briana Sellers</v>
      </c>
      <c r="D951" s="13">
        <f>SUMIFS('RETAIL SALES DATA.'!$F$2:$F$1001,'RETAIL SALES DATA.'!$B$2:$B$1001,Custom!A951)</f>
        <v>5</v>
      </c>
    </row>
    <row r="952" spans="1:4" x14ac:dyDescent="0.3">
      <c r="A952" s="13" t="str">
        <v>Calvin Gould</v>
      </c>
      <c r="B952" s="13" t="str">
        <v>Calvin Gould</v>
      </c>
      <c r="C952" s="42" t="str">
        <v>Calvin Gould</v>
      </c>
      <c r="D952" s="13">
        <f>SUMIFS('RETAIL SALES DATA.'!$F$2:$F$1001,'RETAIL SALES DATA.'!$B$2:$B$1001,Custom!A952)</f>
        <v>11</v>
      </c>
    </row>
    <row r="953" spans="1:4" x14ac:dyDescent="0.3">
      <c r="A953" s="13" t="str">
        <v>Amanda Whitehead</v>
      </c>
      <c r="B953" s="13" t="str">
        <v>Amanda Whitehead</v>
      </c>
      <c r="C953" s="42" t="str">
        <v>Amanda Whitehead</v>
      </c>
      <c r="D953" s="13">
        <f>SUMIFS('RETAIL SALES DATA.'!$F$2:$F$1001,'RETAIL SALES DATA.'!$B$2:$B$1001,Custom!A953)</f>
        <v>13</v>
      </c>
    </row>
    <row r="954" spans="1:4" x14ac:dyDescent="0.3">
      <c r="A954" s="13" t="str">
        <v>Gabriela Cook</v>
      </c>
      <c r="B954" s="13" t="str">
        <v>Gabriela Cook</v>
      </c>
      <c r="C954" s="42" t="str">
        <v>Gabriela Cook</v>
      </c>
      <c r="D954" s="13">
        <f>SUMIFS('RETAIL SALES DATA.'!$F$2:$F$1001,'RETAIL SALES DATA.'!$B$2:$B$1001,Custom!A954)</f>
        <v>5</v>
      </c>
    </row>
    <row r="955" spans="1:4" x14ac:dyDescent="0.3">
      <c r="A955" s="13" t="str">
        <v>Heather Copeland</v>
      </c>
      <c r="B955" s="13" t="str">
        <v>Heather Copeland</v>
      </c>
      <c r="C955" s="42" t="str">
        <v>Heather Copeland</v>
      </c>
      <c r="D955" s="13">
        <f>SUMIFS('RETAIL SALES DATA.'!$F$2:$F$1001,'RETAIL SALES DATA.'!$B$2:$B$1001,Custom!A955)</f>
        <v>19</v>
      </c>
    </row>
    <row r="956" spans="1:4" x14ac:dyDescent="0.3">
      <c r="A956" s="13" t="str">
        <v>Kelly Anderson</v>
      </c>
      <c r="B956" s="13" t="str">
        <v>Kelly Anderson</v>
      </c>
      <c r="C956" s="42" t="str">
        <v>Kelly Anderson</v>
      </c>
      <c r="D956" s="13">
        <f>SUMIFS('RETAIL SALES DATA.'!$F$2:$F$1001,'RETAIL SALES DATA.'!$B$2:$B$1001,Custom!A956)</f>
        <v>17</v>
      </c>
    </row>
    <row r="957" spans="1:4" x14ac:dyDescent="0.3">
      <c r="A957" s="13" t="str">
        <v>Tammy Duncan</v>
      </c>
      <c r="B957" s="13" t="str">
        <v>Tammy Duncan</v>
      </c>
      <c r="C957" s="42" t="str">
        <v>Tammy Duncan</v>
      </c>
      <c r="D957" s="13">
        <f>SUMIFS('RETAIL SALES DATA.'!$F$2:$F$1001,'RETAIL SALES DATA.'!$B$2:$B$1001,Custom!A957)</f>
        <v>8</v>
      </c>
    </row>
    <row r="958" spans="1:4" x14ac:dyDescent="0.3">
      <c r="A958" s="13" t="str">
        <v>Shawna Smith</v>
      </c>
      <c r="B958" s="13" t="str">
        <v>Shawna Smith</v>
      </c>
      <c r="C958" s="42" t="str">
        <v>Shawna Smith</v>
      </c>
      <c r="D958" s="13">
        <f>SUMIFS('RETAIL SALES DATA.'!$F$2:$F$1001,'RETAIL SALES DATA.'!$B$2:$B$1001,Custom!A958)</f>
        <v>6</v>
      </c>
    </row>
    <row r="959" spans="1:4" x14ac:dyDescent="0.3">
      <c r="A959" s="13" t="str">
        <v>Jane Rodriguez</v>
      </c>
      <c r="B959" s="13" t="str">
        <v>Jane Rodriguez</v>
      </c>
      <c r="C959" s="42" t="str">
        <v>Jane Rodriguez</v>
      </c>
      <c r="D959" s="13">
        <f>SUMIFS('RETAIL SALES DATA.'!$F$2:$F$1001,'RETAIL SALES DATA.'!$B$2:$B$1001,Custom!A959)</f>
        <v>4</v>
      </c>
    </row>
    <row r="960" spans="1:4" x14ac:dyDescent="0.3">
      <c r="A960" s="13" t="str">
        <v>Thomas Shepard</v>
      </c>
      <c r="B960" s="13" t="str">
        <v>Thomas Shepard</v>
      </c>
      <c r="C960" s="42" t="str">
        <v>Thomas Shepard</v>
      </c>
      <c r="D960" s="13">
        <f>SUMIFS('RETAIL SALES DATA.'!$F$2:$F$1001,'RETAIL SALES DATA.'!$B$2:$B$1001,Custom!A960)</f>
        <v>10</v>
      </c>
    </row>
    <row r="961" spans="1:4" x14ac:dyDescent="0.3">
      <c r="A961" s="13" t="str">
        <v>Joshua Combs</v>
      </c>
      <c r="B961" s="13" t="str">
        <v>Joshua Combs</v>
      </c>
      <c r="C961" s="42" t="str">
        <v>Joshua Combs</v>
      </c>
      <c r="D961" s="13">
        <f>SUMIFS('RETAIL SALES DATA.'!$F$2:$F$1001,'RETAIL SALES DATA.'!$B$2:$B$1001,Custom!A961)</f>
        <v>9</v>
      </c>
    </row>
    <row r="962" spans="1:4" x14ac:dyDescent="0.3">
      <c r="A962" s="13" t="str">
        <v>Brenda Dean</v>
      </c>
      <c r="B962" s="13" t="str">
        <v>Brenda Dean</v>
      </c>
      <c r="C962" s="42" t="str">
        <v>Brenda Dean</v>
      </c>
      <c r="D962" s="13">
        <f>SUMIFS('RETAIL SALES DATA.'!$F$2:$F$1001,'RETAIL SALES DATA.'!$B$2:$B$1001,Custom!A962)</f>
        <v>17</v>
      </c>
    </row>
    <row r="963" spans="1:4" x14ac:dyDescent="0.3">
      <c r="A963" s="13" t="str">
        <v>Erin Salas</v>
      </c>
      <c r="B963" s="13" t="str">
        <v>Erin Salas</v>
      </c>
      <c r="C963" s="42" t="str">
        <v>Erin Salas</v>
      </c>
      <c r="D963" s="13">
        <f>SUMIFS('RETAIL SALES DATA.'!$F$2:$F$1001,'RETAIL SALES DATA.'!$B$2:$B$1001,Custom!A963)</f>
        <v>8</v>
      </c>
    </row>
    <row r="964" spans="1:4" x14ac:dyDescent="0.3">
      <c r="A964" s="13" t="str">
        <v>Charles Gonzalez</v>
      </c>
      <c r="B964" s="13" t="str">
        <v>Charles Gonzalez</v>
      </c>
      <c r="C964" s="42" t="str">
        <v>Charles Gonzalez</v>
      </c>
      <c r="D964" s="13">
        <f>SUMIFS('RETAIL SALES DATA.'!$F$2:$F$1001,'RETAIL SALES DATA.'!$B$2:$B$1001,Custom!A964)</f>
        <v>14</v>
      </c>
    </row>
    <row r="965" spans="1:4" x14ac:dyDescent="0.3">
      <c r="A965" s="13" t="str">
        <v>Nicole Cabrera</v>
      </c>
      <c r="B965" s="13" t="str">
        <v>Nicole Cabrera</v>
      </c>
      <c r="C965" s="42" t="str">
        <v>Nicole Cabrera</v>
      </c>
      <c r="D965" s="13">
        <f>SUMIFS('RETAIL SALES DATA.'!$F$2:$F$1001,'RETAIL SALES DATA.'!$B$2:$B$1001,Custom!A965)</f>
        <v>11</v>
      </c>
    </row>
    <row r="966" spans="1:4" x14ac:dyDescent="0.3">
      <c r="A966" s="13" t="str">
        <v>Dr. Matthew Perkins</v>
      </c>
      <c r="B966" s="13" t="str">
        <v>Dr. Matthew Perkins</v>
      </c>
      <c r="C966" s="42" t="str">
        <v>Dr. Matthew Perkins</v>
      </c>
      <c r="D966" s="13">
        <f>SUMIFS('RETAIL SALES DATA.'!$F$2:$F$1001,'RETAIL SALES DATA.'!$B$2:$B$1001,Custom!A966)</f>
        <v>2</v>
      </c>
    </row>
    <row r="967" spans="1:4" x14ac:dyDescent="0.3">
      <c r="A967" s="13" t="str">
        <v>Jennifer Hall</v>
      </c>
      <c r="B967" s="13" t="str">
        <v>Jennifer Hall</v>
      </c>
      <c r="C967" s="42" t="str">
        <v>Jennifer Hall</v>
      </c>
      <c r="D967" s="13">
        <f>SUMIFS('RETAIL SALES DATA.'!$F$2:$F$1001,'RETAIL SALES DATA.'!$B$2:$B$1001,Custom!A967)</f>
        <v>8</v>
      </c>
    </row>
    <row r="968" spans="1:4" x14ac:dyDescent="0.3">
      <c r="A968" s="13" t="str">
        <v>Johnny Lewis</v>
      </c>
      <c r="B968" s="13" t="str">
        <v>Johnny Lewis</v>
      </c>
      <c r="C968" s="42" t="str">
        <v>Johnny Lewis</v>
      </c>
      <c r="D968" s="13">
        <f>SUMIFS('RETAIL SALES DATA.'!$F$2:$F$1001,'RETAIL SALES DATA.'!$B$2:$B$1001,Custom!A968)</f>
        <v>5</v>
      </c>
    </row>
    <row r="969" spans="1:4" x14ac:dyDescent="0.3">
      <c r="A969" s="13" t="str">
        <v>Francisco Morales</v>
      </c>
      <c r="B969" s="13" t="str">
        <v>Francisco Morales</v>
      </c>
      <c r="C969" s="42" t="str">
        <v>Francisco Morales</v>
      </c>
      <c r="D969" s="13">
        <f>SUMIFS('RETAIL SALES DATA.'!$F$2:$F$1001,'RETAIL SALES DATA.'!$B$2:$B$1001,Custom!A969)</f>
        <v>19</v>
      </c>
    </row>
    <row r="970" spans="1:4" x14ac:dyDescent="0.3">
      <c r="A970" s="13" t="str">
        <v>John Gomez</v>
      </c>
      <c r="B970" s="13" t="str">
        <v>John Gomez</v>
      </c>
      <c r="C970" s="42" t="str">
        <v>John Gomez</v>
      </c>
      <c r="D970" s="13">
        <f>SUMIFS('RETAIL SALES DATA.'!$F$2:$F$1001,'RETAIL SALES DATA.'!$B$2:$B$1001,Custom!A970)</f>
        <v>5</v>
      </c>
    </row>
    <row r="971" spans="1:4" x14ac:dyDescent="0.3">
      <c r="A971" s="13" t="str">
        <v>Krista Nash</v>
      </c>
      <c r="B971" s="13" t="str">
        <v>Krista Nash</v>
      </c>
      <c r="C971" s="42" t="str">
        <v>Krista Nash</v>
      </c>
      <c r="D971" s="13">
        <f>SUMIFS('RETAIL SALES DATA.'!$F$2:$F$1001,'RETAIL SALES DATA.'!$B$2:$B$1001,Custom!A971)</f>
        <v>15</v>
      </c>
    </row>
    <row r="972" spans="1:4" x14ac:dyDescent="0.3">
      <c r="A972" s="13" t="str">
        <v>Karen Lloyd</v>
      </c>
      <c r="B972" s="13" t="str">
        <v>Karen Lloyd</v>
      </c>
      <c r="C972" s="42" t="str">
        <v>Karen Lloyd</v>
      </c>
      <c r="D972" s="13">
        <f>SUMIFS('RETAIL SALES DATA.'!$F$2:$F$1001,'RETAIL SALES DATA.'!$B$2:$B$1001,Custom!A972)</f>
        <v>20</v>
      </c>
    </row>
    <row r="973" spans="1:4" x14ac:dyDescent="0.3">
      <c r="A973" s="13" t="str">
        <v>Kathleen Melton</v>
      </c>
      <c r="B973" s="13" t="str">
        <v>Kathleen Melton</v>
      </c>
      <c r="C973" s="42" t="str">
        <v>Kathleen Melton</v>
      </c>
      <c r="D973" s="13">
        <f>SUMIFS('RETAIL SALES DATA.'!$F$2:$F$1001,'RETAIL SALES DATA.'!$B$2:$B$1001,Custom!A973)</f>
        <v>5</v>
      </c>
    </row>
    <row r="974" spans="1:4" x14ac:dyDescent="0.3">
      <c r="A974" s="13" t="str">
        <v>Carl Parker</v>
      </c>
      <c r="B974" s="13" t="str">
        <v>Carl Parker</v>
      </c>
      <c r="C974" s="42" t="str">
        <v>Carl Parker</v>
      </c>
      <c r="D974" s="13">
        <f>SUMIFS('RETAIL SALES DATA.'!$F$2:$F$1001,'RETAIL SALES DATA.'!$B$2:$B$1001,Custom!A974)</f>
        <v>8</v>
      </c>
    </row>
    <row r="975" spans="1:4" x14ac:dyDescent="0.3">
      <c r="A975" s="13" t="str">
        <v>Grant Hernandez</v>
      </c>
      <c r="B975" s="13" t="str">
        <v>Grant Hernandez</v>
      </c>
      <c r="C975" s="42" t="str">
        <v>Grant Hernandez</v>
      </c>
      <c r="D975" s="13">
        <f>SUMIFS('RETAIL SALES DATA.'!$F$2:$F$1001,'RETAIL SALES DATA.'!$B$2:$B$1001,Custom!A975)</f>
        <v>1</v>
      </c>
    </row>
    <row r="976" spans="1:4" x14ac:dyDescent="0.3">
      <c r="A976" s="13" t="str">
        <v>Jill Humphrey</v>
      </c>
      <c r="B976" s="13" t="str">
        <v>Jill Humphrey</v>
      </c>
      <c r="C976" s="42" t="str">
        <v>Jill Humphrey</v>
      </c>
      <c r="D976" s="13">
        <f>SUMIFS('RETAIL SALES DATA.'!$F$2:$F$1001,'RETAIL SALES DATA.'!$B$2:$B$1001,Custom!A976)</f>
        <v>18</v>
      </c>
    </row>
    <row r="977" spans="1:4" x14ac:dyDescent="0.3">
      <c r="A977" s="13" t="str">
        <v>Teresa Carpenter</v>
      </c>
      <c r="B977" s="13" t="str">
        <v>Teresa Carpenter</v>
      </c>
      <c r="C977" s="42" t="str">
        <v>Teresa Carpenter</v>
      </c>
      <c r="D977" s="13">
        <f>SUMIFS('RETAIL SALES DATA.'!$F$2:$F$1001,'RETAIL SALES DATA.'!$B$2:$B$1001,Custom!A977)</f>
        <v>10</v>
      </c>
    </row>
    <row r="978" spans="1:4" x14ac:dyDescent="0.3">
      <c r="A978" s="13" t="str">
        <v>Adam Nguyen</v>
      </c>
      <c r="B978" s="13" t="str">
        <v>Adam Nguyen</v>
      </c>
      <c r="C978" s="42" t="str">
        <v>Adam Nguyen</v>
      </c>
      <c r="D978" s="13">
        <f>SUMIFS('RETAIL SALES DATA.'!$F$2:$F$1001,'RETAIL SALES DATA.'!$B$2:$B$1001,Custom!A978)</f>
        <v>12</v>
      </c>
    </row>
    <row r="979" spans="1:4" x14ac:dyDescent="0.3">
      <c r="A979" s="13" t="str">
        <v>Judy Scott</v>
      </c>
      <c r="B979" s="13" t="str">
        <v>Judy Scott</v>
      </c>
      <c r="C979" s="42" t="str">
        <v>Judy Scott</v>
      </c>
      <c r="D979" s="13">
        <f>SUMIFS('RETAIL SALES DATA.'!$F$2:$F$1001,'RETAIL SALES DATA.'!$B$2:$B$1001,Custom!A979)</f>
        <v>19</v>
      </c>
    </row>
    <row r="980" spans="1:4" x14ac:dyDescent="0.3">
      <c r="A980" s="13" t="str">
        <v>Donna Perez</v>
      </c>
      <c r="B980" s="13" t="str">
        <v>Donna Perez</v>
      </c>
      <c r="C980" s="42" t="str">
        <v>Donna Perez</v>
      </c>
      <c r="D980" s="13">
        <f>SUMIFS('RETAIL SALES DATA.'!$F$2:$F$1001,'RETAIL SALES DATA.'!$B$2:$B$1001,Custom!A980)</f>
        <v>8</v>
      </c>
    </row>
    <row r="981" spans="1:4" x14ac:dyDescent="0.3">
      <c r="A981" s="13" t="str">
        <v>Roger Davis</v>
      </c>
      <c r="B981" s="13" t="str">
        <v>Roger Davis</v>
      </c>
      <c r="C981" s="42" t="str">
        <v>Roger Davis</v>
      </c>
      <c r="D981" s="13">
        <f>SUMIFS('RETAIL SALES DATA.'!$F$2:$F$1001,'RETAIL SALES DATA.'!$B$2:$B$1001,Custom!A981)</f>
        <v>4</v>
      </c>
    </row>
    <row r="982" spans="1:4" x14ac:dyDescent="0.3">
      <c r="A982" s="13" t="str">
        <v>Aaron Wood</v>
      </c>
      <c r="B982" s="13" t="str">
        <v>Aaron Wood</v>
      </c>
      <c r="C982" s="42" t="str">
        <v>Aaron Wood</v>
      </c>
      <c r="D982" s="13">
        <f>SUMIFS('RETAIL SALES DATA.'!$F$2:$F$1001,'RETAIL SALES DATA.'!$B$2:$B$1001,Custom!A982)</f>
        <v>6</v>
      </c>
    </row>
    <row r="983" spans="1:4" x14ac:dyDescent="0.3">
      <c r="A983" s="13" t="str">
        <v>Jeremiah Hernandez</v>
      </c>
      <c r="B983" s="13" t="str">
        <v>Jeremiah Hernandez</v>
      </c>
      <c r="C983" s="42" t="str">
        <v>Jeremiah Hernandez</v>
      </c>
      <c r="D983" s="13">
        <f>SUMIFS('RETAIL SALES DATA.'!$F$2:$F$1001,'RETAIL SALES DATA.'!$B$2:$B$1001,Custom!A983)</f>
        <v>18</v>
      </c>
    </row>
    <row r="984" spans="1:4" x14ac:dyDescent="0.3">
      <c r="A984" s="13" t="str">
        <v>Julie Long</v>
      </c>
      <c r="B984" s="13" t="str">
        <v>Julie Long</v>
      </c>
      <c r="C984" s="42" t="str">
        <v>Julie Long</v>
      </c>
      <c r="D984" s="13">
        <f>SUMIFS('RETAIL SALES DATA.'!$F$2:$F$1001,'RETAIL SALES DATA.'!$B$2:$B$1001,Custom!A984)</f>
        <v>10</v>
      </c>
    </row>
    <row r="985" spans="1:4" x14ac:dyDescent="0.3">
      <c r="A985" s="13" t="str">
        <v>Michelle Willis</v>
      </c>
      <c r="B985" s="13" t="str">
        <v>Michelle Willis</v>
      </c>
      <c r="C985" s="42" t="str">
        <v>Michelle Willis</v>
      </c>
      <c r="D985" s="13">
        <f>SUMIFS('RETAIL SALES DATA.'!$F$2:$F$1001,'RETAIL SALES DATA.'!$B$2:$B$1001,Custom!A985)</f>
        <v>10</v>
      </c>
    </row>
    <row r="986" spans="1:4" x14ac:dyDescent="0.3">
      <c r="A986" s="13" t="str">
        <v>Jacqueline Bell</v>
      </c>
      <c r="B986" s="13" t="str">
        <v>Jacqueline Bell</v>
      </c>
      <c r="C986" s="42" t="str">
        <v>Jacqueline Bell</v>
      </c>
      <c r="D986" s="13">
        <f>SUMIFS('RETAIL SALES DATA.'!$F$2:$F$1001,'RETAIL SALES DATA.'!$B$2:$B$1001,Custom!A986)</f>
        <v>4</v>
      </c>
    </row>
    <row r="987" spans="1:4" x14ac:dyDescent="0.3">
      <c r="A987" s="13" t="str">
        <v>Shane Riley</v>
      </c>
      <c r="B987" s="13" t="str">
        <v>Shane Riley</v>
      </c>
      <c r="C987" s="42" t="str">
        <v>Shane Riley</v>
      </c>
      <c r="D987" s="13">
        <f>SUMIFS('RETAIL SALES DATA.'!$F$2:$F$1001,'RETAIL SALES DATA.'!$B$2:$B$1001,Custom!A987)</f>
        <v>15</v>
      </c>
    </row>
    <row r="988" spans="1:4" x14ac:dyDescent="0.3">
      <c r="A988" s="13" t="str">
        <v>Ricky Kelly</v>
      </c>
      <c r="B988" s="13" t="str">
        <v>Ricky Kelly</v>
      </c>
      <c r="C988" s="42" t="str">
        <v>Ricky Kelly</v>
      </c>
      <c r="D988" s="13">
        <f>SUMIFS('RETAIL SALES DATA.'!$F$2:$F$1001,'RETAIL SALES DATA.'!$B$2:$B$1001,Custom!A988)</f>
        <v>11</v>
      </c>
    </row>
    <row r="989" spans="1:4" x14ac:dyDescent="0.3">
      <c r="A989" s="13" t="str">
        <v>Melissa Garcia</v>
      </c>
      <c r="B989" s="13" t="str">
        <v>Melissa Garcia</v>
      </c>
      <c r="C989" s="42" t="str">
        <v>Melissa Garcia</v>
      </c>
      <c r="D989" s="13">
        <f>SUMIFS('RETAIL SALES DATA.'!$F$2:$F$1001,'RETAIL SALES DATA.'!$B$2:$B$1001,Custom!A989)</f>
        <v>17</v>
      </c>
    </row>
    <row r="990" spans="1:4" x14ac:dyDescent="0.3">
      <c r="A990" s="13" t="str">
        <v>Tamara Navarro</v>
      </c>
      <c r="B990" s="13" t="str">
        <v>Tamara Navarro</v>
      </c>
      <c r="C990" s="42" t="str">
        <v>Tamara Navarro</v>
      </c>
      <c r="D990" s="13">
        <f>SUMIFS('RETAIL SALES DATA.'!$F$2:$F$1001,'RETAIL SALES DATA.'!$B$2:$B$1001,Custom!A990)</f>
        <v>19</v>
      </c>
    </row>
    <row r="991" spans="1:4" x14ac:dyDescent="0.3">
      <c r="A991" s="13" t="str">
        <v>Stephanie Bailey</v>
      </c>
      <c r="B991" s="13" t="str">
        <v>Stephanie Bailey</v>
      </c>
      <c r="C991" s="42" t="str">
        <v>Stephanie Bailey</v>
      </c>
      <c r="D991" s="13">
        <f>SUMIFS('RETAIL SALES DATA.'!$F$2:$F$1001,'RETAIL SALES DATA.'!$B$2:$B$1001,Custom!A991)</f>
        <v>3</v>
      </c>
    </row>
    <row r="992" spans="1:4" x14ac:dyDescent="0.3">
      <c r="A992" s="13" t="str">
        <v>Jonathon Cantu</v>
      </c>
      <c r="B992" s="13" t="str">
        <v>Jonathon Cantu</v>
      </c>
      <c r="C992" s="42" t="str">
        <v>Jonathon Cantu</v>
      </c>
      <c r="D992" s="13">
        <f>SUMIFS('RETAIL SALES DATA.'!$F$2:$F$1001,'RETAIL SALES DATA.'!$B$2:$B$1001,Custom!A992)</f>
        <v>17</v>
      </c>
    </row>
    <row r="993" spans="1:4" x14ac:dyDescent="0.3">
      <c r="A993" s="13" t="str">
        <v>Matthew Bradley</v>
      </c>
      <c r="B993" s="13" t="str">
        <v>Matthew Bradley</v>
      </c>
      <c r="C993" s="42" t="str">
        <v>Matthew Bradley</v>
      </c>
      <c r="D993" s="13">
        <f>SUMIFS('RETAIL SALES DATA.'!$F$2:$F$1001,'RETAIL SALES DATA.'!$B$2:$B$1001,Custom!A993)</f>
        <v>16</v>
      </c>
    </row>
    <row r="994" spans="1:4" x14ac:dyDescent="0.3">
      <c r="A994" s="10"/>
      <c r="B994" s="10"/>
      <c r="C994" s="10"/>
      <c r="D994" s="58">
        <f>SUM(D2:D993)</f>
        <v>10506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4D2B-5ABB-487B-AAF8-0AA6A74B62C7}">
  <dimension ref="A1:J19"/>
  <sheetViews>
    <sheetView workbookViewId="0">
      <selection activeCell="G2" sqref="G2"/>
    </sheetView>
  </sheetViews>
  <sheetFormatPr defaultRowHeight="14.4" x14ac:dyDescent="0.3"/>
  <cols>
    <col min="1" max="1" width="11.77734375" customWidth="1"/>
    <col min="2" max="2" width="13.109375" customWidth="1"/>
    <col min="3" max="3" width="10.21875" customWidth="1"/>
    <col min="4" max="4" width="9.5546875" bestFit="1" customWidth="1"/>
  </cols>
  <sheetData>
    <row r="1" spans="1:10" ht="31.2" x14ac:dyDescent="0.6">
      <c r="A1" s="82" t="s">
        <v>2311</v>
      </c>
      <c r="B1" s="82"/>
      <c r="C1" s="82"/>
      <c r="D1" s="82"/>
    </row>
    <row r="2" spans="1:10" s="2" customFormat="1" x14ac:dyDescent="0.3">
      <c r="A2" s="11" t="s">
        <v>2312</v>
      </c>
      <c r="B2" s="11" t="s">
        <v>2309</v>
      </c>
      <c r="C2" s="11" t="s">
        <v>2310</v>
      </c>
      <c r="D2" s="11" t="s">
        <v>2286</v>
      </c>
      <c r="G2" s="2" t="s">
        <v>2335</v>
      </c>
    </row>
    <row r="3" spans="1:10" x14ac:dyDescent="0.3">
      <c r="A3" s="12" t="str" cm="1">
        <f t="array" ref="A3:A17">_xlfn.UNIQUE('RETAIL SALES DATA.'!C2:C1001)</f>
        <v>Pen</v>
      </c>
      <c r="B3" s="47">
        <f>SUMIFS('RETAIL SALES DATA.'!$F$2:$F$1001,'RETAIL SALES DATA.'!$C$2:$C$1001,South!A3,'RETAIL SALES DATA.'!$E$2:$E$1001,'RETAIL SALES DATA.'!$E$2)</f>
        <v>79</v>
      </c>
      <c r="C3" s="48">
        <f>SUMIFS('RETAIL SALES DATA.'!$H$2:$H$1001,'RETAIL SALES DATA.'!$C$2:$C$1001,South!A3,'RETAIL SALES DATA.'!$E$2:$E$1001,'RETAIL SALES DATA.'!$E$2)</f>
        <v>195480.62000000002</v>
      </c>
      <c r="D3" s="47">
        <f>SUMIFS('RETAIL SALES DATA.'!$J$2:$J$1001,'RETAIL SALES DATA.'!$C$2:$C$1001,South!A3,'RETAIL SALES DATA.'!$E$2:$E$1001,'RETAIL SALES DATA.'!$E$2)</f>
        <v>62673.509999999995</v>
      </c>
      <c r="G3" s="2" t="s">
        <v>2336</v>
      </c>
      <c r="H3" s="2"/>
      <c r="I3" s="2"/>
      <c r="J3" s="2"/>
    </row>
    <row r="4" spans="1:10" x14ac:dyDescent="0.3">
      <c r="A4" s="12" t="str">
        <v>Desk</v>
      </c>
      <c r="B4" s="13">
        <f>SUMIFS('RETAIL SALES DATA.'!$F$2:$F$1001,'RETAIL SALES DATA.'!$C$2:$C$1001,South!A4,'RETAIL SALES DATA.'!$E$2:$E$1001,'RETAIL SALES DATA.'!$E$2)</f>
        <v>188</v>
      </c>
      <c r="C4" s="14">
        <f>SUMIFS('RETAIL SALES DATA.'!$H$2:$H$1001,'RETAIL SALES DATA.'!$C$2:$C$1001,South!A4,'RETAIL SALES DATA.'!$E$2:$E$1001,'RETAIL SALES DATA.'!$E$2)</f>
        <v>480597.15999999992</v>
      </c>
      <c r="D4" s="13">
        <f>SUMIFS('RETAIL SALES DATA.'!$J$2:$J$1001,'RETAIL SALES DATA.'!$C$2:$C$1001,South!A4,'RETAIL SALES DATA.'!$E$2:$E$1001,'RETAIL SALES DATA.'!$E$2)</f>
        <v>127554.07000000002</v>
      </c>
    </row>
    <row r="5" spans="1:10" x14ac:dyDescent="0.3">
      <c r="A5" s="12" t="str">
        <v>Marker</v>
      </c>
      <c r="B5" s="13">
        <f>SUMIFS('RETAIL SALES DATA.'!$F$2:$F$1001,'RETAIL SALES DATA.'!$C$2:$C$1001,South!A5,'RETAIL SALES DATA.'!$E$2:$E$1001,'RETAIL SALES DATA.'!$E$2)</f>
        <v>99</v>
      </c>
      <c r="C5" s="14">
        <f>SUMIFS('RETAIL SALES DATA.'!$H$2:$H$1001,'RETAIL SALES DATA.'!$C$2:$C$1001,South!A5,'RETAIL SALES DATA.'!$E$2:$E$1001,'RETAIL SALES DATA.'!$E$2)</f>
        <v>318100.03000000003</v>
      </c>
      <c r="D5" s="13">
        <f>SUMIFS('RETAIL SALES DATA.'!$J$2:$J$1001,'RETAIL SALES DATA.'!$C$2:$C$1001,South!A5,'RETAIL SALES DATA.'!$E$2:$E$1001,'RETAIL SALES DATA.'!$E$2)</f>
        <v>87110.27</v>
      </c>
    </row>
    <row r="6" spans="1:10" x14ac:dyDescent="0.3">
      <c r="A6" s="12" t="str">
        <v>Laptop</v>
      </c>
      <c r="B6" s="13">
        <f>SUMIFS('RETAIL SALES DATA.'!$F$2:$F$1001,'RETAIL SALES DATA.'!$C$2:$C$1001,South!A6,'RETAIL SALES DATA.'!$E$2:$E$1001,'RETAIL SALES DATA.'!$E$2)</f>
        <v>101</v>
      </c>
      <c r="C6" s="14">
        <f>SUMIFS('RETAIL SALES DATA.'!$H$2:$H$1001,'RETAIL SALES DATA.'!$C$2:$C$1001,South!A6,'RETAIL SALES DATA.'!$E$2:$E$1001,'RETAIL SALES DATA.'!$E$2)</f>
        <v>312560.07</v>
      </c>
      <c r="D6" s="13">
        <f>SUMIFS('RETAIL SALES DATA.'!$J$2:$J$1001,'RETAIL SALES DATA.'!$C$2:$C$1001,South!A6,'RETAIL SALES DATA.'!$E$2:$E$1001,'RETAIL SALES DATA.'!$E$2)</f>
        <v>82929.89</v>
      </c>
    </row>
    <row r="7" spans="1:10" x14ac:dyDescent="0.3">
      <c r="A7" s="12" t="str">
        <v>Mouse</v>
      </c>
      <c r="B7" s="13">
        <f>SUMIFS('RETAIL SALES DATA.'!$F$2:$F$1001,'RETAIL SALES DATA.'!$C$2:$C$1001,South!A7,'RETAIL SALES DATA.'!$E$2:$E$1001,'RETAIL SALES DATA.'!$E$2)</f>
        <v>147</v>
      </c>
      <c r="C7" s="14">
        <f>SUMIFS('RETAIL SALES DATA.'!$H$2:$H$1001,'RETAIL SALES DATA.'!$C$2:$C$1001,South!A7,'RETAIL SALES DATA.'!$E$2:$E$1001,'RETAIL SALES DATA.'!$E$2)</f>
        <v>296237.18</v>
      </c>
      <c r="D7" s="13">
        <f>SUMIFS('RETAIL SALES DATA.'!$J$2:$J$1001,'RETAIL SALES DATA.'!$C$2:$C$1001,South!A7,'RETAIL SALES DATA.'!$E$2:$E$1001,'RETAIL SALES DATA.'!$E$2)</f>
        <v>76948.040000000008</v>
      </c>
    </row>
    <row r="8" spans="1:10" x14ac:dyDescent="0.3">
      <c r="A8" s="12" t="str">
        <v>Notebook</v>
      </c>
      <c r="B8" s="13">
        <f>SUMIFS('RETAIL SALES DATA.'!$F$2:$F$1001,'RETAIL SALES DATA.'!$C$2:$C$1001,South!A8,'RETAIL SALES DATA.'!$E$2:$E$1001,'RETAIL SALES DATA.'!$E$2)</f>
        <v>137</v>
      </c>
      <c r="C8" s="14">
        <f>SUMIFS('RETAIL SALES DATA.'!$H$2:$H$1001,'RETAIL SALES DATA.'!$C$2:$C$1001,South!A8,'RETAIL SALES DATA.'!$E$2:$E$1001,'RETAIL SALES DATA.'!$E$2)</f>
        <v>274635.88</v>
      </c>
      <c r="D8" s="13">
        <f>SUMIFS('RETAIL SALES DATA.'!$J$2:$J$1001,'RETAIL SALES DATA.'!$C$2:$C$1001,South!A8,'RETAIL SALES DATA.'!$E$2:$E$1001,'RETAIL SALES DATA.'!$E$2)</f>
        <v>77950.750000000015</v>
      </c>
    </row>
    <row r="9" spans="1:10" x14ac:dyDescent="0.3">
      <c r="A9" s="12" t="str">
        <v>Table</v>
      </c>
      <c r="B9" s="13">
        <f>SUMIFS('RETAIL SALES DATA.'!$F$2:$F$1001,'RETAIL SALES DATA.'!$C$2:$C$1001,South!A9,'RETAIL SALES DATA.'!$E$2:$E$1001,'RETAIL SALES DATA.'!$E$2)</f>
        <v>127</v>
      </c>
      <c r="C9" s="14">
        <f>SUMIFS('RETAIL SALES DATA.'!$H$2:$H$1001,'RETAIL SALES DATA.'!$C$2:$C$1001,South!A9,'RETAIL SALES DATA.'!$E$2:$E$1001,'RETAIL SALES DATA.'!$E$2)</f>
        <v>392182.83</v>
      </c>
      <c r="D9" s="13">
        <f>SUMIFS('RETAIL SALES DATA.'!$J$2:$J$1001,'RETAIL SALES DATA.'!$C$2:$C$1001,South!A9,'RETAIL SALES DATA.'!$E$2:$E$1001,'RETAIL SALES DATA.'!$E$2)</f>
        <v>158572.79999999999</v>
      </c>
    </row>
    <row r="10" spans="1:10" x14ac:dyDescent="0.3">
      <c r="A10" s="12" t="str">
        <v>Chair</v>
      </c>
      <c r="B10" s="13">
        <f>SUMIFS('RETAIL SALES DATA.'!$F$2:$F$1001,'RETAIL SALES DATA.'!$C$2:$C$1001,South!A10,'RETAIL SALES DATA.'!$E$2:$E$1001,'RETAIL SALES DATA.'!$E$2)</f>
        <v>245</v>
      </c>
      <c r="C10" s="14">
        <f>SUMIFS('RETAIL SALES DATA.'!$H$2:$H$1001,'RETAIL SALES DATA.'!$C$2:$C$1001,South!A10,'RETAIL SALES DATA.'!$E$2:$E$1001,'RETAIL SALES DATA.'!$E$2)</f>
        <v>486506.93999999994</v>
      </c>
      <c r="D10" s="13">
        <f>SUMIFS('RETAIL SALES DATA.'!$J$2:$J$1001,'RETAIL SALES DATA.'!$C$2:$C$1001,South!A10,'RETAIL SALES DATA.'!$E$2:$E$1001,'RETAIL SALES DATA.'!$E$2)</f>
        <v>135334.79</v>
      </c>
    </row>
    <row r="11" spans="1:10" x14ac:dyDescent="0.3">
      <c r="A11" s="12" t="str">
        <v>Cupboard</v>
      </c>
      <c r="B11" s="13">
        <f>SUMIFS('RETAIL SALES DATA.'!$F$2:$F$1001,'RETAIL SALES DATA.'!$C$2:$C$1001,South!A11,'RETAIL SALES DATA.'!$E$2:$E$1001,'RETAIL SALES DATA.'!$E$2)</f>
        <v>85</v>
      </c>
      <c r="C11" s="14">
        <f>SUMIFS('RETAIL SALES DATA.'!$H$2:$H$1001,'RETAIL SALES DATA.'!$C$2:$C$1001,South!A11,'RETAIL SALES DATA.'!$E$2:$E$1001,'RETAIL SALES DATA.'!$E$2)</f>
        <v>272720.92000000004</v>
      </c>
      <c r="D11" s="13">
        <f>SUMIFS('RETAIL SALES DATA.'!$J$2:$J$1001,'RETAIL SALES DATA.'!$C$2:$C$1001,South!A11,'RETAIL SALES DATA.'!$E$2:$E$1001,'RETAIL SALES DATA.'!$E$2)</f>
        <v>66461.430000000008</v>
      </c>
    </row>
    <row r="12" spans="1:10" x14ac:dyDescent="0.3">
      <c r="A12" s="12" t="str">
        <v>Printer</v>
      </c>
      <c r="B12" s="45">
        <f>SUMIFS('RETAIL SALES DATA.'!$F$2:$F$1001,'RETAIL SALES DATA.'!$C$2:$C$1001,South!A12,'RETAIL SALES DATA.'!$E$2:$E$1001,'RETAIL SALES DATA.'!$E$2)</f>
        <v>247</v>
      </c>
      <c r="C12" s="46">
        <f>SUMIFS('RETAIL SALES DATA.'!$H$2:$H$1001,'RETAIL SALES DATA.'!$C$2:$C$1001,South!A12,'RETAIL SALES DATA.'!$E$2:$E$1001,'RETAIL SALES DATA.'!$E$2)</f>
        <v>707701.9</v>
      </c>
      <c r="D12" s="45">
        <f>SUMIFS('RETAIL SALES DATA.'!$J$2:$J$1001,'RETAIL SALES DATA.'!$C$2:$C$1001,South!A12,'RETAIL SALES DATA.'!$E$2:$E$1001,'RETAIL SALES DATA.'!$E$2)</f>
        <v>221977.88</v>
      </c>
    </row>
    <row r="13" spans="1:10" x14ac:dyDescent="0.3">
      <c r="A13" s="12" t="str">
        <v>Sofa</v>
      </c>
      <c r="B13" s="13">
        <f>SUMIFS('RETAIL SALES DATA.'!$F$2:$F$1001,'RETAIL SALES DATA.'!$C$2:$C$1001,South!A13,'RETAIL SALES DATA.'!$E$2:$E$1001,'RETAIL SALES DATA.'!$E$2)</f>
        <v>205</v>
      </c>
      <c r="C13" s="14">
        <f>SUMIFS('RETAIL SALES DATA.'!$H$2:$H$1001,'RETAIL SALES DATA.'!$C$2:$C$1001,South!A13,'RETAIL SALES DATA.'!$E$2:$E$1001,'RETAIL SALES DATA.'!$E$2)</f>
        <v>445890.62000000011</v>
      </c>
      <c r="D13" s="13">
        <f>SUMIFS('RETAIL SALES DATA.'!$J$2:$J$1001,'RETAIL SALES DATA.'!$C$2:$C$1001,South!A13,'RETAIL SALES DATA.'!$E$2:$E$1001,'RETAIL SALES DATA.'!$E$2)</f>
        <v>152464.34000000003</v>
      </c>
    </row>
    <row r="14" spans="1:10" x14ac:dyDescent="0.3">
      <c r="A14" s="12" t="str">
        <v>File</v>
      </c>
      <c r="B14" s="13">
        <f>SUMIFS('RETAIL SALES DATA.'!$F$2:$F$1001,'RETAIL SALES DATA.'!$C$2:$C$1001,South!A14,'RETAIL SALES DATA.'!$E$2:$E$1001,'RETAIL SALES DATA.'!$E$2)</f>
        <v>245</v>
      </c>
      <c r="C14" s="14">
        <f>SUMIFS('RETAIL SALES DATA.'!$H$2:$H$1001,'RETAIL SALES DATA.'!$C$2:$C$1001,South!A14,'RETAIL SALES DATA.'!$E$2:$E$1001,'RETAIL SALES DATA.'!$E$2)</f>
        <v>644246.53999999992</v>
      </c>
      <c r="D14" s="13">
        <f>SUMIFS('RETAIL SALES DATA.'!$J$2:$J$1001,'RETAIL SALES DATA.'!$C$2:$C$1001,South!A14,'RETAIL SALES DATA.'!$E$2:$E$1001,'RETAIL SALES DATA.'!$E$2)</f>
        <v>199676.17</v>
      </c>
    </row>
    <row r="15" spans="1:10" x14ac:dyDescent="0.3">
      <c r="A15" s="12" t="str">
        <v>Keyboard</v>
      </c>
      <c r="B15" s="13">
        <f>SUMIFS('RETAIL SALES DATA.'!$F$2:$F$1001,'RETAIL SALES DATA.'!$C$2:$C$1001,South!A15,'RETAIL SALES DATA.'!$E$2:$E$1001,'RETAIL SALES DATA.'!$E$2)</f>
        <v>176</v>
      </c>
      <c r="C15" s="14">
        <f>SUMIFS('RETAIL SALES DATA.'!$H$2:$H$1001,'RETAIL SALES DATA.'!$C$2:$C$1001,South!A15,'RETAIL SALES DATA.'!$E$2:$E$1001,'RETAIL SALES DATA.'!$E$2)</f>
        <v>415632.89999999991</v>
      </c>
      <c r="D15" s="13">
        <f>SUMIFS('RETAIL SALES DATA.'!$J$2:$J$1001,'RETAIL SALES DATA.'!$C$2:$C$1001,South!A15,'RETAIL SALES DATA.'!$E$2:$E$1001,'RETAIL SALES DATA.'!$E$2)</f>
        <v>139084.19</v>
      </c>
    </row>
    <row r="16" spans="1:10" x14ac:dyDescent="0.3">
      <c r="A16" s="12" t="str">
        <v>Monitor</v>
      </c>
      <c r="B16" s="13">
        <f>SUMIFS('RETAIL SALES DATA.'!$F$2:$F$1001,'RETAIL SALES DATA.'!$C$2:$C$1001,South!A16,'RETAIL SALES DATA.'!$E$2:$E$1001,'RETAIL SALES DATA.'!$E$2)</f>
        <v>185</v>
      </c>
      <c r="C16" s="14">
        <f>SUMIFS('RETAIL SALES DATA.'!$H$2:$H$1001,'RETAIL SALES DATA.'!$C$2:$C$1001,South!A16,'RETAIL SALES DATA.'!$E$2:$E$1001,'RETAIL SALES DATA.'!$E$2)</f>
        <v>411805.73000000004</v>
      </c>
      <c r="D16" s="13">
        <f>SUMIFS('RETAIL SALES DATA.'!$J$2:$J$1001,'RETAIL SALES DATA.'!$C$2:$C$1001,South!A16,'RETAIL SALES DATA.'!$E$2:$E$1001,'RETAIL SALES DATA.'!$E$2)</f>
        <v>125835.08999999998</v>
      </c>
    </row>
    <row r="17" spans="1:4" x14ac:dyDescent="0.3">
      <c r="A17" s="12" t="str">
        <v>Smartphone</v>
      </c>
      <c r="B17" s="13">
        <f>SUMIFS('RETAIL SALES DATA.'!$F$2:$F$1001,'RETAIL SALES DATA.'!$C$2:$C$1001,South!A17,'RETAIL SALES DATA.'!$E$2:$E$1001,'RETAIL SALES DATA.'!$E$2)</f>
        <v>161</v>
      </c>
      <c r="C17" s="14">
        <f>SUMIFS('RETAIL SALES DATA.'!$H$2:$H$1001,'RETAIL SALES DATA.'!$C$2:$C$1001,South!A17,'RETAIL SALES DATA.'!$E$2:$E$1001,'RETAIL SALES DATA.'!$E$2)</f>
        <v>313897.08000000007</v>
      </c>
      <c r="D17" s="13">
        <f>SUMIFS('RETAIL SALES DATA.'!$J$2:$J$1001,'RETAIL SALES DATA.'!$C$2:$C$1001,South!A17,'RETAIL SALES DATA.'!$E$2:$E$1001,'RETAIL SALES DATA.'!$E$2)</f>
        <v>96260.62</v>
      </c>
    </row>
    <row r="18" spans="1:4" x14ac:dyDescent="0.3">
      <c r="A18" s="68" t="s">
        <v>2308</v>
      </c>
      <c r="B18" s="45">
        <f>MAX(B3:B17)</f>
        <v>247</v>
      </c>
      <c r="C18" s="45">
        <f t="shared" ref="C18:D18" si="0">MAX(C3:C17)</f>
        <v>707701.9</v>
      </c>
      <c r="D18" s="45">
        <f t="shared" si="0"/>
        <v>221977.88</v>
      </c>
    </row>
    <row r="19" spans="1:4" x14ac:dyDescent="0.3">
      <c r="A19" s="67" t="s">
        <v>2315</v>
      </c>
      <c r="B19" s="47">
        <f>MIN(B3:B18)</f>
        <v>79</v>
      </c>
      <c r="C19" s="47">
        <f t="shared" ref="C19:D19" si="1">MIN(C3:C18)</f>
        <v>195480.62000000002</v>
      </c>
      <c r="D19" s="47">
        <f t="shared" si="1"/>
        <v>62673.509999999995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6794-5379-488B-BBB5-E3695AA90048}">
  <dimension ref="A1:J19"/>
  <sheetViews>
    <sheetView workbookViewId="0">
      <selection activeCell="A18" sqref="A18:A19"/>
    </sheetView>
  </sheetViews>
  <sheetFormatPr defaultRowHeight="14.4" x14ac:dyDescent="0.3"/>
  <cols>
    <col min="1" max="1" width="11" customWidth="1"/>
    <col min="2" max="2" width="14.21875" customWidth="1"/>
    <col min="3" max="3" width="11" customWidth="1"/>
    <col min="4" max="4" width="10.77734375" customWidth="1"/>
  </cols>
  <sheetData>
    <row r="1" spans="1:10" ht="31.2" x14ac:dyDescent="0.6">
      <c r="A1" s="82" t="s">
        <v>2313</v>
      </c>
      <c r="B1" s="82"/>
      <c r="C1" s="82"/>
      <c r="D1" s="82"/>
    </row>
    <row r="2" spans="1:10" s="2" customFormat="1" x14ac:dyDescent="0.3">
      <c r="A2" s="11" t="s">
        <v>2312</v>
      </c>
      <c r="B2" s="11" t="s">
        <v>2309</v>
      </c>
      <c r="C2" s="11" t="s">
        <v>2310</v>
      </c>
      <c r="D2" s="11" t="s">
        <v>2286</v>
      </c>
      <c r="G2" s="2" t="s">
        <v>2339</v>
      </c>
    </row>
    <row r="3" spans="1:10" x14ac:dyDescent="0.3">
      <c r="A3" s="12" t="str" cm="1">
        <f t="array" ref="A3:A17">_xlfn.UNIQUE('RETAIL SALES DATA.'!C2:C1001)</f>
        <v>Pen</v>
      </c>
      <c r="B3" s="13">
        <f>SUMIFS('RETAIL SALES DATA.'!$F$2:$F$1001,'RETAIL SALES DATA.'!$C$2:$C$1001,North!A3,'RETAIL SALES DATA.'!$E$2:$E$1001,'RETAIL SALES DATA.'!$E$3)</f>
        <v>237</v>
      </c>
      <c r="C3" s="14">
        <f>SUMIFS('RETAIL SALES DATA.'!$H$2:$H$1001,'RETAIL SALES DATA.'!$C$2:$C$1001,North!A3,'RETAIL SALES DATA.'!$E$2:$E$1001,'RETAIL SALES DATA.'!$E$3)</f>
        <v>449510.32000000012</v>
      </c>
      <c r="D3" s="13">
        <f>SUMIFS('RETAIL SALES DATA.'!$J$2:$J$1001,'RETAIL SALES DATA.'!$C$2:$C$1001,North!A3,'RETAIL SALES DATA.'!$E$2:$E$1001,'RETAIL SALES DATA.'!$E$3)</f>
        <v>132195.89000000001</v>
      </c>
      <c r="G3" s="2" t="s">
        <v>2340</v>
      </c>
      <c r="H3" s="2"/>
      <c r="I3" s="2"/>
      <c r="J3" s="2"/>
    </row>
    <row r="4" spans="1:10" x14ac:dyDescent="0.3">
      <c r="A4" s="12" t="str">
        <v>Desk</v>
      </c>
      <c r="B4" s="45">
        <f>SUMIFS('RETAIL SALES DATA.'!$F$2:$F$1001,'RETAIL SALES DATA.'!$C$2:$C$1001,North!A4,'RETAIL SALES DATA.'!$E$2:$E$1001,'RETAIL SALES DATA.'!$E$3)</f>
        <v>256</v>
      </c>
      <c r="C4" s="46">
        <f>SUMIFS('RETAIL SALES DATA.'!$H$2:$H$1001,'RETAIL SALES DATA.'!$C$2:$C$1001,North!A4,'RETAIL SALES DATA.'!$E$2:$E$1001,'RETAIL SALES DATA.'!$E$3)</f>
        <v>635807.82000000007</v>
      </c>
      <c r="D4" s="45">
        <f>SUMIFS('RETAIL SALES DATA.'!$J$2:$J$1001,'RETAIL SALES DATA.'!$C$2:$C$1001,North!A4,'RETAIL SALES DATA.'!$E$2:$E$1001,'RETAIL SALES DATA.'!$E$3)</f>
        <v>205688.42999999996</v>
      </c>
    </row>
    <row r="5" spans="1:10" x14ac:dyDescent="0.3">
      <c r="A5" s="12" t="str">
        <v>Marker</v>
      </c>
      <c r="B5" s="13">
        <f>SUMIFS('RETAIL SALES DATA.'!$F$2:$F$1001,'RETAIL SALES DATA.'!$C$2:$C$1001,North!A5,'RETAIL SALES DATA.'!$E$2:$E$1001,'RETAIL SALES DATA.'!$E$3)</f>
        <v>136</v>
      </c>
      <c r="C5" s="14">
        <f>SUMIFS('RETAIL SALES DATA.'!$H$2:$H$1001,'RETAIL SALES DATA.'!$C$2:$C$1001,North!A5,'RETAIL SALES DATA.'!$E$2:$E$1001,'RETAIL SALES DATA.'!$E$3)</f>
        <v>420564.88999999996</v>
      </c>
      <c r="D5" s="13">
        <f>SUMIFS('RETAIL SALES DATA.'!$J$2:$J$1001,'RETAIL SALES DATA.'!$C$2:$C$1001,North!A5,'RETAIL SALES DATA.'!$E$2:$E$1001,'RETAIL SALES DATA.'!$E$3)</f>
        <v>115515.33999999997</v>
      </c>
    </row>
    <row r="6" spans="1:10" x14ac:dyDescent="0.3">
      <c r="A6" s="12" t="str">
        <v>Laptop</v>
      </c>
      <c r="B6" s="13">
        <f>SUMIFS('RETAIL SALES DATA.'!$F$2:$F$1001,'RETAIL SALES DATA.'!$C$2:$C$1001,North!A6,'RETAIL SALES DATA.'!$E$2:$E$1001,'RETAIL SALES DATA.'!$E$3)</f>
        <v>169</v>
      </c>
      <c r="C6" s="14">
        <f>SUMIFS('RETAIL SALES DATA.'!$H$2:$H$1001,'RETAIL SALES DATA.'!$C$2:$C$1001,North!A6,'RETAIL SALES DATA.'!$E$2:$E$1001,'RETAIL SALES DATA.'!$E$3)</f>
        <v>473103.68000000005</v>
      </c>
      <c r="D6" s="13">
        <f>SUMIFS('RETAIL SALES DATA.'!$J$2:$J$1001,'RETAIL SALES DATA.'!$C$2:$C$1001,North!A6,'RETAIL SALES DATA.'!$E$2:$E$1001,'RETAIL SALES DATA.'!$E$3)</f>
        <v>121036.37</v>
      </c>
    </row>
    <row r="7" spans="1:10" x14ac:dyDescent="0.3">
      <c r="A7" s="12" t="str">
        <v>Mouse</v>
      </c>
      <c r="B7" s="13">
        <f>SUMIFS('RETAIL SALES DATA.'!$F$2:$F$1001,'RETAIL SALES DATA.'!$C$2:$C$1001,North!A7,'RETAIL SALES DATA.'!$E$2:$E$1001,'RETAIL SALES DATA.'!$E$3)</f>
        <v>205</v>
      </c>
      <c r="C7" s="14">
        <f>SUMIFS('RETAIL SALES DATA.'!$H$2:$H$1001,'RETAIL SALES DATA.'!$C$2:$C$1001,North!A7,'RETAIL SALES DATA.'!$E$2:$E$1001,'RETAIL SALES DATA.'!$E$3)</f>
        <v>537157.60000000009</v>
      </c>
      <c r="D7" s="13">
        <f>SUMIFS('RETAIL SALES DATA.'!$J$2:$J$1001,'RETAIL SALES DATA.'!$C$2:$C$1001,North!A7,'RETAIL SALES DATA.'!$E$2:$E$1001,'RETAIL SALES DATA.'!$E$3)</f>
        <v>161196.67000000001</v>
      </c>
    </row>
    <row r="8" spans="1:10" x14ac:dyDescent="0.3">
      <c r="A8" s="12" t="str">
        <v>Notebook</v>
      </c>
      <c r="B8" s="13">
        <f>SUMIFS('RETAIL SALES DATA.'!$F$2:$F$1001,'RETAIL SALES DATA.'!$C$2:$C$1001,North!A8,'RETAIL SALES DATA.'!$E$2:$E$1001,'RETAIL SALES DATA.'!$E$3)</f>
        <v>218</v>
      </c>
      <c r="C8" s="14">
        <f>SUMIFS('RETAIL SALES DATA.'!$H$2:$H$1001,'RETAIL SALES DATA.'!$C$2:$C$1001,North!A8,'RETAIL SALES DATA.'!$E$2:$E$1001,'RETAIL SALES DATA.'!$E$3)</f>
        <v>490517.17</v>
      </c>
      <c r="D8" s="13">
        <f>SUMIFS('RETAIL SALES DATA.'!$J$2:$J$1001,'RETAIL SALES DATA.'!$C$2:$C$1001,North!A8,'RETAIL SALES DATA.'!$E$2:$E$1001,'RETAIL SALES DATA.'!$E$3)</f>
        <v>158019.60999999999</v>
      </c>
    </row>
    <row r="9" spans="1:10" x14ac:dyDescent="0.3">
      <c r="A9" s="12" t="str">
        <v>Table</v>
      </c>
      <c r="B9" s="13">
        <f>SUMIFS('RETAIL SALES DATA.'!$F$2:$F$1001,'RETAIL SALES DATA.'!$C$2:$C$1001,North!A9,'RETAIL SALES DATA.'!$E$2:$E$1001,'RETAIL SALES DATA.'!$E$3)</f>
        <v>169</v>
      </c>
      <c r="C9" s="14">
        <f>SUMIFS('RETAIL SALES DATA.'!$H$2:$H$1001,'RETAIL SALES DATA.'!$C$2:$C$1001,North!A9,'RETAIL SALES DATA.'!$E$2:$E$1001,'RETAIL SALES DATA.'!$E$3)</f>
        <v>355537.4</v>
      </c>
      <c r="D9" s="13">
        <f>SUMIFS('RETAIL SALES DATA.'!$J$2:$J$1001,'RETAIL SALES DATA.'!$C$2:$C$1001,North!A9,'RETAIL SALES DATA.'!$E$2:$E$1001,'RETAIL SALES DATA.'!$E$3)</f>
        <v>111001.13</v>
      </c>
    </row>
    <row r="10" spans="1:10" x14ac:dyDescent="0.3">
      <c r="A10" s="12" t="str">
        <v>Chair</v>
      </c>
      <c r="B10" s="13">
        <f>SUMIFS('RETAIL SALES DATA.'!$F$2:$F$1001,'RETAIL SALES DATA.'!$C$2:$C$1001,North!A10,'RETAIL SALES DATA.'!$E$2:$E$1001,'RETAIL SALES DATA.'!$E$3)</f>
        <v>137</v>
      </c>
      <c r="C10" s="14">
        <f>SUMIFS('RETAIL SALES DATA.'!$H$2:$H$1001,'RETAIL SALES DATA.'!$C$2:$C$1001,North!A10,'RETAIL SALES DATA.'!$E$2:$E$1001,'RETAIL SALES DATA.'!$E$3)</f>
        <v>401400.85</v>
      </c>
      <c r="D10" s="13">
        <f>SUMIFS('RETAIL SALES DATA.'!$J$2:$J$1001,'RETAIL SALES DATA.'!$C$2:$C$1001,North!A10,'RETAIL SALES DATA.'!$E$2:$E$1001,'RETAIL SALES DATA.'!$E$3)</f>
        <v>136559.66</v>
      </c>
    </row>
    <row r="11" spans="1:10" x14ac:dyDescent="0.3">
      <c r="A11" s="12" t="str">
        <v>Cupboard</v>
      </c>
      <c r="B11" s="13">
        <f>SUMIFS('RETAIL SALES DATA.'!$F$2:$F$1001,'RETAIL SALES DATA.'!$C$2:$C$1001,North!A11,'RETAIL SALES DATA.'!$E$2:$E$1001,'RETAIL SALES DATA.'!$E$3)</f>
        <v>145</v>
      </c>
      <c r="C11" s="14">
        <f>SUMIFS('RETAIL SALES DATA.'!$H$2:$H$1001,'RETAIL SALES DATA.'!$C$2:$C$1001,North!A11,'RETAIL SALES DATA.'!$E$2:$E$1001,'RETAIL SALES DATA.'!$E$3)</f>
        <v>457146.23000000004</v>
      </c>
      <c r="D11" s="13">
        <f>SUMIFS('RETAIL SALES DATA.'!$J$2:$J$1001,'RETAIL SALES DATA.'!$C$2:$C$1001,North!A11,'RETAIL SALES DATA.'!$E$2:$E$1001,'RETAIL SALES DATA.'!$E$3)</f>
        <v>157077.27999999997</v>
      </c>
    </row>
    <row r="12" spans="1:10" x14ac:dyDescent="0.3">
      <c r="A12" s="12" t="str">
        <v>Printer</v>
      </c>
      <c r="B12" s="13">
        <f>SUMIFS('RETAIL SALES DATA.'!$F$2:$F$1001,'RETAIL SALES DATA.'!$C$2:$C$1001,North!A12,'RETAIL SALES DATA.'!$E$2:$E$1001,'RETAIL SALES DATA.'!$E$3)</f>
        <v>196</v>
      </c>
      <c r="C12" s="14">
        <f>SUMIFS('RETAIL SALES DATA.'!$H$2:$H$1001,'RETAIL SALES DATA.'!$C$2:$C$1001,North!A12,'RETAIL SALES DATA.'!$E$2:$E$1001,'RETAIL SALES DATA.'!$E$3)</f>
        <v>494762.62000000005</v>
      </c>
      <c r="D12" s="13">
        <f>SUMIFS('RETAIL SALES DATA.'!$J$2:$J$1001,'RETAIL SALES DATA.'!$C$2:$C$1001,North!A12,'RETAIL SALES DATA.'!$E$2:$E$1001,'RETAIL SALES DATA.'!$E$3)</f>
        <v>117083.44000000002</v>
      </c>
    </row>
    <row r="13" spans="1:10" x14ac:dyDescent="0.3">
      <c r="A13" s="12" t="str">
        <v>Sofa</v>
      </c>
      <c r="B13" s="13">
        <f>SUMIFS('RETAIL SALES DATA.'!$F$2:$F$1001,'RETAIL SALES DATA.'!$C$2:$C$1001,North!A13,'RETAIL SALES DATA.'!$E$2:$E$1001,'RETAIL SALES DATA.'!$E$3)</f>
        <v>130</v>
      </c>
      <c r="C13" s="14">
        <f>SUMIFS('RETAIL SALES DATA.'!$H$2:$H$1001,'RETAIL SALES DATA.'!$C$2:$C$1001,North!A13,'RETAIL SALES DATA.'!$E$2:$E$1001,'RETAIL SALES DATA.'!$E$3)</f>
        <v>348014.41000000003</v>
      </c>
      <c r="D13" s="13">
        <f>SUMIFS('RETAIL SALES DATA.'!$J$2:$J$1001,'RETAIL SALES DATA.'!$C$2:$C$1001,North!A13,'RETAIL SALES DATA.'!$E$2:$E$1001,'RETAIL SALES DATA.'!$E$3)</f>
        <v>115701.15</v>
      </c>
    </row>
    <row r="14" spans="1:10" x14ac:dyDescent="0.3">
      <c r="A14" s="12" t="str">
        <v>File</v>
      </c>
      <c r="B14" s="13">
        <f>SUMIFS('RETAIL SALES DATA.'!$F$2:$F$1001,'RETAIL SALES DATA.'!$C$2:$C$1001,North!A14,'RETAIL SALES DATA.'!$E$2:$E$1001,'RETAIL SALES DATA.'!$E$3)</f>
        <v>189</v>
      </c>
      <c r="C14" s="14">
        <f>SUMIFS('RETAIL SALES DATA.'!$H$2:$H$1001,'RETAIL SALES DATA.'!$C$2:$C$1001,North!A14,'RETAIL SALES DATA.'!$E$2:$E$1001,'RETAIL SALES DATA.'!$E$3)</f>
        <v>571492.25</v>
      </c>
      <c r="D14" s="13">
        <f>SUMIFS('RETAIL SALES DATA.'!$J$2:$J$1001,'RETAIL SALES DATA.'!$C$2:$C$1001,North!A14,'RETAIL SALES DATA.'!$E$2:$E$1001,'RETAIL SALES DATA.'!$E$3)</f>
        <v>175383.18000000002</v>
      </c>
    </row>
    <row r="15" spans="1:10" x14ac:dyDescent="0.3">
      <c r="A15" s="12" t="str">
        <v>Keyboard</v>
      </c>
      <c r="B15" s="13">
        <f>SUMIFS('RETAIL SALES DATA.'!$F$2:$F$1001,'RETAIL SALES DATA.'!$C$2:$C$1001,North!A15,'RETAIL SALES DATA.'!$E$2:$E$1001,'RETAIL SALES DATA.'!$E$3)</f>
        <v>163</v>
      </c>
      <c r="C15" s="14">
        <f>SUMIFS('RETAIL SALES DATA.'!$H$2:$H$1001,'RETAIL SALES DATA.'!$C$2:$C$1001,North!A15,'RETAIL SALES DATA.'!$E$2:$E$1001,'RETAIL SALES DATA.'!$E$3)</f>
        <v>352281.88999999996</v>
      </c>
      <c r="D15" s="13">
        <f>SUMIFS('RETAIL SALES DATA.'!$J$2:$J$1001,'RETAIL SALES DATA.'!$C$2:$C$1001,North!A15,'RETAIL SALES DATA.'!$E$2:$E$1001,'RETAIL SALES DATA.'!$E$3)</f>
        <v>101354.62999999999</v>
      </c>
    </row>
    <row r="16" spans="1:10" x14ac:dyDescent="0.3">
      <c r="A16" s="12" t="str">
        <v>Monitor</v>
      </c>
      <c r="B16" s="13">
        <f>SUMIFS('RETAIL SALES DATA.'!$F$2:$F$1001,'RETAIL SALES DATA.'!$C$2:$C$1001,North!A16,'RETAIL SALES DATA.'!$E$2:$E$1001,'RETAIL SALES DATA.'!$E$3)</f>
        <v>156</v>
      </c>
      <c r="C16" s="14">
        <f>SUMIFS('RETAIL SALES DATA.'!$H$2:$H$1001,'RETAIL SALES DATA.'!$C$2:$C$1001,North!A16,'RETAIL SALES DATA.'!$E$2:$E$1001,'RETAIL SALES DATA.'!$E$3)</f>
        <v>339421.34</v>
      </c>
      <c r="D16" s="13">
        <f>SUMIFS('RETAIL SALES DATA.'!$J$2:$J$1001,'RETAIL SALES DATA.'!$C$2:$C$1001,North!A16,'RETAIL SALES DATA.'!$E$2:$E$1001,'RETAIL SALES DATA.'!$E$3)</f>
        <v>109108.78000000001</v>
      </c>
    </row>
    <row r="17" spans="1:4" x14ac:dyDescent="0.3">
      <c r="A17" s="12" t="str">
        <v>Smartphone</v>
      </c>
      <c r="B17" s="47">
        <f>SUMIFS('RETAIL SALES DATA.'!$F$2:$F$1001,'RETAIL SALES DATA.'!$C$2:$C$1001,North!A17,'RETAIL SALES DATA.'!$E$2:$E$1001,'RETAIL SALES DATA.'!$E$3)</f>
        <v>110</v>
      </c>
      <c r="C17" s="48">
        <f>SUMIFS('RETAIL SALES DATA.'!$H$2:$H$1001,'RETAIL SALES DATA.'!$C$2:$C$1001,North!A17,'RETAIL SALES DATA.'!$E$2:$E$1001,'RETAIL SALES DATA.'!$E$3)</f>
        <v>327262.44999999995</v>
      </c>
      <c r="D17" s="47">
        <f>SUMIFS('RETAIL SALES DATA.'!$J$2:$J$1001,'RETAIL SALES DATA.'!$C$2:$C$1001,North!A17,'RETAIL SALES DATA.'!$E$2:$E$1001,'RETAIL SALES DATA.'!$E$3)</f>
        <v>79919.790000000023</v>
      </c>
    </row>
    <row r="18" spans="1:4" x14ac:dyDescent="0.3">
      <c r="A18" s="69" t="s">
        <v>2308</v>
      </c>
      <c r="B18" s="45">
        <f>MAX(B3:B17)</f>
        <v>256</v>
      </c>
      <c r="C18" s="45">
        <f t="shared" ref="C18:D18" si="0">MAX(C3:C17)</f>
        <v>635807.82000000007</v>
      </c>
      <c r="D18" s="45">
        <f t="shared" si="0"/>
        <v>205688.42999999996</v>
      </c>
    </row>
    <row r="19" spans="1:4" x14ac:dyDescent="0.3">
      <c r="A19" s="67" t="s">
        <v>2315</v>
      </c>
      <c r="B19" s="47">
        <f>MIN(B3:B17)</f>
        <v>110</v>
      </c>
      <c r="C19" s="47">
        <f t="shared" ref="C19:D19" si="1">MIN(C3:C17)</f>
        <v>327262.44999999995</v>
      </c>
      <c r="D19" s="47">
        <f t="shared" si="1"/>
        <v>79919.790000000023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C3E0-43A7-45C0-90C8-D68B7258118E}">
  <dimension ref="A1:G19"/>
  <sheetViews>
    <sheetView workbookViewId="0">
      <selection activeCell="J13" sqref="J13"/>
    </sheetView>
  </sheetViews>
  <sheetFormatPr defaultRowHeight="14.4" x14ac:dyDescent="0.3"/>
  <cols>
    <col min="1" max="1" width="10.77734375" customWidth="1"/>
    <col min="2" max="2" width="16" customWidth="1"/>
    <col min="3" max="3" width="12.21875" customWidth="1"/>
    <col min="4" max="4" width="12" customWidth="1"/>
  </cols>
  <sheetData>
    <row r="1" spans="1:7" ht="33.6" x14ac:dyDescent="0.65">
      <c r="A1" s="83" t="s">
        <v>2314</v>
      </c>
      <c r="B1" s="83"/>
      <c r="C1" s="83"/>
      <c r="D1" s="83"/>
    </row>
    <row r="2" spans="1:7" s="2" customFormat="1" x14ac:dyDescent="0.3">
      <c r="A2" s="11" t="s">
        <v>2312</v>
      </c>
      <c r="B2" s="11" t="s">
        <v>2309</v>
      </c>
      <c r="C2" s="11" t="s">
        <v>2310</v>
      </c>
      <c r="D2" s="11" t="s">
        <v>2286</v>
      </c>
      <c r="G2" s="2" t="s">
        <v>2337</v>
      </c>
    </row>
    <row r="3" spans="1:7" x14ac:dyDescent="0.3">
      <c r="A3" s="12" t="str" cm="1">
        <f t="array" ref="A3:A17">_xlfn.UNIQUE('RETAIL SALES DATA.'!C2:C1001)</f>
        <v>Pen</v>
      </c>
      <c r="B3" s="13">
        <f>SUMIFS('RETAIL SALES DATA.'!$F$2:$F$1001,'RETAIL SALES DATA.'!$C$2:$C$1001,West!A3,'RETAIL SALES DATA.'!$E$2:$E$1001,'RETAIL SALES DATA.'!$E$4)</f>
        <v>216</v>
      </c>
      <c r="C3" s="13">
        <f>SUMIFS('RETAIL SALES DATA.'!$H$2:$H$1001,'RETAIL SALES DATA.'!$C$2:$C$1001,West!A3,'RETAIL SALES DATA.'!$E$2:$E$1001,'RETAIL SALES DATA.'!$E$4)</f>
        <v>622147.78</v>
      </c>
      <c r="D3" s="13">
        <f>SUMIFS('RETAIL SALES DATA.'!$J$2:$J$1001,'RETAIL SALES DATA.'!$C$2:$C$1001,West!A3,'RETAIL SALES DATA.'!$E$2:$E$1001,'RETAIL SALES DATA.'!$E$4)</f>
        <v>195996.34000000003</v>
      </c>
      <c r="G3" s="2" t="s">
        <v>2338</v>
      </c>
    </row>
    <row r="4" spans="1:7" x14ac:dyDescent="0.3">
      <c r="A4" s="12" t="str">
        <v>Desk</v>
      </c>
      <c r="B4" s="13">
        <f>SUMIFS('RETAIL SALES DATA.'!$F$2:$F$1001,'RETAIL SALES DATA.'!$C$2:$C$1001,West!A4,'RETAIL SALES DATA.'!$E$2:$E$1001,'RETAIL SALES DATA.'!$E$4)</f>
        <v>214</v>
      </c>
      <c r="C4" s="13">
        <f>SUMIFS('RETAIL SALES DATA.'!$H$2:$H$1001,'RETAIL SALES DATA.'!$C$2:$C$1001,West!A4,'RETAIL SALES DATA.'!$E$2:$E$1001,'RETAIL SALES DATA.'!$E$4)</f>
        <v>556768.7699999999</v>
      </c>
      <c r="D4" s="13">
        <f>SUMIFS('RETAIL SALES DATA.'!$J$2:$J$1001,'RETAIL SALES DATA.'!$C$2:$C$1001,West!A4,'RETAIL SALES DATA.'!$E$2:$E$1001,'RETAIL SALES DATA.'!$E$4)</f>
        <v>213073.27000000008</v>
      </c>
    </row>
    <row r="5" spans="1:7" x14ac:dyDescent="0.3">
      <c r="A5" s="12" t="str">
        <v>Marker</v>
      </c>
      <c r="B5" s="13">
        <f>SUMIFS('RETAIL SALES DATA.'!$F$2:$F$1001,'RETAIL SALES DATA.'!$C$2:$C$1001,West!A5,'RETAIL SALES DATA.'!$E$2:$E$1001,'RETAIL SALES DATA.'!$E$4)</f>
        <v>171</v>
      </c>
      <c r="C5" s="47">
        <f>SUMIFS('RETAIL SALES DATA.'!$H$2:$H$1001,'RETAIL SALES DATA.'!$C$2:$C$1001,West!A5,'RETAIL SALES DATA.'!$E$2:$E$1001,'RETAIL SALES DATA.'!$E$4)</f>
        <v>342580.15</v>
      </c>
      <c r="D5" s="13">
        <f>SUMIFS('RETAIL SALES DATA.'!$J$2:$J$1001,'RETAIL SALES DATA.'!$C$2:$C$1001,West!A5,'RETAIL SALES DATA.'!$E$2:$E$1001,'RETAIL SALES DATA.'!$E$4)</f>
        <v>127258.45999999999</v>
      </c>
    </row>
    <row r="6" spans="1:7" x14ac:dyDescent="0.3">
      <c r="A6" s="12" t="str">
        <v>Laptop</v>
      </c>
      <c r="B6" s="13">
        <f>SUMIFS('RETAIL SALES DATA.'!$F$2:$F$1001,'RETAIL SALES DATA.'!$C$2:$C$1001,West!A6,'RETAIL SALES DATA.'!$E$2:$E$1001,'RETAIL SALES DATA.'!$E$4)</f>
        <v>211</v>
      </c>
      <c r="C6" s="13">
        <f>SUMIFS('RETAIL SALES DATA.'!$H$2:$H$1001,'RETAIL SALES DATA.'!$C$2:$C$1001,West!A6,'RETAIL SALES DATA.'!$E$2:$E$1001,'RETAIL SALES DATA.'!$E$4)</f>
        <v>509056.38</v>
      </c>
      <c r="D6" s="13">
        <f>SUMIFS('RETAIL SALES DATA.'!$J$2:$J$1001,'RETAIL SALES DATA.'!$C$2:$C$1001,West!A6,'RETAIL SALES DATA.'!$E$2:$E$1001,'RETAIL SALES DATA.'!$E$4)</f>
        <v>177437.24999999997</v>
      </c>
    </row>
    <row r="7" spans="1:7" x14ac:dyDescent="0.3">
      <c r="A7" s="12" t="str">
        <v>Mouse</v>
      </c>
      <c r="B7" s="13">
        <f>SUMIFS('RETAIL SALES DATA.'!$F$2:$F$1001,'RETAIL SALES DATA.'!$C$2:$C$1001,West!A7,'RETAIL SALES DATA.'!$E$2:$E$1001,'RETAIL SALES DATA.'!$E$4)</f>
        <v>167</v>
      </c>
      <c r="C7" s="13">
        <f>SUMIFS('RETAIL SALES DATA.'!$H$2:$H$1001,'RETAIL SALES DATA.'!$C$2:$C$1001,West!A7,'RETAIL SALES DATA.'!$E$2:$E$1001,'RETAIL SALES DATA.'!$E$4)</f>
        <v>458244.00999999995</v>
      </c>
      <c r="D7" s="13">
        <f>SUMIFS('RETAIL SALES DATA.'!$J$2:$J$1001,'RETAIL SALES DATA.'!$C$2:$C$1001,West!A7,'RETAIL SALES DATA.'!$E$2:$E$1001,'RETAIL SALES DATA.'!$E$4)</f>
        <v>136713.97999999998</v>
      </c>
    </row>
    <row r="8" spans="1:7" x14ac:dyDescent="0.3">
      <c r="A8" s="12" t="str">
        <v>Notebook</v>
      </c>
      <c r="B8" s="13">
        <f>SUMIFS('RETAIL SALES DATA.'!$F$2:$F$1001,'RETAIL SALES DATA.'!$C$2:$C$1001,West!A8,'RETAIL SALES DATA.'!$E$2:$E$1001,'RETAIL SALES DATA.'!$E$4)</f>
        <v>164</v>
      </c>
      <c r="C8" s="13">
        <f>SUMIFS('RETAIL SALES DATA.'!$H$2:$H$1001,'RETAIL SALES DATA.'!$C$2:$C$1001,West!A8,'RETAIL SALES DATA.'!$E$2:$E$1001,'RETAIL SALES DATA.'!$E$4)</f>
        <v>443183.13999999996</v>
      </c>
      <c r="D8" s="13">
        <f>SUMIFS('RETAIL SALES DATA.'!$J$2:$J$1001,'RETAIL SALES DATA.'!$C$2:$C$1001,West!A8,'RETAIL SALES DATA.'!$E$2:$E$1001,'RETAIL SALES DATA.'!$E$4)</f>
        <v>131113.78</v>
      </c>
    </row>
    <row r="9" spans="1:7" x14ac:dyDescent="0.3">
      <c r="A9" s="12" t="str">
        <v>Table</v>
      </c>
      <c r="B9" s="13">
        <f>SUMIFS('RETAIL SALES DATA.'!$F$2:$F$1001,'RETAIL SALES DATA.'!$C$2:$C$1001,West!A9,'RETAIL SALES DATA.'!$E$2:$E$1001,'RETAIL SALES DATA.'!$E$4)</f>
        <v>220</v>
      </c>
      <c r="C9" s="13">
        <f>SUMIFS('RETAIL SALES DATA.'!$H$2:$H$1001,'RETAIL SALES DATA.'!$C$2:$C$1001,West!A9,'RETAIL SALES DATA.'!$E$2:$E$1001,'RETAIL SALES DATA.'!$E$4)</f>
        <v>538064.13</v>
      </c>
      <c r="D9" s="13">
        <f>SUMIFS('RETAIL SALES DATA.'!$J$2:$J$1001,'RETAIL SALES DATA.'!$C$2:$C$1001,West!A9,'RETAIL SALES DATA.'!$E$2:$E$1001,'RETAIL SALES DATA.'!$E$4)</f>
        <v>147838.77999999994</v>
      </c>
    </row>
    <row r="10" spans="1:7" x14ac:dyDescent="0.3">
      <c r="A10" s="12" t="str">
        <v>Chair</v>
      </c>
      <c r="B10" s="45">
        <f>SUMIFS('RETAIL SALES DATA.'!$F$2:$F$1001,'RETAIL SALES DATA.'!$C$2:$C$1001,West!A10,'RETAIL SALES DATA.'!$E$2:$E$1001,'RETAIL SALES DATA.'!$E$4)</f>
        <v>237</v>
      </c>
      <c r="C10" s="45">
        <f>SUMIFS('RETAIL SALES DATA.'!$H$2:$H$1001,'RETAIL SALES DATA.'!$C$2:$C$1001,West!A10,'RETAIL SALES DATA.'!$E$2:$E$1001,'RETAIL SALES DATA.'!$E$4)</f>
        <v>665870.47000000009</v>
      </c>
      <c r="D10" s="45">
        <f>SUMIFS('RETAIL SALES DATA.'!$J$2:$J$1001,'RETAIL SALES DATA.'!$C$2:$C$1001,West!A10,'RETAIL SALES DATA.'!$E$2:$E$1001,'RETAIL SALES DATA.'!$E$4)</f>
        <v>253854.63</v>
      </c>
    </row>
    <row r="11" spans="1:7" x14ac:dyDescent="0.3">
      <c r="A11" s="12" t="str">
        <v>Cupboard</v>
      </c>
      <c r="B11" s="13">
        <f>SUMIFS('RETAIL SALES DATA.'!$F$2:$F$1001,'RETAIL SALES DATA.'!$C$2:$C$1001,West!A11,'RETAIL SALES DATA.'!$E$2:$E$1001,'RETAIL SALES DATA.'!$E$4)</f>
        <v>213</v>
      </c>
      <c r="C11" s="13">
        <f>SUMIFS('RETAIL SALES DATA.'!$H$2:$H$1001,'RETAIL SALES DATA.'!$C$2:$C$1001,West!A11,'RETAIL SALES DATA.'!$E$2:$E$1001,'RETAIL SALES DATA.'!$E$4)</f>
        <v>624121.91999999993</v>
      </c>
      <c r="D11" s="13">
        <f>SUMIFS('RETAIL SALES DATA.'!$J$2:$J$1001,'RETAIL SALES DATA.'!$C$2:$C$1001,West!A11,'RETAIL SALES DATA.'!$E$2:$E$1001,'RETAIL SALES DATA.'!$E$4)</f>
        <v>192071.49</v>
      </c>
    </row>
    <row r="12" spans="1:7" x14ac:dyDescent="0.3">
      <c r="A12" s="12" t="str">
        <v>Printer</v>
      </c>
      <c r="B12" s="13">
        <f>SUMIFS('RETAIL SALES DATA.'!$F$2:$F$1001,'RETAIL SALES DATA.'!$C$2:$C$1001,West!A12,'RETAIL SALES DATA.'!$E$2:$E$1001,'RETAIL SALES DATA.'!$E$4)</f>
        <v>213</v>
      </c>
      <c r="C12" s="13">
        <f>SUMIFS('RETAIL SALES DATA.'!$H$2:$H$1001,'RETAIL SALES DATA.'!$C$2:$C$1001,West!A12,'RETAIL SALES DATA.'!$E$2:$E$1001,'RETAIL SALES DATA.'!$E$4)</f>
        <v>526313.54000000015</v>
      </c>
      <c r="D12" s="13">
        <f>SUMIFS('RETAIL SALES DATA.'!$J$2:$J$1001,'RETAIL SALES DATA.'!$C$2:$C$1001,West!A12,'RETAIL SALES DATA.'!$E$2:$E$1001,'RETAIL SALES DATA.'!$E$4)</f>
        <v>177243.04999999996</v>
      </c>
    </row>
    <row r="13" spans="1:7" x14ac:dyDescent="0.3">
      <c r="A13" s="12" t="str">
        <v>Sofa</v>
      </c>
      <c r="B13" s="47">
        <f>SUMIFS('RETAIL SALES DATA.'!$F$2:$F$1001,'RETAIL SALES DATA.'!$C$2:$C$1001,West!A13,'RETAIL SALES DATA.'!$E$2:$E$1001,'RETAIL SALES DATA.'!$E$4)</f>
        <v>160</v>
      </c>
      <c r="C13" s="71">
        <f>SUMIFS('RETAIL SALES DATA.'!$H$2:$H$1001,'RETAIL SALES DATA.'!$C$2:$C$1001,West!A13,'RETAIL SALES DATA.'!$E$2:$E$1001,'RETAIL SALES DATA.'!$E$4)</f>
        <v>400222.97</v>
      </c>
      <c r="D13" s="47">
        <f>SUMIFS('RETAIL SALES DATA.'!$J$2:$J$1001,'RETAIL SALES DATA.'!$C$2:$C$1001,West!A13,'RETAIL SALES DATA.'!$E$2:$E$1001,'RETAIL SALES DATA.'!$E$4)</f>
        <v>122342.68999999999</v>
      </c>
    </row>
    <row r="14" spans="1:7" x14ac:dyDescent="0.3">
      <c r="A14" s="12" t="str">
        <v>File</v>
      </c>
      <c r="B14" s="13">
        <f>SUMIFS('RETAIL SALES DATA.'!$F$2:$F$1001,'RETAIL SALES DATA.'!$C$2:$C$1001,West!A14,'RETAIL SALES DATA.'!$E$2:$E$1001,'RETAIL SALES DATA.'!$E$4)</f>
        <v>195</v>
      </c>
      <c r="C14" s="13">
        <f>SUMIFS('RETAIL SALES DATA.'!$H$2:$H$1001,'RETAIL SALES DATA.'!$C$2:$C$1001,West!A14,'RETAIL SALES DATA.'!$E$2:$E$1001,'RETAIL SALES DATA.'!$E$4)</f>
        <v>432744.57999999996</v>
      </c>
      <c r="D14" s="13">
        <f>SUMIFS('RETAIL SALES DATA.'!$J$2:$J$1001,'RETAIL SALES DATA.'!$C$2:$C$1001,West!A14,'RETAIL SALES DATA.'!$E$2:$E$1001,'RETAIL SALES DATA.'!$E$4)</f>
        <v>148810.93</v>
      </c>
    </row>
    <row r="15" spans="1:7" x14ac:dyDescent="0.3">
      <c r="A15" s="12" t="str">
        <v>Keyboard</v>
      </c>
      <c r="B15" s="13">
        <f>SUMIFS('RETAIL SALES DATA.'!$F$2:$F$1001,'RETAIL SALES DATA.'!$C$2:$C$1001,West!A15,'RETAIL SALES DATA.'!$E$2:$E$1001,'RETAIL SALES DATA.'!$E$4)</f>
        <v>189</v>
      </c>
      <c r="C15" s="13">
        <f>SUMIFS('RETAIL SALES DATA.'!$H$2:$H$1001,'RETAIL SALES DATA.'!$C$2:$C$1001,West!A15,'RETAIL SALES DATA.'!$E$2:$E$1001,'RETAIL SALES DATA.'!$E$4)</f>
        <v>538098.6399999999</v>
      </c>
      <c r="D15" s="13">
        <f>SUMIFS('RETAIL SALES DATA.'!$J$2:$J$1001,'RETAIL SALES DATA.'!$C$2:$C$1001,West!A15,'RETAIL SALES DATA.'!$E$2:$E$1001,'RETAIL SALES DATA.'!$E$4)</f>
        <v>173888.22999999998</v>
      </c>
    </row>
    <row r="16" spans="1:7" x14ac:dyDescent="0.3">
      <c r="A16" s="12" t="str">
        <v>Monitor</v>
      </c>
      <c r="B16" s="13">
        <f>SUMIFS('RETAIL SALES DATA.'!$F$2:$F$1001,'RETAIL SALES DATA.'!$C$2:$C$1001,West!A16,'RETAIL SALES DATA.'!$E$2:$E$1001,'RETAIL SALES DATA.'!$E$4)</f>
        <v>183</v>
      </c>
      <c r="C16" s="13">
        <f>SUMIFS('RETAIL SALES DATA.'!$H$2:$H$1001,'RETAIL SALES DATA.'!$C$2:$C$1001,West!A16,'RETAIL SALES DATA.'!$E$2:$E$1001,'RETAIL SALES DATA.'!$E$4)</f>
        <v>568665.42000000004</v>
      </c>
      <c r="D16" s="13">
        <f>SUMIFS('RETAIL SALES DATA.'!$J$2:$J$1001,'RETAIL SALES DATA.'!$C$2:$C$1001,West!A16,'RETAIL SALES DATA.'!$E$2:$E$1001,'RETAIL SALES DATA.'!$E$4)</f>
        <v>197191.94</v>
      </c>
    </row>
    <row r="17" spans="1:4" x14ac:dyDescent="0.3">
      <c r="A17" s="12" t="str">
        <v>Smartphone</v>
      </c>
      <c r="B17" s="13">
        <f>SUMIFS('RETAIL SALES DATA.'!$F$2:$F$1001,'RETAIL SALES DATA.'!$C$2:$C$1001,West!A17,'RETAIL SALES DATA.'!$E$2:$E$1001,'RETAIL SALES DATA.'!$E$4)</f>
        <v>171</v>
      </c>
      <c r="C17" s="13">
        <f>SUMIFS('RETAIL SALES DATA.'!$H$2:$H$1001,'RETAIL SALES DATA.'!$C$2:$C$1001,West!A17,'RETAIL SALES DATA.'!$E$2:$E$1001,'RETAIL SALES DATA.'!$E$4)</f>
        <v>462700.66000000003</v>
      </c>
      <c r="D17" s="13">
        <f>SUMIFS('RETAIL SALES DATA.'!$J$2:$J$1001,'RETAIL SALES DATA.'!$C$2:$C$1001,West!A17,'RETAIL SALES DATA.'!$E$2:$E$1001,'RETAIL SALES DATA.'!$E$4)</f>
        <v>163259.62</v>
      </c>
    </row>
    <row r="18" spans="1:4" x14ac:dyDescent="0.3">
      <c r="A18" s="69" t="s">
        <v>2308</v>
      </c>
      <c r="B18" s="45">
        <f>MAX(B3:B17)</f>
        <v>237</v>
      </c>
      <c r="C18" s="45">
        <f>MAX(C3:C17)</f>
        <v>665870.47000000009</v>
      </c>
      <c r="D18" s="45">
        <f>MAX(D3:D17)</f>
        <v>253854.63</v>
      </c>
    </row>
    <row r="19" spans="1:4" x14ac:dyDescent="0.3">
      <c r="A19" s="69" t="s">
        <v>2315</v>
      </c>
      <c r="B19" s="47">
        <f>MIN(B3:B18)</f>
        <v>160</v>
      </c>
      <c r="C19" s="47">
        <f>MIN(C3:C18)</f>
        <v>342580.15</v>
      </c>
      <c r="D19" s="47">
        <f>MIN(D3:D18)</f>
        <v>122342.68999999999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35B4-737B-4710-90EE-4F22467DAC76}">
  <dimension ref="A1:J19"/>
  <sheetViews>
    <sheetView workbookViewId="0">
      <selection activeCell="A18" sqref="A18:A19"/>
    </sheetView>
  </sheetViews>
  <sheetFormatPr defaultRowHeight="14.4" x14ac:dyDescent="0.3"/>
  <cols>
    <col min="1" max="1" width="13.21875" style="10" customWidth="1"/>
    <col min="2" max="2" width="13.77734375" style="10" customWidth="1"/>
    <col min="3" max="3" width="12.88671875" style="10" customWidth="1"/>
    <col min="4" max="4" width="11.33203125" style="10" customWidth="1"/>
    <col min="5" max="16384" width="8.88671875" style="10"/>
  </cols>
  <sheetData>
    <row r="1" spans="1:10" ht="33.6" x14ac:dyDescent="0.65">
      <c r="A1" s="83" t="s">
        <v>2316</v>
      </c>
      <c r="B1" s="83"/>
      <c r="C1" s="83"/>
      <c r="D1" s="83"/>
    </row>
    <row r="2" spans="1:10" x14ac:dyDescent="0.3">
      <c r="A2" s="11" t="s">
        <v>2312</v>
      </c>
      <c r="B2" s="11" t="s">
        <v>2309</v>
      </c>
      <c r="C2" s="11" t="s">
        <v>2310</v>
      </c>
      <c r="D2" s="11" t="s">
        <v>2286</v>
      </c>
      <c r="G2" s="2" t="s">
        <v>2341</v>
      </c>
      <c r="H2" s="2"/>
      <c r="I2" s="2"/>
      <c r="J2" s="2"/>
    </row>
    <row r="3" spans="1:10" x14ac:dyDescent="0.3">
      <c r="A3" s="12" t="str" cm="1">
        <f t="array" ref="A3:A17">_xlfn.UNIQUE('RETAIL SALES DATA.'!C2:C1001)</f>
        <v>Pen</v>
      </c>
      <c r="B3" s="47">
        <f>SUMIFS('RETAIL SALES DATA.'!$F$2:$F$1001,'RETAIL SALES DATA.'!$C$2:$C$1001,East!A3,'RETAIL SALES DATA.'!$E$2:$E$1001,'RETAIL SALES DATA.'!$E$6)</f>
        <v>101</v>
      </c>
      <c r="C3" s="47">
        <f>SUMIFS('RETAIL SALES DATA.'!$H$2:$H$1001,'RETAIL SALES DATA.'!$C$2:$C$1001,East!A3,'RETAIL SALES DATA.'!$E$2:$E$1001,'RETAIL SALES DATA.'!$E$6)</f>
        <v>184497.13</v>
      </c>
      <c r="D3" s="47">
        <f>SUMIFS('RETAIL SALES DATA.'!$J$2:$J$1001,'RETAIL SALES DATA.'!$C$2:$C$1001,East!A3,'RETAIL SALES DATA.'!$E$2:$E$1001,'RETAIL SALES DATA.'!$E$6)</f>
        <v>48484.69</v>
      </c>
      <c r="G3" s="2" t="s">
        <v>2342</v>
      </c>
      <c r="H3"/>
      <c r="I3"/>
      <c r="J3"/>
    </row>
    <row r="4" spans="1:10" x14ac:dyDescent="0.3">
      <c r="A4" s="12" t="str">
        <v>Desk</v>
      </c>
      <c r="B4" s="13">
        <f>SUMIFS('RETAIL SALES DATA.'!$F$2:$F$1001,'RETAIL SALES DATA.'!$C$2:$C$1001,East!A4,'RETAIL SALES DATA.'!$E$2:$E$1001,'RETAIL SALES DATA.'!$E$6)</f>
        <v>201</v>
      </c>
      <c r="C4" s="13">
        <f>SUMIFS('RETAIL SALES DATA.'!$H$2:$H$1001,'RETAIL SALES DATA.'!$C$2:$C$1001,East!A4,'RETAIL SALES DATA.'!$E$2:$E$1001,'RETAIL SALES DATA.'!$E$6)</f>
        <v>472653.18</v>
      </c>
      <c r="D4" s="13">
        <f>SUMIFS('RETAIL SALES DATA.'!$J$2:$J$1001,'RETAIL SALES DATA.'!$C$2:$C$1001,East!A4,'RETAIL SALES DATA.'!$E$2:$E$1001,'RETAIL SALES DATA.'!$E$6)</f>
        <v>154377.87999999998</v>
      </c>
    </row>
    <row r="5" spans="1:10" x14ac:dyDescent="0.3">
      <c r="A5" s="12" t="str">
        <v>Marker</v>
      </c>
      <c r="B5" s="13">
        <f>SUMIFS('RETAIL SALES DATA.'!$F$2:$F$1001,'RETAIL SALES DATA.'!$C$2:$C$1001,East!A5,'RETAIL SALES DATA.'!$E$2:$E$1001,'RETAIL SALES DATA.'!$E$6)</f>
        <v>184</v>
      </c>
      <c r="C5" s="13">
        <f>SUMIFS('RETAIL SALES DATA.'!$H$2:$H$1001,'RETAIL SALES DATA.'!$C$2:$C$1001,East!A5,'RETAIL SALES DATA.'!$E$2:$E$1001,'RETAIL SALES DATA.'!$E$6)</f>
        <v>441134.81</v>
      </c>
      <c r="D5" s="13">
        <f>SUMIFS('RETAIL SALES DATA.'!$J$2:$J$1001,'RETAIL SALES DATA.'!$C$2:$C$1001,East!A5,'RETAIL SALES DATA.'!$E$2:$E$1001,'RETAIL SALES DATA.'!$E$6)</f>
        <v>140094.35</v>
      </c>
    </row>
    <row r="6" spans="1:10" x14ac:dyDescent="0.3">
      <c r="A6" s="12" t="str">
        <v>Laptop</v>
      </c>
      <c r="B6" s="13">
        <f>SUMIFS('RETAIL SALES DATA.'!$F$2:$F$1001,'RETAIL SALES DATA.'!$C$2:$C$1001,East!A6,'RETAIL SALES DATA.'!$E$2:$E$1001,'RETAIL SALES DATA.'!$E$6)</f>
        <v>210</v>
      </c>
      <c r="C6" s="13">
        <f>SUMIFS('RETAIL SALES DATA.'!$H$2:$H$1001,'RETAIL SALES DATA.'!$C$2:$C$1001,East!A6,'RETAIL SALES DATA.'!$E$2:$E$1001,'RETAIL SALES DATA.'!$E$6)</f>
        <v>481891.18999999994</v>
      </c>
      <c r="D6" s="13">
        <f>SUMIFS('RETAIL SALES DATA.'!$J$2:$J$1001,'RETAIL SALES DATA.'!$C$2:$C$1001,East!A6,'RETAIL SALES DATA.'!$E$2:$E$1001,'RETAIL SALES DATA.'!$E$6)</f>
        <v>127669.88</v>
      </c>
    </row>
    <row r="7" spans="1:10" x14ac:dyDescent="0.3">
      <c r="A7" s="12" t="str">
        <v>Mouse</v>
      </c>
      <c r="B7" s="13">
        <f>SUMIFS('RETAIL SALES DATA.'!$F$2:$F$1001,'RETAIL SALES DATA.'!$C$2:$C$1001,East!A7,'RETAIL SALES DATA.'!$E$2:$E$1001,'RETAIL SALES DATA.'!$E$6)</f>
        <v>228</v>
      </c>
      <c r="C7" s="13">
        <f>SUMIFS('RETAIL SALES DATA.'!$H$2:$H$1001,'RETAIL SALES DATA.'!$C$2:$C$1001,East!A7,'RETAIL SALES DATA.'!$E$2:$E$1001,'RETAIL SALES DATA.'!$E$6)</f>
        <v>566118.6100000001</v>
      </c>
      <c r="D7" s="13">
        <f>SUMIFS('RETAIL SALES DATA.'!$J$2:$J$1001,'RETAIL SALES DATA.'!$C$2:$C$1001,East!A7,'RETAIL SALES DATA.'!$E$2:$E$1001,'RETAIL SALES DATA.'!$E$6)</f>
        <v>143825.97000000003</v>
      </c>
    </row>
    <row r="8" spans="1:10" x14ac:dyDescent="0.3">
      <c r="A8" s="12" t="str">
        <v>Notebook</v>
      </c>
      <c r="B8" s="13">
        <f>SUMIFS('RETAIL SALES DATA.'!$F$2:$F$1001,'RETAIL SALES DATA.'!$C$2:$C$1001,East!A8,'RETAIL SALES DATA.'!$E$2:$E$1001,'RETAIL SALES DATA.'!$E$6)</f>
        <v>116</v>
      </c>
      <c r="C8" s="13">
        <f>SUMIFS('RETAIL SALES DATA.'!$H$2:$H$1001,'RETAIL SALES DATA.'!$C$2:$C$1001,East!A8,'RETAIL SALES DATA.'!$E$2:$E$1001,'RETAIL SALES DATA.'!$E$6)</f>
        <v>330459.30000000005</v>
      </c>
      <c r="D8" s="13">
        <f>SUMIFS('RETAIL SALES DATA.'!$J$2:$J$1001,'RETAIL SALES DATA.'!$C$2:$C$1001,East!A8,'RETAIL SALES DATA.'!$E$2:$E$1001,'RETAIL SALES DATA.'!$E$6)</f>
        <v>96940.94</v>
      </c>
    </row>
    <row r="9" spans="1:10" x14ac:dyDescent="0.3">
      <c r="A9" s="12" t="str">
        <v>Table</v>
      </c>
      <c r="B9" s="13">
        <f>SUMIFS('RETAIL SALES DATA.'!$F$2:$F$1001,'RETAIL SALES DATA.'!$C$2:$C$1001,East!A9,'RETAIL SALES DATA.'!$E$2:$E$1001,'RETAIL SALES DATA.'!$E$6)</f>
        <v>172</v>
      </c>
      <c r="C9" s="13">
        <f>SUMIFS('RETAIL SALES DATA.'!$H$2:$H$1001,'RETAIL SALES DATA.'!$C$2:$C$1001,East!A9,'RETAIL SALES DATA.'!$E$2:$E$1001,'RETAIL SALES DATA.'!$E$6)</f>
        <v>439501.06</v>
      </c>
      <c r="D9" s="13">
        <f>SUMIFS('RETAIL SALES DATA.'!$J$2:$J$1001,'RETAIL SALES DATA.'!$C$2:$C$1001,East!A9,'RETAIL SALES DATA.'!$E$2:$E$1001,'RETAIL SALES DATA.'!$E$6)</f>
        <v>126762.29000000001</v>
      </c>
    </row>
    <row r="10" spans="1:10" x14ac:dyDescent="0.3">
      <c r="A10" s="12" t="str">
        <v>Chair</v>
      </c>
      <c r="B10" s="13">
        <f>SUMIFS('RETAIL SALES DATA.'!$F$2:$F$1001,'RETAIL SALES DATA.'!$C$2:$C$1001,East!A10,'RETAIL SALES DATA.'!$E$2:$E$1001,'RETAIL SALES DATA.'!$E$6)</f>
        <v>149</v>
      </c>
      <c r="C10" s="13">
        <f>SUMIFS('RETAIL SALES DATA.'!$H$2:$H$1001,'RETAIL SALES DATA.'!$C$2:$C$1001,East!A10,'RETAIL SALES DATA.'!$E$2:$E$1001,'RETAIL SALES DATA.'!$E$6)</f>
        <v>343028.85000000003</v>
      </c>
      <c r="D10" s="13">
        <f>SUMIFS('RETAIL SALES DATA.'!$J$2:$J$1001,'RETAIL SALES DATA.'!$C$2:$C$1001,East!A10,'RETAIL SALES DATA.'!$E$2:$E$1001,'RETAIL SALES DATA.'!$E$6)</f>
        <v>111914.90999999999</v>
      </c>
    </row>
    <row r="11" spans="1:10" x14ac:dyDescent="0.3">
      <c r="A11" s="12" t="str">
        <v>Cupboard</v>
      </c>
      <c r="B11" s="45">
        <f>SUMIFS('RETAIL SALES DATA.'!$F$2:$F$1001,'RETAIL SALES DATA.'!$C$2:$C$1001,East!A11,'RETAIL SALES DATA.'!$E$2:$E$1001,'RETAIL SALES DATA.'!$E$6)</f>
        <v>229</v>
      </c>
      <c r="C11" s="45">
        <f>SUMIFS('RETAIL SALES DATA.'!$H$2:$H$1001,'RETAIL SALES DATA.'!$C$2:$C$1001,East!A11,'RETAIL SALES DATA.'!$E$2:$E$1001,'RETAIL SALES DATA.'!$E$6)</f>
        <v>592686.53</v>
      </c>
      <c r="D11" s="45">
        <f>SUMIFS('RETAIL SALES DATA.'!$J$2:$J$1001,'RETAIL SALES DATA.'!$C$2:$C$1001,East!A11,'RETAIL SALES DATA.'!$E$2:$E$1001,'RETAIL SALES DATA.'!$E$6)</f>
        <v>182378.26</v>
      </c>
    </row>
    <row r="12" spans="1:10" x14ac:dyDescent="0.3">
      <c r="A12" s="12" t="str">
        <v>Printer</v>
      </c>
      <c r="B12" s="13">
        <f>SUMIFS('RETAIL SALES DATA.'!$F$2:$F$1001,'RETAIL SALES DATA.'!$C$2:$C$1001,East!A12,'RETAIL SALES DATA.'!$E$2:$E$1001,'RETAIL SALES DATA.'!$E$6)</f>
        <v>176</v>
      </c>
      <c r="C12" s="13">
        <f>SUMIFS('RETAIL SALES DATA.'!$H$2:$H$1001,'RETAIL SALES DATA.'!$C$2:$C$1001,East!A12,'RETAIL SALES DATA.'!$E$2:$E$1001,'RETAIL SALES DATA.'!$E$6)</f>
        <v>465958.51</v>
      </c>
      <c r="D12" s="13">
        <f>SUMIFS('RETAIL SALES DATA.'!$J$2:$J$1001,'RETAIL SALES DATA.'!$C$2:$C$1001,East!A12,'RETAIL SALES DATA.'!$E$2:$E$1001,'RETAIL SALES DATA.'!$E$6)</f>
        <v>167521.32999999999</v>
      </c>
    </row>
    <row r="13" spans="1:10" x14ac:dyDescent="0.3">
      <c r="A13" s="12" t="str">
        <v>Sofa</v>
      </c>
      <c r="B13" s="13">
        <f>SUMIFS('RETAIL SALES DATA.'!$F$2:$F$1001,'RETAIL SALES DATA.'!$C$2:$C$1001,East!A13,'RETAIL SALES DATA.'!$E$2:$E$1001,'RETAIL SALES DATA.'!$E$6)</f>
        <v>198</v>
      </c>
      <c r="C13" s="13">
        <f>SUMIFS('RETAIL SALES DATA.'!$H$2:$H$1001,'RETAIL SALES DATA.'!$C$2:$C$1001,East!A13,'RETAIL SALES DATA.'!$E$2:$E$1001,'RETAIL SALES DATA.'!$E$6)</f>
        <v>396279.19</v>
      </c>
      <c r="D13" s="13">
        <f>SUMIFS('RETAIL SALES DATA.'!$J$2:$J$1001,'RETAIL SALES DATA.'!$C$2:$C$1001,East!A13,'RETAIL SALES DATA.'!$E$2:$E$1001,'RETAIL SALES DATA.'!$E$6)</f>
        <v>112646.62999999999</v>
      </c>
    </row>
    <row r="14" spans="1:10" x14ac:dyDescent="0.3">
      <c r="A14" s="12" t="str">
        <v>File</v>
      </c>
      <c r="B14" s="13">
        <f>SUMIFS('RETAIL SALES DATA.'!$F$2:$F$1001,'RETAIL SALES DATA.'!$C$2:$C$1001,East!A14,'RETAIL SALES DATA.'!$E$2:$E$1001,'RETAIL SALES DATA.'!$E$6)</f>
        <v>138</v>
      </c>
      <c r="C14" s="13">
        <f>SUMIFS('RETAIL SALES DATA.'!$H$2:$H$1001,'RETAIL SALES DATA.'!$C$2:$C$1001,East!A14,'RETAIL SALES DATA.'!$E$2:$E$1001,'RETAIL SALES DATA.'!$E$6)</f>
        <v>348445.59</v>
      </c>
      <c r="D14" s="13">
        <f>SUMIFS('RETAIL SALES DATA.'!$J$2:$J$1001,'RETAIL SALES DATA.'!$C$2:$C$1001,East!A14,'RETAIL SALES DATA.'!$E$2:$E$1001,'RETAIL SALES DATA.'!$E$6)</f>
        <v>120192.91</v>
      </c>
    </row>
    <row r="15" spans="1:10" x14ac:dyDescent="0.3">
      <c r="A15" s="12" t="str">
        <v>Keyboard</v>
      </c>
      <c r="B15" s="13">
        <f>SUMIFS('RETAIL SALES DATA.'!$F$2:$F$1001,'RETAIL SALES DATA.'!$C$2:$C$1001,East!A15,'RETAIL SALES DATA.'!$E$2:$E$1001,'RETAIL SALES DATA.'!$E$6)</f>
        <v>143</v>
      </c>
      <c r="C15" s="13">
        <f>SUMIFS('RETAIL SALES DATA.'!$H$2:$H$1001,'RETAIL SALES DATA.'!$C$2:$C$1001,East!A15,'RETAIL SALES DATA.'!$E$2:$E$1001,'RETAIL SALES DATA.'!$E$6)</f>
        <v>441821.06</v>
      </c>
      <c r="D15" s="13">
        <f>SUMIFS('RETAIL SALES DATA.'!$J$2:$J$1001,'RETAIL SALES DATA.'!$C$2:$C$1001,East!A15,'RETAIL SALES DATA.'!$E$2:$E$1001,'RETAIL SALES DATA.'!$E$6)</f>
        <v>101478.05</v>
      </c>
    </row>
    <row r="16" spans="1:10" x14ac:dyDescent="0.3">
      <c r="A16" s="12" t="str">
        <v>Monitor</v>
      </c>
      <c r="B16" s="13">
        <f>SUMIFS('RETAIL SALES DATA.'!$F$2:$F$1001,'RETAIL SALES DATA.'!$C$2:$C$1001,East!A16,'RETAIL SALES DATA.'!$E$2:$E$1001,'RETAIL SALES DATA.'!$E$6)</f>
        <v>133</v>
      </c>
      <c r="C16" s="13">
        <f>SUMIFS('RETAIL SALES DATA.'!$H$2:$H$1001,'RETAIL SALES DATA.'!$C$2:$C$1001,East!A16,'RETAIL SALES DATA.'!$E$2:$E$1001,'RETAIL SALES DATA.'!$E$6)</f>
        <v>243629.97</v>
      </c>
      <c r="D16" s="13">
        <f>SUMIFS('RETAIL SALES DATA.'!$J$2:$J$1001,'RETAIL SALES DATA.'!$C$2:$C$1001,East!A16,'RETAIL SALES DATA.'!$E$2:$E$1001,'RETAIL SALES DATA.'!$E$6)</f>
        <v>71713.19</v>
      </c>
    </row>
    <row r="17" spans="1:4" x14ac:dyDescent="0.3">
      <c r="A17" s="12" t="str">
        <v>Smartphone</v>
      </c>
      <c r="B17" s="13">
        <f>SUMIFS('RETAIL SALES DATA.'!$F$2:$F$1001,'RETAIL SALES DATA.'!$C$2:$C$1001,East!A17,'RETAIL SALES DATA.'!$E$2:$E$1001,'RETAIL SALES DATA.'!$E$6)</f>
        <v>161</v>
      </c>
      <c r="C17" s="13">
        <f>SUMIFS('RETAIL SALES DATA.'!$H$2:$H$1001,'RETAIL SALES DATA.'!$C$2:$C$1001,East!A17,'RETAIL SALES DATA.'!$E$2:$E$1001,'RETAIL SALES DATA.'!$E$6)</f>
        <v>412078.72000000003</v>
      </c>
      <c r="D17" s="13">
        <f>SUMIFS('RETAIL SALES DATA.'!$J$2:$J$1001,'RETAIL SALES DATA.'!$C$2:$C$1001,East!A17,'RETAIL SALES DATA.'!$E$2:$E$1001,'RETAIL SALES DATA.'!$E$6)</f>
        <v>132360.5</v>
      </c>
    </row>
    <row r="18" spans="1:4" x14ac:dyDescent="0.3">
      <c r="A18" s="69" t="s">
        <v>2308</v>
      </c>
      <c r="B18" s="45">
        <f>MAX(B3:B17)</f>
        <v>229</v>
      </c>
      <c r="C18" s="45">
        <f>MAX(C3:C17)</f>
        <v>592686.53</v>
      </c>
      <c r="D18" s="45">
        <f>MAX(D3:D17)</f>
        <v>182378.26</v>
      </c>
    </row>
    <row r="19" spans="1:4" x14ac:dyDescent="0.3">
      <c r="A19" s="67" t="s">
        <v>2315</v>
      </c>
      <c r="B19" s="47">
        <f>MIN(B3:B17)</f>
        <v>101</v>
      </c>
      <c r="C19" s="47">
        <f t="shared" ref="C19:D19" si="0">MIN(C3:C17)</f>
        <v>184497.13</v>
      </c>
      <c r="D19" s="47">
        <f t="shared" si="0"/>
        <v>48484.69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490-D7F9-4C14-AF63-4A06B62B2661}">
  <dimension ref="A1:P1002"/>
  <sheetViews>
    <sheetView zoomScale="59" zoomScaleNormal="59" workbookViewId="0">
      <selection activeCell="X14" sqref="X14"/>
    </sheetView>
  </sheetViews>
  <sheetFormatPr defaultRowHeight="14.4" x14ac:dyDescent="0.3"/>
  <cols>
    <col min="1" max="1" width="11" customWidth="1"/>
    <col min="2" max="2" width="13.88671875" customWidth="1"/>
    <col min="3" max="7" width="10" customWidth="1"/>
    <col min="8" max="8" width="25.77734375" customWidth="1"/>
    <col min="9" max="10" width="25.5546875" customWidth="1"/>
    <col min="11" max="11" width="35.33203125" customWidth="1"/>
    <col min="12" max="12" width="15" customWidth="1"/>
    <col min="13" max="13" width="16.21875" customWidth="1"/>
    <col min="14" max="14" width="15.5546875" customWidth="1"/>
    <col min="15" max="15" width="16.44140625" customWidth="1"/>
    <col min="16" max="16" width="12.33203125" customWidth="1"/>
  </cols>
  <sheetData>
    <row r="1" spans="1:16" ht="33.6" x14ac:dyDescent="0.65">
      <c r="A1" s="84" t="s">
        <v>2329</v>
      </c>
      <c r="B1" s="85"/>
      <c r="C1" s="86"/>
      <c r="D1" s="87" t="s">
        <v>2333</v>
      </c>
      <c r="E1" s="87"/>
      <c r="F1" s="87"/>
      <c r="G1" s="49"/>
      <c r="H1" s="88" t="s">
        <v>2343</v>
      </c>
      <c r="I1" s="88"/>
      <c r="J1" s="52"/>
      <c r="K1" s="89" t="s">
        <v>2344</v>
      </c>
      <c r="L1" s="90"/>
      <c r="M1" s="90"/>
      <c r="N1" s="90"/>
      <c r="O1" s="90"/>
      <c r="P1" s="91"/>
    </row>
    <row r="2" spans="1:16" s="2" customFormat="1" ht="22.2" customHeight="1" x14ac:dyDescent="0.4">
      <c r="A2" s="39" t="s">
        <v>2330</v>
      </c>
      <c r="B2" s="38" t="s">
        <v>2331</v>
      </c>
      <c r="C2" s="41" t="s">
        <v>2332</v>
      </c>
      <c r="D2" s="38" t="s">
        <v>2330</v>
      </c>
      <c r="E2" s="38" t="s">
        <v>2331</v>
      </c>
      <c r="F2" s="38" t="s">
        <v>2332</v>
      </c>
      <c r="G2" s="50"/>
      <c r="H2" s="51" t="s">
        <v>2317</v>
      </c>
      <c r="I2" s="56" t="s">
        <v>2318</v>
      </c>
      <c r="J2" s="44"/>
      <c r="K2" s="57" t="s">
        <v>2319</v>
      </c>
      <c r="L2" s="51" t="s">
        <v>2321</v>
      </c>
      <c r="M2" s="51" t="s">
        <v>2322</v>
      </c>
      <c r="N2" s="51" t="s">
        <v>2323</v>
      </c>
      <c r="O2" s="51" t="s">
        <v>2320</v>
      </c>
      <c r="P2" s="53" t="s">
        <v>2334</v>
      </c>
    </row>
    <row r="3" spans="1:16" x14ac:dyDescent="0.3">
      <c r="A3" s="25">
        <f>YEAR('RETAIL SALES DATA.'!K2)</f>
        <v>2025</v>
      </c>
      <c r="B3" s="13" t="str" cm="1">
        <f t="array" ref="B3:B1002">TEXT('RETAIL SALES DATA.'!$K$2:$K$1001,"MMM")</f>
        <v>Sep</v>
      </c>
      <c r="C3" s="42">
        <f>DAY('RETAIL SALES DATA.'!K2)</f>
        <v>13</v>
      </c>
      <c r="D3" s="13" cm="1">
        <f t="array" ref="D3:D1002">YEAR('RETAIL SALES DATA.'!$L$2:$L$1001)</f>
        <v>2025</v>
      </c>
      <c r="E3" s="13" t="str" cm="1">
        <f t="array" ref="E3:E1002">TEXT('RETAIL SALES DATA.'!$L$2:$L$1001,"MMM")</f>
        <v>Sep</v>
      </c>
      <c r="F3" s="13" cm="1">
        <f t="array" ref="F3:F1002">DAY('RETAIL SALES DATA.'!$L$2:$L$1001)</f>
        <v>22</v>
      </c>
      <c r="G3" s="42"/>
      <c r="H3" s="13">
        <f>NETWORKDAYS('RETAIL SALES DATA.'!K2,'RETAIL SALES DATA.'!L2)</f>
        <v>6</v>
      </c>
      <c r="I3" s="13" cm="1">
        <f t="array" ref="I3:I1002">'RETAIL SALES DATA.'!L2:L1001-'RETAIL SALES DATA.'!K2:K1001</f>
        <v>9</v>
      </c>
      <c r="J3" s="10"/>
      <c r="K3" s="13" cm="1">
        <f t="array" ref="K3:K1002">HOUR('RETAIL SALES DATA.'!$P$2:$P$1001)</f>
        <v>21</v>
      </c>
      <c r="L3" s="13" cm="1">
        <f t="array" ref="L3:L1002">HOUR('RETAIL SALES DATA.'!$O$2:$O$1001)</f>
        <v>10</v>
      </c>
      <c r="M3" s="13" cm="1">
        <f t="array" ref="M3:M1002">MINUTE('RETAIL SALES DATA.'!$O$2:$O$1001)</f>
        <v>12</v>
      </c>
      <c r="N3" s="13" cm="1">
        <f t="array" ref="N3:N1002">SECOND('RETAIL SALES DATA.'!$O$2:$O$1001)</f>
        <v>0</v>
      </c>
      <c r="O3" s="54">
        <f>TIME(L3,M3,N3)</f>
        <v>0.42499999999999999</v>
      </c>
      <c r="P3" s="55">
        <f>TIME(K3,M3,N3)</f>
        <v>0.8833333333333333</v>
      </c>
    </row>
    <row r="4" spans="1:16" x14ac:dyDescent="0.3">
      <c r="A4" s="25">
        <f>YEAR('RETAIL SALES DATA.'!K3)</f>
        <v>2026</v>
      </c>
      <c r="B4" s="13" t="str">
        <v>Jan</v>
      </c>
      <c r="C4" s="42">
        <f>DAY('RETAIL SALES DATA.'!K3)</f>
        <v>1</v>
      </c>
      <c r="D4" s="13">
        <v>2026</v>
      </c>
      <c r="E4" s="13" t="str">
        <v>Jan</v>
      </c>
      <c r="F4" s="13">
        <v>4</v>
      </c>
      <c r="G4" s="10"/>
      <c r="H4" s="13">
        <f>NETWORKDAYS('RETAIL SALES DATA.'!K3,'RETAIL SALES DATA.'!L3)</f>
        <v>2</v>
      </c>
      <c r="I4" s="13">
        <v>3</v>
      </c>
      <c r="J4" s="10"/>
      <c r="K4" s="13">
        <v>14</v>
      </c>
      <c r="L4" s="13">
        <v>8</v>
      </c>
      <c r="M4" s="13">
        <v>15</v>
      </c>
      <c r="N4" s="13">
        <v>0</v>
      </c>
      <c r="O4" s="54">
        <f t="shared" ref="O4:O67" si="0">TIME(L4,M4,N4)</f>
        <v>0.34375</v>
      </c>
      <c r="P4" s="55">
        <f t="shared" ref="P4:P67" si="1">TIME(K4,M4,N4)</f>
        <v>0.59375</v>
      </c>
    </row>
    <row r="5" spans="1:16" x14ac:dyDescent="0.3">
      <c r="A5" s="25">
        <f>YEAR('RETAIL SALES DATA.'!K4)</f>
        <v>2026</v>
      </c>
      <c r="B5" s="13" t="str">
        <v>May</v>
      </c>
      <c r="C5" s="42">
        <f>DAY('RETAIL SALES DATA.'!K4)</f>
        <v>10</v>
      </c>
      <c r="D5" s="13">
        <v>2026</v>
      </c>
      <c r="E5" s="13" t="str">
        <v>May</v>
      </c>
      <c r="F5" s="13">
        <v>19</v>
      </c>
      <c r="G5" s="10"/>
      <c r="H5" s="13">
        <f>NETWORKDAYS('RETAIL SALES DATA.'!K4,'RETAIL SALES DATA.'!L4)</f>
        <v>7</v>
      </c>
      <c r="I5" s="13">
        <v>9</v>
      </c>
      <c r="J5" s="10"/>
      <c r="K5" s="13">
        <v>7</v>
      </c>
      <c r="L5" s="13">
        <v>11</v>
      </c>
      <c r="M5" s="13">
        <v>33</v>
      </c>
      <c r="N5" s="13">
        <v>0</v>
      </c>
      <c r="O5" s="54">
        <f t="shared" si="0"/>
        <v>0.48125000000000001</v>
      </c>
      <c r="P5" s="55">
        <f t="shared" si="1"/>
        <v>0.31458333333333333</v>
      </c>
    </row>
    <row r="6" spans="1:16" x14ac:dyDescent="0.3">
      <c r="A6" s="25">
        <f>YEAR('RETAIL SALES DATA.'!K5)</f>
        <v>2024</v>
      </c>
      <c r="B6" s="13" t="str">
        <v>Jul</v>
      </c>
      <c r="C6" s="42">
        <f>DAY('RETAIL SALES DATA.'!K5)</f>
        <v>10</v>
      </c>
      <c r="D6" s="13">
        <v>2024</v>
      </c>
      <c r="E6" s="13" t="str">
        <v>Jul</v>
      </c>
      <c r="F6" s="13">
        <v>18</v>
      </c>
      <c r="G6" s="10"/>
      <c r="H6" s="13">
        <f>NETWORKDAYS('RETAIL SALES DATA.'!K5,'RETAIL SALES DATA.'!L5)</f>
        <v>7</v>
      </c>
      <c r="I6" s="13">
        <v>8</v>
      </c>
      <c r="J6" s="10"/>
      <c r="K6" s="13">
        <v>12</v>
      </c>
      <c r="L6" s="13">
        <v>11</v>
      </c>
      <c r="M6" s="13">
        <v>19</v>
      </c>
      <c r="N6" s="13">
        <v>0</v>
      </c>
      <c r="O6" s="54">
        <f t="shared" si="0"/>
        <v>0.47152777777777777</v>
      </c>
      <c r="P6" s="55">
        <f t="shared" si="1"/>
        <v>0.5131944444444444</v>
      </c>
    </row>
    <row r="7" spans="1:16" x14ac:dyDescent="0.3">
      <c r="A7" s="25">
        <f>YEAR('RETAIL SALES DATA.'!K6)</f>
        <v>2026</v>
      </c>
      <c r="B7" s="13" t="str">
        <v>Jan</v>
      </c>
      <c r="C7" s="42">
        <f>DAY('RETAIL SALES DATA.'!K6)</f>
        <v>30</v>
      </c>
      <c r="D7" s="13">
        <v>2026</v>
      </c>
      <c r="E7" s="13" t="str">
        <v>Feb</v>
      </c>
      <c r="F7" s="13">
        <v>9</v>
      </c>
      <c r="G7" s="10"/>
      <c r="H7" s="13">
        <f>NETWORKDAYS('RETAIL SALES DATA.'!K6,'RETAIL SALES DATA.'!L6)</f>
        <v>7</v>
      </c>
      <c r="I7" s="13">
        <v>10</v>
      </c>
      <c r="J7" s="10"/>
      <c r="K7" s="13">
        <v>16</v>
      </c>
      <c r="L7" s="13">
        <v>10</v>
      </c>
      <c r="M7" s="13">
        <v>2</v>
      </c>
      <c r="N7" s="13">
        <v>0</v>
      </c>
      <c r="O7" s="54">
        <f t="shared" si="0"/>
        <v>0.41805555555555557</v>
      </c>
      <c r="P7" s="55">
        <f t="shared" si="1"/>
        <v>0.66805555555555551</v>
      </c>
    </row>
    <row r="8" spans="1:16" x14ac:dyDescent="0.3">
      <c r="A8" s="25">
        <f>YEAR('RETAIL SALES DATA.'!K7)</f>
        <v>2024</v>
      </c>
      <c r="B8" s="13" t="str">
        <v>Jul</v>
      </c>
      <c r="C8" s="42">
        <f>DAY('RETAIL SALES DATA.'!K7)</f>
        <v>29</v>
      </c>
      <c r="D8" s="13">
        <v>2024</v>
      </c>
      <c r="E8" s="13" t="str">
        <v>Aug</v>
      </c>
      <c r="F8" s="13">
        <v>1</v>
      </c>
      <c r="G8" s="10"/>
      <c r="H8" s="13">
        <f>NETWORKDAYS('RETAIL SALES DATA.'!K7,'RETAIL SALES DATA.'!L7)</f>
        <v>4</v>
      </c>
      <c r="I8" s="13">
        <v>3</v>
      </c>
      <c r="J8" s="10"/>
      <c r="K8" s="13">
        <v>14</v>
      </c>
      <c r="L8" s="13">
        <v>9</v>
      </c>
      <c r="M8" s="13">
        <v>28</v>
      </c>
      <c r="N8" s="13">
        <v>0</v>
      </c>
      <c r="O8" s="54">
        <f t="shared" si="0"/>
        <v>0.39444444444444443</v>
      </c>
      <c r="P8" s="55">
        <f t="shared" si="1"/>
        <v>0.60277777777777775</v>
      </c>
    </row>
    <row r="9" spans="1:16" x14ac:dyDescent="0.3">
      <c r="A9" s="25">
        <f>YEAR('RETAIL SALES DATA.'!K8)</f>
        <v>2024</v>
      </c>
      <c r="B9" s="13" t="str">
        <v>Jul</v>
      </c>
      <c r="C9" s="42">
        <f>DAY('RETAIL SALES DATA.'!K8)</f>
        <v>21</v>
      </c>
      <c r="D9" s="13">
        <v>2024</v>
      </c>
      <c r="E9" s="13" t="str">
        <v>Jul</v>
      </c>
      <c r="F9" s="13">
        <v>25</v>
      </c>
      <c r="G9" s="10"/>
      <c r="H9" s="13">
        <f>NETWORKDAYS('RETAIL SALES DATA.'!K8,'RETAIL SALES DATA.'!L8)</f>
        <v>4</v>
      </c>
      <c r="I9" s="13">
        <v>4</v>
      </c>
      <c r="J9" s="10"/>
      <c r="K9" s="13">
        <v>21</v>
      </c>
      <c r="L9" s="13">
        <v>8</v>
      </c>
      <c r="M9" s="13">
        <v>18</v>
      </c>
      <c r="N9" s="13">
        <v>0</v>
      </c>
      <c r="O9" s="54">
        <f t="shared" si="0"/>
        <v>0.34583333333333333</v>
      </c>
      <c r="P9" s="55">
        <f t="shared" si="1"/>
        <v>0.88749999999999996</v>
      </c>
    </row>
    <row r="10" spans="1:16" x14ac:dyDescent="0.3">
      <c r="A10" s="25">
        <f>YEAR('RETAIL SALES DATA.'!K9)</f>
        <v>2026</v>
      </c>
      <c r="B10" s="13" t="str">
        <v>May</v>
      </c>
      <c r="C10" s="42">
        <f>DAY('RETAIL SALES DATA.'!K9)</f>
        <v>5</v>
      </c>
      <c r="D10" s="13">
        <v>2026</v>
      </c>
      <c r="E10" s="13" t="str">
        <v>May</v>
      </c>
      <c r="F10" s="13">
        <v>8</v>
      </c>
      <c r="G10" s="10"/>
      <c r="H10" s="13">
        <f>NETWORKDAYS('RETAIL SALES DATA.'!K9,'RETAIL SALES DATA.'!L9)</f>
        <v>4</v>
      </c>
      <c r="I10" s="13">
        <v>3</v>
      </c>
      <c r="J10" s="10"/>
      <c r="K10" s="13">
        <v>0</v>
      </c>
      <c r="L10" s="13">
        <v>9</v>
      </c>
      <c r="M10" s="13">
        <v>4</v>
      </c>
      <c r="N10" s="13">
        <v>0</v>
      </c>
      <c r="O10" s="54">
        <f t="shared" si="0"/>
        <v>0.37777777777777777</v>
      </c>
      <c r="P10" s="55">
        <f t="shared" si="1"/>
        <v>2.7777777777777779E-3</v>
      </c>
    </row>
    <row r="11" spans="1:16" x14ac:dyDescent="0.3">
      <c r="A11" s="25">
        <f>YEAR('RETAIL SALES DATA.'!K10)</f>
        <v>2024</v>
      </c>
      <c r="B11" s="13" t="str">
        <v>Nov</v>
      </c>
      <c r="C11" s="42">
        <f>DAY('RETAIL SALES DATA.'!K10)</f>
        <v>11</v>
      </c>
      <c r="D11" s="13">
        <v>2024</v>
      </c>
      <c r="E11" s="13" t="str">
        <v>Nov</v>
      </c>
      <c r="F11" s="13">
        <v>14</v>
      </c>
      <c r="G11" s="10"/>
      <c r="H11" s="13">
        <f>NETWORKDAYS('RETAIL SALES DATA.'!K10,'RETAIL SALES DATA.'!L10)</f>
        <v>4</v>
      </c>
      <c r="I11" s="13">
        <v>3</v>
      </c>
      <c r="J11" s="10"/>
      <c r="K11" s="13">
        <v>14</v>
      </c>
      <c r="L11" s="13">
        <v>11</v>
      </c>
      <c r="M11" s="13">
        <v>17</v>
      </c>
      <c r="N11" s="13">
        <v>0</v>
      </c>
      <c r="O11" s="54">
        <f t="shared" si="0"/>
        <v>0.47013888888888888</v>
      </c>
      <c r="P11" s="55">
        <f t="shared" si="1"/>
        <v>0.59513888888888888</v>
      </c>
    </row>
    <row r="12" spans="1:16" x14ac:dyDescent="0.3">
      <c r="A12" s="25">
        <f>YEAR('RETAIL SALES DATA.'!K11)</f>
        <v>2025</v>
      </c>
      <c r="B12" s="13" t="str">
        <v>Feb</v>
      </c>
      <c r="C12" s="42">
        <f>DAY('RETAIL SALES DATA.'!K11)</f>
        <v>24</v>
      </c>
      <c r="D12" s="13">
        <v>2025</v>
      </c>
      <c r="E12" s="13" t="str">
        <v>Feb</v>
      </c>
      <c r="F12" s="13">
        <v>28</v>
      </c>
      <c r="G12" s="10"/>
      <c r="H12" s="13">
        <f>NETWORKDAYS('RETAIL SALES DATA.'!K11,'RETAIL SALES DATA.'!L11)</f>
        <v>5</v>
      </c>
      <c r="I12" s="13">
        <v>4</v>
      </c>
      <c r="J12" s="10"/>
      <c r="K12" s="13">
        <v>9</v>
      </c>
      <c r="L12" s="13">
        <v>11</v>
      </c>
      <c r="M12" s="13">
        <v>14</v>
      </c>
      <c r="N12" s="13">
        <v>0</v>
      </c>
      <c r="O12" s="54">
        <f t="shared" si="0"/>
        <v>0.46805555555555556</v>
      </c>
      <c r="P12" s="55">
        <f t="shared" si="1"/>
        <v>0.38472222222222224</v>
      </c>
    </row>
    <row r="13" spans="1:16" x14ac:dyDescent="0.3">
      <c r="A13" s="25">
        <f>YEAR('RETAIL SALES DATA.'!K12)</f>
        <v>2024</v>
      </c>
      <c r="B13" s="13" t="str">
        <v>Dec</v>
      </c>
      <c r="C13" s="42">
        <f>DAY('RETAIL SALES DATA.'!K12)</f>
        <v>2</v>
      </c>
      <c r="D13" s="13">
        <v>2024</v>
      </c>
      <c r="E13" s="13" t="str">
        <v>Dec</v>
      </c>
      <c r="F13" s="13">
        <v>8</v>
      </c>
      <c r="G13" s="10"/>
      <c r="H13" s="13">
        <f>NETWORKDAYS('RETAIL SALES DATA.'!K12,'RETAIL SALES DATA.'!L12)</f>
        <v>5</v>
      </c>
      <c r="I13" s="13">
        <v>6</v>
      </c>
      <c r="J13" s="10"/>
      <c r="K13" s="13">
        <v>12</v>
      </c>
      <c r="L13" s="13">
        <v>11</v>
      </c>
      <c r="M13" s="13">
        <v>14</v>
      </c>
      <c r="N13" s="13">
        <v>0</v>
      </c>
      <c r="O13" s="54">
        <f t="shared" si="0"/>
        <v>0.46805555555555556</v>
      </c>
      <c r="P13" s="55">
        <f t="shared" si="1"/>
        <v>0.50972222222222219</v>
      </c>
    </row>
    <row r="14" spans="1:16" x14ac:dyDescent="0.3">
      <c r="A14" s="25">
        <f>YEAR('RETAIL SALES DATA.'!K13)</f>
        <v>2025</v>
      </c>
      <c r="B14" s="13" t="str">
        <v>May</v>
      </c>
      <c r="C14" s="42">
        <f>DAY('RETAIL SALES DATA.'!K13)</f>
        <v>9</v>
      </c>
      <c r="D14" s="13">
        <v>2025</v>
      </c>
      <c r="E14" s="13" t="str">
        <v>May</v>
      </c>
      <c r="F14" s="13">
        <v>18</v>
      </c>
      <c r="G14" s="10"/>
      <c r="H14" s="13">
        <f>NETWORKDAYS('RETAIL SALES DATA.'!K13,'RETAIL SALES DATA.'!L13)</f>
        <v>6</v>
      </c>
      <c r="I14" s="13">
        <v>9</v>
      </c>
      <c r="J14" s="10"/>
      <c r="K14" s="13">
        <v>19</v>
      </c>
      <c r="L14" s="13">
        <v>11</v>
      </c>
      <c r="M14" s="13">
        <v>34</v>
      </c>
      <c r="N14" s="13">
        <v>0</v>
      </c>
      <c r="O14" s="54">
        <f t="shared" si="0"/>
        <v>0.48194444444444445</v>
      </c>
      <c r="P14" s="55">
        <f t="shared" si="1"/>
        <v>0.81527777777777777</v>
      </c>
    </row>
    <row r="15" spans="1:16" x14ac:dyDescent="0.3">
      <c r="A15" s="25">
        <f>YEAR('RETAIL SALES DATA.'!K14)</f>
        <v>2025</v>
      </c>
      <c r="B15" s="13" t="str">
        <v>Jun</v>
      </c>
      <c r="C15" s="42">
        <f>DAY('RETAIL SALES DATA.'!K14)</f>
        <v>4</v>
      </c>
      <c r="D15" s="13">
        <v>2025</v>
      </c>
      <c r="E15" s="13" t="str">
        <v>Jun</v>
      </c>
      <c r="F15" s="13">
        <v>9</v>
      </c>
      <c r="G15" s="10"/>
      <c r="H15" s="13">
        <f>NETWORKDAYS('RETAIL SALES DATA.'!K14,'RETAIL SALES DATA.'!L14)</f>
        <v>4</v>
      </c>
      <c r="I15" s="13">
        <v>5</v>
      </c>
      <c r="J15" s="10"/>
      <c r="K15" s="13">
        <v>2</v>
      </c>
      <c r="L15" s="13">
        <v>9</v>
      </c>
      <c r="M15" s="13">
        <v>38</v>
      </c>
      <c r="N15" s="13">
        <v>0</v>
      </c>
      <c r="O15" s="54">
        <f t="shared" si="0"/>
        <v>0.40138888888888891</v>
      </c>
      <c r="P15" s="55">
        <f t="shared" si="1"/>
        <v>0.10972222222222222</v>
      </c>
    </row>
    <row r="16" spans="1:16" x14ac:dyDescent="0.3">
      <c r="A16" s="25">
        <f>YEAR('RETAIL SALES DATA.'!K15)</f>
        <v>2025</v>
      </c>
      <c r="B16" s="13" t="str">
        <v>Mar</v>
      </c>
      <c r="C16" s="42">
        <f>DAY('RETAIL SALES DATA.'!K15)</f>
        <v>31</v>
      </c>
      <c r="D16" s="13">
        <v>2025</v>
      </c>
      <c r="E16" s="13" t="str">
        <v>Apr</v>
      </c>
      <c r="F16" s="13">
        <v>7</v>
      </c>
      <c r="G16" s="10"/>
      <c r="H16" s="13">
        <f>NETWORKDAYS('RETAIL SALES DATA.'!K15,'RETAIL SALES DATA.'!L15)</f>
        <v>6</v>
      </c>
      <c r="I16" s="13">
        <v>7</v>
      </c>
      <c r="J16" s="10"/>
      <c r="K16" s="13">
        <v>12</v>
      </c>
      <c r="L16" s="13">
        <v>10</v>
      </c>
      <c r="M16" s="13">
        <v>16</v>
      </c>
      <c r="N16" s="13">
        <v>0</v>
      </c>
      <c r="O16" s="54">
        <f t="shared" si="0"/>
        <v>0.42777777777777776</v>
      </c>
      <c r="P16" s="55">
        <f t="shared" si="1"/>
        <v>0.51111111111111107</v>
      </c>
    </row>
    <row r="17" spans="1:16" x14ac:dyDescent="0.3">
      <c r="A17" s="25">
        <f>YEAR('RETAIL SALES DATA.'!K16)</f>
        <v>2025</v>
      </c>
      <c r="B17" s="13" t="str">
        <v>Apr</v>
      </c>
      <c r="C17" s="42">
        <f>DAY('RETAIL SALES DATA.'!K16)</f>
        <v>18</v>
      </c>
      <c r="D17" s="13">
        <v>2025</v>
      </c>
      <c r="E17" s="13" t="str">
        <v>Apr</v>
      </c>
      <c r="F17" s="13">
        <v>19</v>
      </c>
      <c r="G17" s="10"/>
      <c r="H17" s="13">
        <f>NETWORKDAYS('RETAIL SALES DATA.'!K16,'RETAIL SALES DATA.'!L16)</f>
        <v>1</v>
      </c>
      <c r="I17" s="13">
        <v>1</v>
      </c>
      <c r="J17" s="10"/>
      <c r="K17" s="13">
        <v>12</v>
      </c>
      <c r="L17" s="13">
        <v>9</v>
      </c>
      <c r="M17" s="13">
        <v>13</v>
      </c>
      <c r="N17" s="13">
        <v>0</v>
      </c>
      <c r="O17" s="54">
        <f t="shared" si="0"/>
        <v>0.3840277777777778</v>
      </c>
      <c r="P17" s="55">
        <f t="shared" si="1"/>
        <v>0.50902777777777775</v>
      </c>
    </row>
    <row r="18" spans="1:16" x14ac:dyDescent="0.3">
      <c r="A18" s="25">
        <f>YEAR('RETAIL SALES DATA.'!K17)</f>
        <v>2025</v>
      </c>
      <c r="B18" s="13" t="str">
        <v>Aug</v>
      </c>
      <c r="C18" s="42">
        <f>DAY('RETAIL SALES DATA.'!K17)</f>
        <v>11</v>
      </c>
      <c r="D18" s="13">
        <v>2025</v>
      </c>
      <c r="E18" s="13" t="str">
        <v>Aug</v>
      </c>
      <c r="F18" s="13">
        <v>14</v>
      </c>
      <c r="G18" s="10"/>
      <c r="H18" s="13">
        <f>NETWORKDAYS('RETAIL SALES DATA.'!K17,'RETAIL SALES DATA.'!L17)</f>
        <v>4</v>
      </c>
      <c r="I18" s="13">
        <v>3</v>
      </c>
      <c r="J18" s="10"/>
      <c r="K18" s="13">
        <v>2</v>
      </c>
      <c r="L18" s="13">
        <v>10</v>
      </c>
      <c r="M18" s="13">
        <v>56</v>
      </c>
      <c r="N18" s="13">
        <v>0</v>
      </c>
      <c r="O18" s="54">
        <f t="shared" si="0"/>
        <v>0.45555555555555555</v>
      </c>
      <c r="P18" s="55">
        <f t="shared" si="1"/>
        <v>0.12222222222222222</v>
      </c>
    </row>
    <row r="19" spans="1:16" x14ac:dyDescent="0.3">
      <c r="A19" s="25">
        <f>YEAR('RETAIL SALES DATA.'!K18)</f>
        <v>2026</v>
      </c>
      <c r="B19" s="13" t="str">
        <v>May</v>
      </c>
      <c r="C19" s="42">
        <f>DAY('RETAIL SALES DATA.'!K18)</f>
        <v>10</v>
      </c>
      <c r="D19" s="13">
        <v>2026</v>
      </c>
      <c r="E19" s="13" t="str">
        <v>May</v>
      </c>
      <c r="F19" s="13">
        <v>11</v>
      </c>
      <c r="G19" s="10"/>
      <c r="H19" s="13">
        <f>NETWORKDAYS('RETAIL SALES DATA.'!K18,'RETAIL SALES DATA.'!L18)</f>
        <v>1</v>
      </c>
      <c r="I19" s="13">
        <v>1</v>
      </c>
      <c r="J19" s="10"/>
      <c r="K19" s="13">
        <v>16</v>
      </c>
      <c r="L19" s="13">
        <v>10</v>
      </c>
      <c r="M19" s="13">
        <v>58</v>
      </c>
      <c r="N19" s="13">
        <v>0</v>
      </c>
      <c r="O19" s="54">
        <f t="shared" si="0"/>
        <v>0.45694444444444443</v>
      </c>
      <c r="P19" s="55">
        <f t="shared" si="1"/>
        <v>0.70694444444444449</v>
      </c>
    </row>
    <row r="20" spans="1:16" x14ac:dyDescent="0.3">
      <c r="A20" s="25">
        <f>YEAR('RETAIL SALES DATA.'!K19)</f>
        <v>2025</v>
      </c>
      <c r="B20" s="13" t="str">
        <v>Jun</v>
      </c>
      <c r="C20" s="42">
        <f>DAY('RETAIL SALES DATA.'!K19)</f>
        <v>6</v>
      </c>
      <c r="D20" s="13">
        <v>2025</v>
      </c>
      <c r="E20" s="13" t="str">
        <v>Jun</v>
      </c>
      <c r="F20" s="13">
        <v>9</v>
      </c>
      <c r="G20" s="10"/>
      <c r="H20" s="13">
        <f>NETWORKDAYS('RETAIL SALES DATA.'!K19,'RETAIL SALES DATA.'!L19)</f>
        <v>2</v>
      </c>
      <c r="I20" s="13">
        <v>3</v>
      </c>
      <c r="J20" s="10"/>
      <c r="K20" s="13">
        <v>0</v>
      </c>
      <c r="L20" s="13">
        <v>9</v>
      </c>
      <c r="M20" s="13">
        <v>20</v>
      </c>
      <c r="N20" s="13">
        <v>0</v>
      </c>
      <c r="O20" s="54">
        <f t="shared" si="0"/>
        <v>0.3888888888888889</v>
      </c>
      <c r="P20" s="55">
        <f t="shared" si="1"/>
        <v>1.3888888888888888E-2</v>
      </c>
    </row>
    <row r="21" spans="1:16" x14ac:dyDescent="0.3">
      <c r="A21" s="25">
        <f>YEAR('RETAIL SALES DATA.'!K20)</f>
        <v>2026</v>
      </c>
      <c r="B21" s="13" t="str">
        <v>Mar</v>
      </c>
      <c r="C21" s="42">
        <f>DAY('RETAIL SALES DATA.'!K20)</f>
        <v>23</v>
      </c>
      <c r="D21" s="13">
        <v>2026</v>
      </c>
      <c r="E21" s="13" t="str">
        <v>Mar</v>
      </c>
      <c r="F21" s="13">
        <v>31</v>
      </c>
      <c r="G21" s="10"/>
      <c r="H21" s="13">
        <f>NETWORKDAYS('RETAIL SALES DATA.'!K20,'RETAIL SALES DATA.'!L20)</f>
        <v>7</v>
      </c>
      <c r="I21" s="13">
        <v>8</v>
      </c>
      <c r="J21" s="10"/>
      <c r="K21" s="13">
        <v>0</v>
      </c>
      <c r="L21" s="13">
        <v>8</v>
      </c>
      <c r="M21" s="13">
        <v>53</v>
      </c>
      <c r="N21" s="13">
        <v>0</v>
      </c>
      <c r="O21" s="54">
        <f t="shared" si="0"/>
        <v>0.37013888888888891</v>
      </c>
      <c r="P21" s="55">
        <f t="shared" si="1"/>
        <v>3.6805555555555557E-2</v>
      </c>
    </row>
    <row r="22" spans="1:16" x14ac:dyDescent="0.3">
      <c r="A22" s="25">
        <f>YEAR('RETAIL SALES DATA.'!K21)</f>
        <v>2025</v>
      </c>
      <c r="B22" s="13" t="str">
        <v>May</v>
      </c>
      <c r="C22" s="42">
        <f>DAY('RETAIL SALES DATA.'!K21)</f>
        <v>28</v>
      </c>
      <c r="D22" s="13">
        <v>2025</v>
      </c>
      <c r="E22" s="13" t="str">
        <v>Jun</v>
      </c>
      <c r="F22" s="13">
        <v>6</v>
      </c>
      <c r="G22" s="10"/>
      <c r="H22" s="13">
        <f>NETWORKDAYS('RETAIL SALES DATA.'!K21,'RETAIL SALES DATA.'!L21)</f>
        <v>8</v>
      </c>
      <c r="I22" s="13">
        <v>9</v>
      </c>
      <c r="J22" s="10"/>
      <c r="K22" s="13">
        <v>2</v>
      </c>
      <c r="L22" s="13">
        <v>11</v>
      </c>
      <c r="M22" s="13">
        <v>20</v>
      </c>
      <c r="N22" s="13">
        <v>0</v>
      </c>
      <c r="O22" s="54">
        <f t="shared" si="0"/>
        <v>0.47222222222222221</v>
      </c>
      <c r="P22" s="55">
        <f t="shared" si="1"/>
        <v>9.7222222222222224E-2</v>
      </c>
    </row>
    <row r="23" spans="1:16" x14ac:dyDescent="0.3">
      <c r="A23" s="25">
        <f>YEAR('RETAIL SALES DATA.'!K22)</f>
        <v>2024</v>
      </c>
      <c r="B23" s="13" t="str">
        <v>Nov</v>
      </c>
      <c r="C23" s="42">
        <f>DAY('RETAIL SALES DATA.'!K22)</f>
        <v>27</v>
      </c>
      <c r="D23" s="13">
        <v>2024</v>
      </c>
      <c r="E23" s="13" t="str">
        <v>Nov</v>
      </c>
      <c r="F23" s="13">
        <v>30</v>
      </c>
      <c r="G23" s="10"/>
      <c r="H23" s="13">
        <f>NETWORKDAYS('RETAIL SALES DATA.'!K22,'RETAIL SALES DATA.'!L22)</f>
        <v>3</v>
      </c>
      <c r="I23" s="13">
        <v>3</v>
      </c>
      <c r="J23" s="10"/>
      <c r="K23" s="13">
        <v>16</v>
      </c>
      <c r="L23" s="13">
        <v>10</v>
      </c>
      <c r="M23" s="13">
        <v>52</v>
      </c>
      <c r="N23" s="13">
        <v>0</v>
      </c>
      <c r="O23" s="54">
        <f t="shared" si="0"/>
        <v>0.45277777777777778</v>
      </c>
      <c r="P23" s="55">
        <f t="shared" si="1"/>
        <v>0.70277777777777772</v>
      </c>
    </row>
    <row r="24" spans="1:16" x14ac:dyDescent="0.3">
      <c r="A24" s="25">
        <f>YEAR('RETAIL SALES DATA.'!K23)</f>
        <v>2026</v>
      </c>
      <c r="B24" s="13" t="str">
        <v>Mar</v>
      </c>
      <c r="C24" s="42">
        <f>DAY('RETAIL SALES DATA.'!K23)</f>
        <v>11</v>
      </c>
      <c r="D24" s="13">
        <v>2026</v>
      </c>
      <c r="E24" s="13" t="str">
        <v>Mar</v>
      </c>
      <c r="F24" s="13">
        <v>20</v>
      </c>
      <c r="G24" s="10"/>
      <c r="H24" s="13">
        <f>NETWORKDAYS('RETAIL SALES DATA.'!K23,'RETAIL SALES DATA.'!L23)</f>
        <v>8</v>
      </c>
      <c r="I24" s="13">
        <v>9</v>
      </c>
      <c r="J24" s="10"/>
      <c r="K24" s="13">
        <v>2</v>
      </c>
      <c r="L24" s="13">
        <v>9</v>
      </c>
      <c r="M24" s="13">
        <v>23</v>
      </c>
      <c r="N24" s="13">
        <v>0</v>
      </c>
      <c r="O24" s="54">
        <f t="shared" si="0"/>
        <v>0.39097222222222222</v>
      </c>
      <c r="P24" s="55">
        <f t="shared" si="1"/>
        <v>9.930555555555555E-2</v>
      </c>
    </row>
    <row r="25" spans="1:16" x14ac:dyDescent="0.3">
      <c r="A25" s="25">
        <f>YEAR('RETAIL SALES DATA.'!K24)</f>
        <v>2025</v>
      </c>
      <c r="B25" s="13" t="str">
        <v>Jun</v>
      </c>
      <c r="C25" s="42">
        <f>DAY('RETAIL SALES DATA.'!K24)</f>
        <v>18</v>
      </c>
      <c r="D25" s="13">
        <v>2025</v>
      </c>
      <c r="E25" s="13" t="str">
        <v>Jun</v>
      </c>
      <c r="F25" s="13">
        <v>24</v>
      </c>
      <c r="G25" s="10"/>
      <c r="H25" s="13">
        <f>NETWORKDAYS('RETAIL SALES DATA.'!K24,'RETAIL SALES DATA.'!L24)</f>
        <v>5</v>
      </c>
      <c r="I25" s="13">
        <v>6</v>
      </c>
      <c r="J25" s="10"/>
      <c r="K25" s="13">
        <v>7</v>
      </c>
      <c r="L25" s="13">
        <v>11</v>
      </c>
      <c r="M25" s="13">
        <v>43</v>
      </c>
      <c r="N25" s="13">
        <v>0</v>
      </c>
      <c r="O25" s="54">
        <f t="shared" si="0"/>
        <v>0.48819444444444443</v>
      </c>
      <c r="P25" s="55">
        <f t="shared" si="1"/>
        <v>0.3215277777777778</v>
      </c>
    </row>
    <row r="26" spans="1:16" x14ac:dyDescent="0.3">
      <c r="A26" s="25">
        <f>YEAR('RETAIL SALES DATA.'!K25)</f>
        <v>2024</v>
      </c>
      <c r="B26" s="13" t="str">
        <v>Nov</v>
      </c>
      <c r="C26" s="42">
        <f>DAY('RETAIL SALES DATA.'!K25)</f>
        <v>7</v>
      </c>
      <c r="D26" s="13">
        <v>2024</v>
      </c>
      <c r="E26" s="13" t="str">
        <v>Nov</v>
      </c>
      <c r="F26" s="13">
        <v>17</v>
      </c>
      <c r="G26" s="10"/>
      <c r="H26" s="13">
        <f>NETWORKDAYS('RETAIL SALES DATA.'!K25,'RETAIL SALES DATA.'!L25)</f>
        <v>7</v>
      </c>
      <c r="I26" s="13">
        <v>10</v>
      </c>
      <c r="J26" s="10"/>
      <c r="K26" s="13">
        <v>14</v>
      </c>
      <c r="L26" s="13">
        <v>11</v>
      </c>
      <c r="M26" s="13">
        <v>42</v>
      </c>
      <c r="N26" s="13">
        <v>0</v>
      </c>
      <c r="O26" s="54">
        <f t="shared" si="0"/>
        <v>0.48749999999999999</v>
      </c>
      <c r="P26" s="55">
        <f t="shared" si="1"/>
        <v>0.61250000000000004</v>
      </c>
    </row>
    <row r="27" spans="1:16" x14ac:dyDescent="0.3">
      <c r="A27" s="25">
        <f>YEAR('RETAIL SALES DATA.'!K26)</f>
        <v>2024</v>
      </c>
      <c r="B27" s="13" t="str">
        <v>Aug</v>
      </c>
      <c r="C27" s="42">
        <f>DAY('RETAIL SALES DATA.'!K26)</f>
        <v>16</v>
      </c>
      <c r="D27" s="13">
        <v>2024</v>
      </c>
      <c r="E27" s="13" t="str">
        <v>Aug</v>
      </c>
      <c r="F27" s="13">
        <v>17</v>
      </c>
      <c r="G27" s="10"/>
      <c r="H27" s="13">
        <f>NETWORKDAYS('RETAIL SALES DATA.'!K26,'RETAIL SALES DATA.'!L26)</f>
        <v>1</v>
      </c>
      <c r="I27" s="13">
        <v>1</v>
      </c>
      <c r="J27" s="10"/>
      <c r="K27" s="13">
        <v>7</v>
      </c>
      <c r="L27" s="13">
        <v>10</v>
      </c>
      <c r="M27" s="13">
        <v>39</v>
      </c>
      <c r="N27" s="13">
        <v>0</v>
      </c>
      <c r="O27" s="54">
        <f t="shared" si="0"/>
        <v>0.44374999999999998</v>
      </c>
      <c r="P27" s="55">
        <f t="shared" si="1"/>
        <v>0.31874999999999998</v>
      </c>
    </row>
    <row r="28" spans="1:16" x14ac:dyDescent="0.3">
      <c r="A28" s="25">
        <f>YEAR('RETAIL SALES DATA.'!K27)</f>
        <v>2025</v>
      </c>
      <c r="B28" s="13" t="str">
        <v>May</v>
      </c>
      <c r="C28" s="42">
        <f>DAY('RETAIL SALES DATA.'!K27)</f>
        <v>30</v>
      </c>
      <c r="D28" s="13">
        <v>2025</v>
      </c>
      <c r="E28" s="13" t="str">
        <v>Jun</v>
      </c>
      <c r="F28" s="13">
        <v>6</v>
      </c>
      <c r="G28" s="10"/>
      <c r="H28" s="13">
        <f>NETWORKDAYS('RETAIL SALES DATA.'!K27,'RETAIL SALES DATA.'!L27)</f>
        <v>6</v>
      </c>
      <c r="I28" s="13">
        <v>7</v>
      </c>
      <c r="J28" s="10"/>
      <c r="K28" s="13">
        <v>19</v>
      </c>
      <c r="L28" s="13">
        <v>10</v>
      </c>
      <c r="M28" s="13">
        <v>7</v>
      </c>
      <c r="N28" s="13">
        <v>0</v>
      </c>
      <c r="O28" s="54">
        <f t="shared" si="0"/>
        <v>0.42152777777777778</v>
      </c>
      <c r="P28" s="55">
        <f t="shared" si="1"/>
        <v>0.79652777777777772</v>
      </c>
    </row>
    <row r="29" spans="1:16" x14ac:dyDescent="0.3">
      <c r="A29" s="25">
        <f>YEAR('RETAIL SALES DATA.'!K28)</f>
        <v>2024</v>
      </c>
      <c r="B29" s="13" t="str">
        <v>Dec</v>
      </c>
      <c r="C29" s="42">
        <f>DAY('RETAIL SALES DATA.'!K28)</f>
        <v>17</v>
      </c>
      <c r="D29" s="13">
        <v>2024</v>
      </c>
      <c r="E29" s="13" t="str">
        <v>Dec</v>
      </c>
      <c r="F29" s="13">
        <v>19</v>
      </c>
      <c r="G29" s="10"/>
      <c r="H29" s="13">
        <f>NETWORKDAYS('RETAIL SALES DATA.'!K28,'RETAIL SALES DATA.'!L28)</f>
        <v>3</v>
      </c>
      <c r="I29" s="13">
        <v>2</v>
      </c>
      <c r="J29" s="10"/>
      <c r="K29" s="13">
        <v>21</v>
      </c>
      <c r="L29" s="13">
        <v>10</v>
      </c>
      <c r="M29" s="13">
        <v>46</v>
      </c>
      <c r="N29" s="13">
        <v>0</v>
      </c>
      <c r="O29" s="54">
        <f t="shared" si="0"/>
        <v>0.44861111111111113</v>
      </c>
      <c r="P29" s="55">
        <f t="shared" si="1"/>
        <v>0.90694444444444444</v>
      </c>
    </row>
    <row r="30" spans="1:16" x14ac:dyDescent="0.3">
      <c r="A30" s="25">
        <f>YEAR('RETAIL SALES DATA.'!K29)</f>
        <v>2025</v>
      </c>
      <c r="B30" s="13" t="str">
        <v>Jan</v>
      </c>
      <c r="C30" s="42">
        <f>DAY('RETAIL SALES DATA.'!K29)</f>
        <v>9</v>
      </c>
      <c r="D30" s="13">
        <v>2025</v>
      </c>
      <c r="E30" s="13" t="str">
        <v>Jan</v>
      </c>
      <c r="F30" s="13">
        <v>18</v>
      </c>
      <c r="G30" s="10"/>
      <c r="H30" s="13">
        <f>NETWORKDAYS('RETAIL SALES DATA.'!K29,'RETAIL SALES DATA.'!L29)</f>
        <v>7</v>
      </c>
      <c r="I30" s="13">
        <v>9</v>
      </c>
      <c r="J30" s="10"/>
      <c r="K30" s="13">
        <v>12</v>
      </c>
      <c r="L30" s="13">
        <v>8</v>
      </c>
      <c r="M30" s="13">
        <v>32</v>
      </c>
      <c r="N30" s="13">
        <v>0</v>
      </c>
      <c r="O30" s="54">
        <f t="shared" si="0"/>
        <v>0.35555555555555557</v>
      </c>
      <c r="P30" s="55">
        <f t="shared" si="1"/>
        <v>0.52222222222222225</v>
      </c>
    </row>
    <row r="31" spans="1:16" x14ac:dyDescent="0.3">
      <c r="A31" s="25">
        <f>YEAR('RETAIL SALES DATA.'!K30)</f>
        <v>2025</v>
      </c>
      <c r="B31" s="13" t="str">
        <v>Jul</v>
      </c>
      <c r="C31" s="42">
        <f>DAY('RETAIL SALES DATA.'!K30)</f>
        <v>5</v>
      </c>
      <c r="D31" s="13">
        <v>2025</v>
      </c>
      <c r="E31" s="13" t="str">
        <v>Jul</v>
      </c>
      <c r="F31" s="13">
        <v>8</v>
      </c>
      <c r="G31" s="10"/>
      <c r="H31" s="13">
        <f>NETWORKDAYS('RETAIL SALES DATA.'!K30,'RETAIL SALES DATA.'!L30)</f>
        <v>2</v>
      </c>
      <c r="I31" s="13">
        <v>3</v>
      </c>
      <c r="J31" s="10"/>
      <c r="K31" s="13">
        <v>21</v>
      </c>
      <c r="L31" s="13">
        <v>10</v>
      </c>
      <c r="M31" s="13">
        <v>55</v>
      </c>
      <c r="N31" s="13">
        <v>0</v>
      </c>
      <c r="O31" s="54">
        <f t="shared" si="0"/>
        <v>0.4548611111111111</v>
      </c>
      <c r="P31" s="55">
        <f t="shared" si="1"/>
        <v>0.91319444444444442</v>
      </c>
    </row>
    <row r="32" spans="1:16" x14ac:dyDescent="0.3">
      <c r="A32" s="25">
        <f>YEAR('RETAIL SALES DATA.'!K31)</f>
        <v>2025</v>
      </c>
      <c r="B32" s="13" t="str">
        <v>Jun</v>
      </c>
      <c r="C32" s="42">
        <f>DAY('RETAIL SALES DATA.'!K31)</f>
        <v>5</v>
      </c>
      <c r="D32" s="13">
        <v>2025</v>
      </c>
      <c r="E32" s="13" t="str">
        <v>Jun</v>
      </c>
      <c r="F32" s="13">
        <v>11</v>
      </c>
      <c r="G32" s="10"/>
      <c r="H32" s="13">
        <f>NETWORKDAYS('RETAIL SALES DATA.'!K31,'RETAIL SALES DATA.'!L31)</f>
        <v>5</v>
      </c>
      <c r="I32" s="13">
        <v>6</v>
      </c>
      <c r="J32" s="10"/>
      <c r="K32" s="13">
        <v>7</v>
      </c>
      <c r="L32" s="13">
        <v>10</v>
      </c>
      <c r="M32" s="13">
        <v>42</v>
      </c>
      <c r="N32" s="13">
        <v>0</v>
      </c>
      <c r="O32" s="54">
        <f t="shared" si="0"/>
        <v>0.44583333333333336</v>
      </c>
      <c r="P32" s="55">
        <f t="shared" si="1"/>
        <v>0.32083333333333336</v>
      </c>
    </row>
    <row r="33" spans="1:16" x14ac:dyDescent="0.3">
      <c r="A33" s="25">
        <f>YEAR('RETAIL SALES DATA.'!K32)</f>
        <v>2024</v>
      </c>
      <c r="B33" s="13" t="str">
        <v>Jul</v>
      </c>
      <c r="C33" s="42">
        <f>DAY('RETAIL SALES DATA.'!K32)</f>
        <v>7</v>
      </c>
      <c r="D33" s="13">
        <v>2024</v>
      </c>
      <c r="E33" s="13" t="str">
        <v>Jul</v>
      </c>
      <c r="F33" s="13">
        <v>12</v>
      </c>
      <c r="G33" s="10"/>
      <c r="H33" s="13">
        <f>NETWORKDAYS('RETAIL SALES DATA.'!K32,'RETAIL SALES DATA.'!L32)</f>
        <v>5</v>
      </c>
      <c r="I33" s="13">
        <v>5</v>
      </c>
      <c r="J33" s="10"/>
      <c r="K33" s="13">
        <v>12</v>
      </c>
      <c r="L33" s="13">
        <v>10</v>
      </c>
      <c r="M33" s="13">
        <v>1</v>
      </c>
      <c r="N33" s="13">
        <v>0</v>
      </c>
      <c r="O33" s="54">
        <f t="shared" si="0"/>
        <v>0.41736111111111113</v>
      </c>
      <c r="P33" s="55">
        <f t="shared" si="1"/>
        <v>0.50069444444444444</v>
      </c>
    </row>
    <row r="34" spans="1:16" x14ac:dyDescent="0.3">
      <c r="A34" s="25">
        <f>YEAR('RETAIL SALES DATA.'!K33)</f>
        <v>2025</v>
      </c>
      <c r="B34" s="13" t="str">
        <v>May</v>
      </c>
      <c r="C34" s="42">
        <f>DAY('RETAIL SALES DATA.'!K33)</f>
        <v>31</v>
      </c>
      <c r="D34" s="13">
        <v>2025</v>
      </c>
      <c r="E34" s="13" t="str">
        <v>Jun</v>
      </c>
      <c r="F34" s="13">
        <v>4</v>
      </c>
      <c r="G34" s="10"/>
      <c r="H34" s="13">
        <f>NETWORKDAYS('RETAIL SALES DATA.'!K33,'RETAIL SALES DATA.'!L33)</f>
        <v>3</v>
      </c>
      <c r="I34" s="13">
        <v>4</v>
      </c>
      <c r="J34" s="10"/>
      <c r="K34" s="13">
        <v>7</v>
      </c>
      <c r="L34" s="13">
        <v>8</v>
      </c>
      <c r="M34" s="13">
        <v>27</v>
      </c>
      <c r="N34" s="13">
        <v>0</v>
      </c>
      <c r="O34" s="54">
        <f t="shared" si="0"/>
        <v>0.35208333333333336</v>
      </c>
      <c r="P34" s="55">
        <f t="shared" si="1"/>
        <v>0.31041666666666667</v>
      </c>
    </row>
    <row r="35" spans="1:16" x14ac:dyDescent="0.3">
      <c r="A35" s="25">
        <f>YEAR('RETAIL SALES DATA.'!K34)</f>
        <v>2026</v>
      </c>
      <c r="B35" s="13" t="str">
        <v>Jan</v>
      </c>
      <c r="C35" s="42">
        <f>DAY('RETAIL SALES DATA.'!K34)</f>
        <v>4</v>
      </c>
      <c r="D35" s="13">
        <v>2026</v>
      </c>
      <c r="E35" s="13" t="str">
        <v>Jan</v>
      </c>
      <c r="F35" s="13">
        <v>10</v>
      </c>
      <c r="G35" s="10"/>
      <c r="H35" s="13">
        <f>NETWORKDAYS('RETAIL SALES DATA.'!K34,'RETAIL SALES DATA.'!L34)</f>
        <v>5</v>
      </c>
      <c r="I35" s="13">
        <v>6</v>
      </c>
      <c r="J35" s="10"/>
      <c r="K35" s="13">
        <v>0</v>
      </c>
      <c r="L35" s="13">
        <v>11</v>
      </c>
      <c r="M35" s="13">
        <v>34</v>
      </c>
      <c r="N35" s="13">
        <v>0</v>
      </c>
      <c r="O35" s="54">
        <f t="shared" si="0"/>
        <v>0.48194444444444445</v>
      </c>
      <c r="P35" s="55">
        <f t="shared" si="1"/>
        <v>2.361111111111111E-2</v>
      </c>
    </row>
    <row r="36" spans="1:16" x14ac:dyDescent="0.3">
      <c r="A36" s="25">
        <f>YEAR('RETAIL SALES DATA.'!K35)</f>
        <v>2024</v>
      </c>
      <c r="B36" s="13" t="str">
        <v>Dec</v>
      </c>
      <c r="C36" s="42">
        <f>DAY('RETAIL SALES DATA.'!K35)</f>
        <v>3</v>
      </c>
      <c r="D36" s="13">
        <v>2024</v>
      </c>
      <c r="E36" s="13" t="str">
        <v>Dec</v>
      </c>
      <c r="F36" s="13">
        <v>13</v>
      </c>
      <c r="G36" s="10"/>
      <c r="H36" s="13">
        <f>NETWORKDAYS('RETAIL SALES DATA.'!K35,'RETAIL SALES DATA.'!L35)</f>
        <v>9</v>
      </c>
      <c r="I36" s="13">
        <v>10</v>
      </c>
      <c r="J36" s="10"/>
      <c r="K36" s="13">
        <v>16</v>
      </c>
      <c r="L36" s="13">
        <v>10</v>
      </c>
      <c r="M36" s="13">
        <v>16</v>
      </c>
      <c r="N36" s="13">
        <v>0</v>
      </c>
      <c r="O36" s="54">
        <f t="shared" si="0"/>
        <v>0.42777777777777776</v>
      </c>
      <c r="P36" s="55">
        <f t="shared" si="1"/>
        <v>0.67777777777777781</v>
      </c>
    </row>
    <row r="37" spans="1:16" x14ac:dyDescent="0.3">
      <c r="A37" s="25">
        <f>YEAR('RETAIL SALES DATA.'!K36)</f>
        <v>2025</v>
      </c>
      <c r="B37" s="13" t="str">
        <v>Sep</v>
      </c>
      <c r="C37" s="42">
        <f>DAY('RETAIL SALES DATA.'!K36)</f>
        <v>16</v>
      </c>
      <c r="D37" s="13">
        <v>2025</v>
      </c>
      <c r="E37" s="13" t="str">
        <v>Sep</v>
      </c>
      <c r="F37" s="13">
        <v>25</v>
      </c>
      <c r="G37" s="10"/>
      <c r="H37" s="13">
        <f>NETWORKDAYS('RETAIL SALES DATA.'!K36,'RETAIL SALES DATA.'!L36)</f>
        <v>8</v>
      </c>
      <c r="I37" s="13">
        <v>9</v>
      </c>
      <c r="J37" s="10"/>
      <c r="K37" s="13">
        <v>9</v>
      </c>
      <c r="L37" s="13">
        <v>11</v>
      </c>
      <c r="M37" s="13">
        <v>25</v>
      </c>
      <c r="N37" s="13">
        <v>0</v>
      </c>
      <c r="O37" s="54">
        <f t="shared" si="0"/>
        <v>0.47569444444444442</v>
      </c>
      <c r="P37" s="55">
        <f t="shared" si="1"/>
        <v>0.3923611111111111</v>
      </c>
    </row>
    <row r="38" spans="1:16" x14ac:dyDescent="0.3">
      <c r="A38" s="25">
        <f>YEAR('RETAIL SALES DATA.'!K37)</f>
        <v>2026</v>
      </c>
      <c r="B38" s="13" t="str">
        <v>Apr</v>
      </c>
      <c r="C38" s="42">
        <f>DAY('RETAIL SALES DATA.'!K37)</f>
        <v>5</v>
      </c>
      <c r="D38" s="13">
        <v>2026</v>
      </c>
      <c r="E38" s="13" t="str">
        <v>Apr</v>
      </c>
      <c r="F38" s="13">
        <v>9</v>
      </c>
      <c r="G38" s="10"/>
      <c r="H38" s="13">
        <f>NETWORKDAYS('RETAIL SALES DATA.'!K37,'RETAIL SALES DATA.'!L37)</f>
        <v>4</v>
      </c>
      <c r="I38" s="13">
        <v>4</v>
      </c>
      <c r="J38" s="10"/>
      <c r="K38" s="13">
        <v>9</v>
      </c>
      <c r="L38" s="13">
        <v>11</v>
      </c>
      <c r="M38" s="13">
        <v>39</v>
      </c>
      <c r="N38" s="13">
        <v>0</v>
      </c>
      <c r="O38" s="54">
        <f t="shared" si="0"/>
        <v>0.48541666666666666</v>
      </c>
      <c r="P38" s="55">
        <f t="shared" si="1"/>
        <v>0.40208333333333335</v>
      </c>
    </row>
    <row r="39" spans="1:16" x14ac:dyDescent="0.3">
      <c r="A39" s="25">
        <f>YEAR('RETAIL SALES DATA.'!K38)</f>
        <v>2025</v>
      </c>
      <c r="B39" s="13" t="str">
        <v>Sep</v>
      </c>
      <c r="C39" s="42">
        <f>DAY('RETAIL SALES DATA.'!K38)</f>
        <v>13</v>
      </c>
      <c r="D39" s="13">
        <v>2025</v>
      </c>
      <c r="E39" s="13" t="str">
        <v>Sep</v>
      </c>
      <c r="F39" s="13">
        <v>17</v>
      </c>
      <c r="G39" s="10"/>
      <c r="H39" s="13">
        <f>NETWORKDAYS('RETAIL SALES DATA.'!K38,'RETAIL SALES DATA.'!L38)</f>
        <v>3</v>
      </c>
      <c r="I39" s="13">
        <v>4</v>
      </c>
      <c r="J39" s="10"/>
      <c r="K39" s="13">
        <v>2</v>
      </c>
      <c r="L39" s="13">
        <v>8</v>
      </c>
      <c r="M39" s="13">
        <v>56</v>
      </c>
      <c r="N39" s="13">
        <v>0</v>
      </c>
      <c r="O39" s="54">
        <f t="shared" si="0"/>
        <v>0.37222222222222223</v>
      </c>
      <c r="P39" s="55">
        <f t="shared" si="1"/>
        <v>0.12222222222222222</v>
      </c>
    </row>
    <row r="40" spans="1:16" x14ac:dyDescent="0.3">
      <c r="A40" s="25">
        <f>YEAR('RETAIL SALES DATA.'!K39)</f>
        <v>2025</v>
      </c>
      <c r="B40" s="13" t="str">
        <v>Mar</v>
      </c>
      <c r="C40" s="42">
        <f>DAY('RETAIL SALES DATA.'!K39)</f>
        <v>10</v>
      </c>
      <c r="D40" s="13">
        <v>2025</v>
      </c>
      <c r="E40" s="13" t="str">
        <v>Mar</v>
      </c>
      <c r="F40" s="13">
        <v>12</v>
      </c>
      <c r="G40" s="10"/>
      <c r="H40" s="13">
        <f>NETWORKDAYS('RETAIL SALES DATA.'!K39,'RETAIL SALES DATA.'!L39)</f>
        <v>3</v>
      </c>
      <c r="I40" s="13">
        <v>2</v>
      </c>
      <c r="J40" s="10"/>
      <c r="K40" s="13">
        <v>12</v>
      </c>
      <c r="L40" s="13">
        <v>9</v>
      </c>
      <c r="M40" s="13">
        <v>54</v>
      </c>
      <c r="N40" s="13">
        <v>0</v>
      </c>
      <c r="O40" s="54">
        <f t="shared" si="0"/>
        <v>0.41249999999999998</v>
      </c>
      <c r="P40" s="55">
        <f t="shared" si="1"/>
        <v>0.53749999999999998</v>
      </c>
    </row>
    <row r="41" spans="1:16" x14ac:dyDescent="0.3">
      <c r="A41" s="25">
        <f>YEAR('RETAIL SALES DATA.'!K40)</f>
        <v>2025</v>
      </c>
      <c r="B41" s="13" t="str">
        <v>Apr</v>
      </c>
      <c r="C41" s="42">
        <f>DAY('RETAIL SALES DATA.'!K40)</f>
        <v>5</v>
      </c>
      <c r="D41" s="13">
        <v>2025</v>
      </c>
      <c r="E41" s="13" t="str">
        <v>Apr</v>
      </c>
      <c r="F41" s="13">
        <v>14</v>
      </c>
      <c r="G41" s="10"/>
      <c r="H41" s="13">
        <f>NETWORKDAYS('RETAIL SALES DATA.'!K40,'RETAIL SALES DATA.'!L40)</f>
        <v>6</v>
      </c>
      <c r="I41" s="13">
        <v>9</v>
      </c>
      <c r="J41" s="10"/>
      <c r="K41" s="13">
        <v>9</v>
      </c>
      <c r="L41" s="13">
        <v>9</v>
      </c>
      <c r="M41" s="13">
        <v>13</v>
      </c>
      <c r="N41" s="13">
        <v>0</v>
      </c>
      <c r="O41" s="54">
        <f t="shared" si="0"/>
        <v>0.3840277777777778</v>
      </c>
      <c r="P41" s="55">
        <f t="shared" si="1"/>
        <v>0.3840277777777778</v>
      </c>
    </row>
    <row r="42" spans="1:16" x14ac:dyDescent="0.3">
      <c r="A42" s="25">
        <f>YEAR('RETAIL SALES DATA.'!K41)</f>
        <v>2025</v>
      </c>
      <c r="B42" s="13" t="str">
        <v>May</v>
      </c>
      <c r="C42" s="42">
        <f>DAY('RETAIL SALES DATA.'!K41)</f>
        <v>22</v>
      </c>
      <c r="D42" s="13">
        <v>2025</v>
      </c>
      <c r="E42" s="13" t="str">
        <v>May</v>
      </c>
      <c r="F42" s="13">
        <v>26</v>
      </c>
      <c r="G42" s="10"/>
      <c r="H42" s="13">
        <f>NETWORKDAYS('RETAIL SALES DATA.'!K41,'RETAIL SALES DATA.'!L41)</f>
        <v>3</v>
      </c>
      <c r="I42" s="13">
        <v>4</v>
      </c>
      <c r="J42" s="10"/>
      <c r="K42" s="13">
        <v>19</v>
      </c>
      <c r="L42" s="13">
        <v>11</v>
      </c>
      <c r="M42" s="13">
        <v>15</v>
      </c>
      <c r="N42" s="13">
        <v>0</v>
      </c>
      <c r="O42" s="54">
        <f t="shared" si="0"/>
        <v>0.46875</v>
      </c>
      <c r="P42" s="55">
        <f t="shared" si="1"/>
        <v>0.80208333333333337</v>
      </c>
    </row>
    <row r="43" spans="1:16" x14ac:dyDescent="0.3">
      <c r="A43" s="25">
        <f>YEAR('RETAIL SALES DATA.'!K42)</f>
        <v>2024</v>
      </c>
      <c r="B43" s="13" t="str">
        <v>Dec</v>
      </c>
      <c r="C43" s="42">
        <f>DAY('RETAIL SALES DATA.'!K42)</f>
        <v>9</v>
      </c>
      <c r="D43" s="13">
        <v>2024</v>
      </c>
      <c r="E43" s="13" t="str">
        <v>Dec</v>
      </c>
      <c r="F43" s="13">
        <v>11</v>
      </c>
      <c r="G43" s="10"/>
      <c r="H43" s="13">
        <f>NETWORKDAYS('RETAIL SALES DATA.'!K42,'RETAIL SALES DATA.'!L42)</f>
        <v>3</v>
      </c>
      <c r="I43" s="13">
        <v>2</v>
      </c>
      <c r="J43" s="10"/>
      <c r="K43" s="13">
        <v>4</v>
      </c>
      <c r="L43" s="13">
        <v>8</v>
      </c>
      <c r="M43" s="13">
        <v>13</v>
      </c>
      <c r="N43" s="13">
        <v>0</v>
      </c>
      <c r="O43" s="54">
        <f t="shared" si="0"/>
        <v>0.34236111111111112</v>
      </c>
      <c r="P43" s="55">
        <f t="shared" si="1"/>
        <v>0.17569444444444443</v>
      </c>
    </row>
    <row r="44" spans="1:16" x14ac:dyDescent="0.3">
      <c r="A44" s="25">
        <f>YEAR('RETAIL SALES DATA.'!K43)</f>
        <v>2025</v>
      </c>
      <c r="B44" s="13" t="str">
        <v>Dec</v>
      </c>
      <c r="C44" s="42">
        <f>DAY('RETAIL SALES DATA.'!K43)</f>
        <v>1</v>
      </c>
      <c r="D44" s="13">
        <v>2025</v>
      </c>
      <c r="E44" s="13" t="str">
        <v>Dec</v>
      </c>
      <c r="F44" s="13">
        <v>3</v>
      </c>
      <c r="G44" s="10"/>
      <c r="H44" s="13">
        <f>NETWORKDAYS('RETAIL SALES DATA.'!K43,'RETAIL SALES DATA.'!L43)</f>
        <v>3</v>
      </c>
      <c r="I44" s="13">
        <v>2</v>
      </c>
      <c r="J44" s="10"/>
      <c r="K44" s="13">
        <v>2</v>
      </c>
      <c r="L44" s="13">
        <v>11</v>
      </c>
      <c r="M44" s="13">
        <v>50</v>
      </c>
      <c r="N44" s="13">
        <v>0</v>
      </c>
      <c r="O44" s="54">
        <f t="shared" si="0"/>
        <v>0.49305555555555558</v>
      </c>
      <c r="P44" s="55">
        <f t="shared" si="1"/>
        <v>0.11805555555555555</v>
      </c>
    </row>
    <row r="45" spans="1:16" x14ac:dyDescent="0.3">
      <c r="A45" s="25">
        <f>YEAR('RETAIL SALES DATA.'!K44)</f>
        <v>2026</v>
      </c>
      <c r="B45" s="13" t="str">
        <v>Apr</v>
      </c>
      <c r="C45" s="42">
        <f>DAY('RETAIL SALES DATA.'!K44)</f>
        <v>20</v>
      </c>
      <c r="D45" s="13">
        <v>2026</v>
      </c>
      <c r="E45" s="13" t="str">
        <v>Apr</v>
      </c>
      <c r="F45" s="13">
        <v>23</v>
      </c>
      <c r="G45" s="10"/>
      <c r="H45" s="13">
        <f>NETWORKDAYS('RETAIL SALES DATA.'!K44,'RETAIL SALES DATA.'!L44)</f>
        <v>4</v>
      </c>
      <c r="I45" s="13">
        <v>3</v>
      </c>
      <c r="J45" s="10"/>
      <c r="K45" s="13">
        <v>2</v>
      </c>
      <c r="L45" s="13">
        <v>10</v>
      </c>
      <c r="M45" s="13">
        <v>26</v>
      </c>
      <c r="N45" s="13">
        <v>0</v>
      </c>
      <c r="O45" s="54">
        <f t="shared" si="0"/>
        <v>0.43472222222222223</v>
      </c>
      <c r="P45" s="55">
        <f t="shared" si="1"/>
        <v>0.10138888888888889</v>
      </c>
    </row>
    <row r="46" spans="1:16" x14ac:dyDescent="0.3">
      <c r="A46" s="25">
        <f>YEAR('RETAIL SALES DATA.'!K45)</f>
        <v>2025</v>
      </c>
      <c r="B46" s="13" t="str">
        <v>Dec</v>
      </c>
      <c r="C46" s="42">
        <f>DAY('RETAIL SALES DATA.'!K45)</f>
        <v>16</v>
      </c>
      <c r="D46" s="13">
        <v>2025</v>
      </c>
      <c r="E46" s="13" t="str">
        <v>Dec</v>
      </c>
      <c r="F46" s="13">
        <v>25</v>
      </c>
      <c r="G46" s="10"/>
      <c r="H46" s="13">
        <f>NETWORKDAYS('RETAIL SALES DATA.'!K45,'RETAIL SALES DATA.'!L45)</f>
        <v>8</v>
      </c>
      <c r="I46" s="13">
        <v>9</v>
      </c>
      <c r="J46" s="10"/>
      <c r="K46" s="13">
        <v>16</v>
      </c>
      <c r="L46" s="13">
        <v>9</v>
      </c>
      <c r="M46" s="13">
        <v>40</v>
      </c>
      <c r="N46" s="13">
        <v>0</v>
      </c>
      <c r="O46" s="54">
        <f t="shared" si="0"/>
        <v>0.40277777777777779</v>
      </c>
      <c r="P46" s="55">
        <f t="shared" si="1"/>
        <v>0.69444444444444442</v>
      </c>
    </row>
    <row r="47" spans="1:16" x14ac:dyDescent="0.3">
      <c r="A47" s="25">
        <f>YEAR('RETAIL SALES DATA.'!K46)</f>
        <v>2024</v>
      </c>
      <c r="B47" s="13" t="str">
        <v>Sep</v>
      </c>
      <c r="C47" s="42">
        <f>DAY('RETAIL SALES DATA.'!K46)</f>
        <v>3</v>
      </c>
      <c r="D47" s="13">
        <v>2024</v>
      </c>
      <c r="E47" s="13" t="str">
        <v>Sep</v>
      </c>
      <c r="F47" s="13">
        <v>9</v>
      </c>
      <c r="G47" s="10"/>
      <c r="H47" s="13">
        <f>NETWORKDAYS('RETAIL SALES DATA.'!K46,'RETAIL SALES DATA.'!L46)</f>
        <v>5</v>
      </c>
      <c r="I47" s="13">
        <v>6</v>
      </c>
      <c r="J47" s="10"/>
      <c r="K47" s="13">
        <v>21</v>
      </c>
      <c r="L47" s="13">
        <v>8</v>
      </c>
      <c r="M47" s="13">
        <v>38</v>
      </c>
      <c r="N47" s="13">
        <v>0</v>
      </c>
      <c r="O47" s="54">
        <f t="shared" si="0"/>
        <v>0.35972222222222222</v>
      </c>
      <c r="P47" s="55">
        <f t="shared" si="1"/>
        <v>0.90138888888888891</v>
      </c>
    </row>
    <row r="48" spans="1:16" x14ac:dyDescent="0.3">
      <c r="A48" s="25">
        <f>YEAR('RETAIL SALES DATA.'!K47)</f>
        <v>2024</v>
      </c>
      <c r="B48" s="13" t="str">
        <v>Nov</v>
      </c>
      <c r="C48" s="42">
        <f>DAY('RETAIL SALES DATA.'!K47)</f>
        <v>10</v>
      </c>
      <c r="D48" s="13">
        <v>2024</v>
      </c>
      <c r="E48" s="13" t="str">
        <v>Nov</v>
      </c>
      <c r="F48" s="13">
        <v>20</v>
      </c>
      <c r="G48" s="10"/>
      <c r="H48" s="13">
        <f>NETWORKDAYS('RETAIL SALES DATA.'!K47,'RETAIL SALES DATA.'!L47)</f>
        <v>8</v>
      </c>
      <c r="I48" s="13">
        <v>10</v>
      </c>
      <c r="J48" s="10"/>
      <c r="K48" s="13">
        <v>7</v>
      </c>
      <c r="L48" s="13">
        <v>8</v>
      </c>
      <c r="M48" s="13">
        <v>54</v>
      </c>
      <c r="N48" s="13">
        <v>0</v>
      </c>
      <c r="O48" s="54">
        <f t="shared" si="0"/>
        <v>0.37083333333333335</v>
      </c>
      <c r="P48" s="55">
        <f t="shared" si="1"/>
        <v>0.32916666666666666</v>
      </c>
    </row>
    <row r="49" spans="1:16" x14ac:dyDescent="0.3">
      <c r="A49" s="25">
        <f>YEAR('RETAIL SALES DATA.'!K48)</f>
        <v>2026</v>
      </c>
      <c r="B49" s="13" t="str">
        <v>Mar</v>
      </c>
      <c r="C49" s="42">
        <f>DAY('RETAIL SALES DATA.'!K48)</f>
        <v>1</v>
      </c>
      <c r="D49" s="13">
        <v>2026</v>
      </c>
      <c r="E49" s="13" t="str">
        <v>Mar</v>
      </c>
      <c r="F49" s="13">
        <v>5</v>
      </c>
      <c r="G49" s="10"/>
      <c r="H49" s="13">
        <f>NETWORKDAYS('RETAIL SALES DATA.'!K48,'RETAIL SALES DATA.'!L48)</f>
        <v>4</v>
      </c>
      <c r="I49" s="13">
        <v>4</v>
      </c>
      <c r="J49" s="10"/>
      <c r="K49" s="13">
        <v>7</v>
      </c>
      <c r="L49" s="13">
        <v>8</v>
      </c>
      <c r="M49" s="13">
        <v>56</v>
      </c>
      <c r="N49" s="13">
        <v>0</v>
      </c>
      <c r="O49" s="54">
        <f t="shared" si="0"/>
        <v>0.37222222222222223</v>
      </c>
      <c r="P49" s="55">
        <f t="shared" si="1"/>
        <v>0.33055555555555555</v>
      </c>
    </row>
    <row r="50" spans="1:16" x14ac:dyDescent="0.3">
      <c r="A50" s="25">
        <f>YEAR('RETAIL SALES DATA.'!K49)</f>
        <v>2025</v>
      </c>
      <c r="B50" s="13" t="str">
        <v>May</v>
      </c>
      <c r="C50" s="42">
        <f>DAY('RETAIL SALES DATA.'!K49)</f>
        <v>2</v>
      </c>
      <c r="D50" s="13">
        <v>2025</v>
      </c>
      <c r="E50" s="13" t="str">
        <v>May</v>
      </c>
      <c r="F50" s="13">
        <v>12</v>
      </c>
      <c r="G50" s="10"/>
      <c r="H50" s="13">
        <f>NETWORKDAYS('RETAIL SALES DATA.'!K49,'RETAIL SALES DATA.'!L49)</f>
        <v>7</v>
      </c>
      <c r="I50" s="13">
        <v>10</v>
      </c>
      <c r="J50" s="10"/>
      <c r="K50" s="13">
        <v>4</v>
      </c>
      <c r="L50" s="13">
        <v>11</v>
      </c>
      <c r="M50" s="13">
        <v>26</v>
      </c>
      <c r="N50" s="13">
        <v>0</v>
      </c>
      <c r="O50" s="54">
        <f t="shared" si="0"/>
        <v>0.47638888888888886</v>
      </c>
      <c r="P50" s="55">
        <f t="shared" si="1"/>
        <v>0.18472222222222223</v>
      </c>
    </row>
    <row r="51" spans="1:16" x14ac:dyDescent="0.3">
      <c r="A51" s="25">
        <f>YEAR('RETAIL SALES DATA.'!K50)</f>
        <v>2025</v>
      </c>
      <c r="B51" s="13" t="str">
        <v>Feb</v>
      </c>
      <c r="C51" s="42">
        <f>DAY('RETAIL SALES DATA.'!K50)</f>
        <v>13</v>
      </c>
      <c r="D51" s="13">
        <v>2025</v>
      </c>
      <c r="E51" s="13" t="str">
        <v>Feb</v>
      </c>
      <c r="F51" s="13">
        <v>15</v>
      </c>
      <c r="G51" s="10"/>
      <c r="H51" s="13">
        <f>NETWORKDAYS('RETAIL SALES DATA.'!K50,'RETAIL SALES DATA.'!L50)</f>
        <v>2</v>
      </c>
      <c r="I51" s="13">
        <v>2</v>
      </c>
      <c r="J51" s="10"/>
      <c r="K51" s="13">
        <v>14</v>
      </c>
      <c r="L51" s="13">
        <v>10</v>
      </c>
      <c r="M51" s="13">
        <v>17</v>
      </c>
      <c r="N51" s="13">
        <v>0</v>
      </c>
      <c r="O51" s="54">
        <f t="shared" si="0"/>
        <v>0.4284722222222222</v>
      </c>
      <c r="P51" s="55">
        <f t="shared" si="1"/>
        <v>0.59513888888888888</v>
      </c>
    </row>
    <row r="52" spans="1:16" x14ac:dyDescent="0.3">
      <c r="A52" s="25">
        <f>YEAR('RETAIL SALES DATA.'!K51)</f>
        <v>2025</v>
      </c>
      <c r="B52" s="13" t="str">
        <v>May</v>
      </c>
      <c r="C52" s="42">
        <f>DAY('RETAIL SALES DATA.'!K51)</f>
        <v>10</v>
      </c>
      <c r="D52" s="13">
        <v>2025</v>
      </c>
      <c r="E52" s="13" t="str">
        <v>May</v>
      </c>
      <c r="F52" s="13">
        <v>13</v>
      </c>
      <c r="G52" s="10"/>
      <c r="H52" s="13">
        <f>NETWORKDAYS('RETAIL SALES DATA.'!K51,'RETAIL SALES DATA.'!L51)</f>
        <v>2</v>
      </c>
      <c r="I52" s="13">
        <v>3</v>
      </c>
      <c r="J52" s="10"/>
      <c r="K52" s="13">
        <v>12</v>
      </c>
      <c r="L52" s="13">
        <v>9</v>
      </c>
      <c r="M52" s="13">
        <v>13</v>
      </c>
      <c r="N52" s="13">
        <v>0</v>
      </c>
      <c r="O52" s="54">
        <f t="shared" si="0"/>
        <v>0.3840277777777778</v>
      </c>
      <c r="P52" s="55">
        <f t="shared" si="1"/>
        <v>0.50902777777777775</v>
      </c>
    </row>
    <row r="53" spans="1:16" x14ac:dyDescent="0.3">
      <c r="A53" s="25">
        <f>YEAR('RETAIL SALES DATA.'!K52)</f>
        <v>2025</v>
      </c>
      <c r="B53" s="13" t="str">
        <v>Apr</v>
      </c>
      <c r="C53" s="42">
        <f>DAY('RETAIL SALES DATA.'!K52)</f>
        <v>10</v>
      </c>
      <c r="D53" s="13">
        <v>2025</v>
      </c>
      <c r="E53" s="13" t="str">
        <v>Apr</v>
      </c>
      <c r="F53" s="13">
        <v>20</v>
      </c>
      <c r="G53" s="10"/>
      <c r="H53" s="13">
        <f>NETWORKDAYS('RETAIL SALES DATA.'!K52,'RETAIL SALES DATA.'!L52)</f>
        <v>7</v>
      </c>
      <c r="I53" s="13">
        <v>10</v>
      </c>
      <c r="J53" s="10"/>
      <c r="K53" s="13">
        <v>16</v>
      </c>
      <c r="L53" s="13">
        <v>8</v>
      </c>
      <c r="M53" s="13">
        <v>43</v>
      </c>
      <c r="N53" s="13">
        <v>0</v>
      </c>
      <c r="O53" s="54">
        <f t="shared" si="0"/>
        <v>0.36319444444444443</v>
      </c>
      <c r="P53" s="55">
        <f t="shared" si="1"/>
        <v>0.69652777777777775</v>
      </c>
    </row>
    <row r="54" spans="1:16" x14ac:dyDescent="0.3">
      <c r="A54" s="25">
        <f>YEAR('RETAIL SALES DATA.'!K53)</f>
        <v>2026</v>
      </c>
      <c r="B54" s="13" t="str">
        <v>May</v>
      </c>
      <c r="C54" s="42">
        <f>DAY('RETAIL SALES DATA.'!K53)</f>
        <v>14</v>
      </c>
      <c r="D54" s="13">
        <v>2026</v>
      </c>
      <c r="E54" s="13" t="str">
        <v>May</v>
      </c>
      <c r="F54" s="13">
        <v>18</v>
      </c>
      <c r="G54" s="10"/>
      <c r="H54" s="13">
        <f>NETWORKDAYS('RETAIL SALES DATA.'!K53,'RETAIL SALES DATA.'!L53)</f>
        <v>3</v>
      </c>
      <c r="I54" s="13">
        <v>4</v>
      </c>
      <c r="J54" s="10"/>
      <c r="K54" s="13">
        <v>2</v>
      </c>
      <c r="L54" s="13">
        <v>9</v>
      </c>
      <c r="M54" s="13">
        <v>37</v>
      </c>
      <c r="N54" s="13">
        <v>0</v>
      </c>
      <c r="O54" s="54">
        <f t="shared" si="0"/>
        <v>0.40069444444444446</v>
      </c>
      <c r="P54" s="55">
        <f t="shared" si="1"/>
        <v>0.10902777777777778</v>
      </c>
    </row>
    <row r="55" spans="1:16" x14ac:dyDescent="0.3">
      <c r="A55" s="25">
        <f>YEAR('RETAIL SALES DATA.'!K54)</f>
        <v>2026</v>
      </c>
      <c r="B55" s="13" t="str">
        <v>May</v>
      </c>
      <c r="C55" s="42">
        <f>DAY('RETAIL SALES DATA.'!K54)</f>
        <v>1</v>
      </c>
      <c r="D55" s="13">
        <v>2026</v>
      </c>
      <c r="E55" s="13" t="str">
        <v>May</v>
      </c>
      <c r="F55" s="13">
        <v>2</v>
      </c>
      <c r="G55" s="10"/>
      <c r="H55" s="13">
        <f>NETWORKDAYS('RETAIL SALES DATA.'!K54,'RETAIL SALES DATA.'!L54)</f>
        <v>1</v>
      </c>
      <c r="I55" s="13">
        <v>1</v>
      </c>
      <c r="J55" s="10"/>
      <c r="K55" s="13">
        <v>0</v>
      </c>
      <c r="L55" s="13">
        <v>11</v>
      </c>
      <c r="M55" s="13">
        <v>45</v>
      </c>
      <c r="N55" s="13">
        <v>0</v>
      </c>
      <c r="O55" s="54">
        <f t="shared" si="0"/>
        <v>0.48958333333333331</v>
      </c>
      <c r="P55" s="55">
        <f t="shared" si="1"/>
        <v>3.125E-2</v>
      </c>
    </row>
    <row r="56" spans="1:16" x14ac:dyDescent="0.3">
      <c r="A56" s="25">
        <f>YEAR('RETAIL SALES DATA.'!K55)</f>
        <v>2025</v>
      </c>
      <c r="B56" s="13" t="str">
        <v>Mar</v>
      </c>
      <c r="C56" s="42">
        <f>DAY('RETAIL SALES DATA.'!K55)</f>
        <v>29</v>
      </c>
      <c r="D56" s="13">
        <v>2025</v>
      </c>
      <c r="E56" s="13" t="str">
        <v>Apr</v>
      </c>
      <c r="F56" s="13">
        <v>2</v>
      </c>
      <c r="G56" s="10"/>
      <c r="H56" s="13">
        <f>NETWORKDAYS('RETAIL SALES DATA.'!K55,'RETAIL SALES DATA.'!L55)</f>
        <v>3</v>
      </c>
      <c r="I56" s="13">
        <v>4</v>
      </c>
      <c r="J56" s="10"/>
      <c r="K56" s="13">
        <v>0</v>
      </c>
      <c r="L56" s="13">
        <v>8</v>
      </c>
      <c r="M56" s="13">
        <v>57</v>
      </c>
      <c r="N56" s="13">
        <v>0</v>
      </c>
      <c r="O56" s="54">
        <f t="shared" si="0"/>
        <v>0.37291666666666667</v>
      </c>
      <c r="P56" s="55">
        <f t="shared" si="1"/>
        <v>3.9583333333333331E-2</v>
      </c>
    </row>
    <row r="57" spans="1:16" x14ac:dyDescent="0.3">
      <c r="A57" s="25">
        <f>YEAR('RETAIL SALES DATA.'!K56)</f>
        <v>2025</v>
      </c>
      <c r="B57" s="13" t="str">
        <v>Dec</v>
      </c>
      <c r="C57" s="42">
        <f>DAY('RETAIL SALES DATA.'!K56)</f>
        <v>17</v>
      </c>
      <c r="D57" s="13">
        <v>2025</v>
      </c>
      <c r="E57" s="13" t="str">
        <v>Dec</v>
      </c>
      <c r="F57" s="13">
        <v>24</v>
      </c>
      <c r="G57" s="10"/>
      <c r="H57" s="13">
        <f>NETWORKDAYS('RETAIL SALES DATA.'!K56,'RETAIL SALES DATA.'!L56)</f>
        <v>6</v>
      </c>
      <c r="I57" s="13">
        <v>7</v>
      </c>
      <c r="J57" s="10"/>
      <c r="K57" s="13">
        <v>16</v>
      </c>
      <c r="L57" s="13">
        <v>11</v>
      </c>
      <c r="M57" s="13">
        <v>38</v>
      </c>
      <c r="N57" s="13">
        <v>0</v>
      </c>
      <c r="O57" s="54">
        <f t="shared" si="0"/>
        <v>0.48472222222222222</v>
      </c>
      <c r="P57" s="55">
        <f t="shared" si="1"/>
        <v>0.69305555555555554</v>
      </c>
    </row>
    <row r="58" spans="1:16" x14ac:dyDescent="0.3">
      <c r="A58" s="25">
        <f>YEAR('RETAIL SALES DATA.'!K57)</f>
        <v>2026</v>
      </c>
      <c r="B58" s="13" t="str">
        <v>Mar</v>
      </c>
      <c r="C58" s="42">
        <f>DAY('RETAIL SALES DATA.'!K57)</f>
        <v>15</v>
      </c>
      <c r="D58" s="13">
        <v>2026</v>
      </c>
      <c r="E58" s="13" t="str">
        <v>Mar</v>
      </c>
      <c r="F58" s="13">
        <v>24</v>
      </c>
      <c r="G58" s="10"/>
      <c r="H58" s="13">
        <f>NETWORKDAYS('RETAIL SALES DATA.'!K57,'RETAIL SALES DATA.'!L57)</f>
        <v>7</v>
      </c>
      <c r="I58" s="13">
        <v>9</v>
      </c>
      <c r="J58" s="10"/>
      <c r="K58" s="13">
        <v>9</v>
      </c>
      <c r="L58" s="13">
        <v>11</v>
      </c>
      <c r="M58" s="13">
        <v>48</v>
      </c>
      <c r="N58" s="13">
        <v>0</v>
      </c>
      <c r="O58" s="54">
        <f t="shared" si="0"/>
        <v>0.49166666666666664</v>
      </c>
      <c r="P58" s="55">
        <f t="shared" si="1"/>
        <v>0.40833333333333333</v>
      </c>
    </row>
    <row r="59" spans="1:16" x14ac:dyDescent="0.3">
      <c r="A59" s="25">
        <f>YEAR('RETAIL SALES DATA.'!K58)</f>
        <v>2025</v>
      </c>
      <c r="B59" s="13" t="str">
        <v>Mar</v>
      </c>
      <c r="C59" s="42">
        <f>DAY('RETAIL SALES DATA.'!K58)</f>
        <v>18</v>
      </c>
      <c r="D59" s="13">
        <v>2025</v>
      </c>
      <c r="E59" s="13" t="str">
        <v>Mar</v>
      </c>
      <c r="F59" s="13">
        <v>26</v>
      </c>
      <c r="G59" s="10"/>
      <c r="H59" s="13">
        <f>NETWORKDAYS('RETAIL SALES DATA.'!K58,'RETAIL SALES DATA.'!L58)</f>
        <v>7</v>
      </c>
      <c r="I59" s="13">
        <v>8</v>
      </c>
      <c r="J59" s="10"/>
      <c r="K59" s="13">
        <v>4</v>
      </c>
      <c r="L59" s="13">
        <v>10</v>
      </c>
      <c r="M59" s="13">
        <v>48</v>
      </c>
      <c r="N59" s="13">
        <v>0</v>
      </c>
      <c r="O59" s="54">
        <f t="shared" si="0"/>
        <v>0.45</v>
      </c>
      <c r="P59" s="55">
        <f t="shared" si="1"/>
        <v>0.2</v>
      </c>
    </row>
    <row r="60" spans="1:16" x14ac:dyDescent="0.3">
      <c r="A60" s="25">
        <f>YEAR('RETAIL SALES DATA.'!K59)</f>
        <v>2025</v>
      </c>
      <c r="B60" s="13" t="str">
        <v>Aug</v>
      </c>
      <c r="C60" s="42">
        <f>DAY('RETAIL SALES DATA.'!K59)</f>
        <v>18</v>
      </c>
      <c r="D60" s="13">
        <v>2025</v>
      </c>
      <c r="E60" s="13" t="str">
        <v>Aug</v>
      </c>
      <c r="F60" s="13">
        <v>28</v>
      </c>
      <c r="G60" s="10"/>
      <c r="H60" s="13">
        <f>NETWORKDAYS('RETAIL SALES DATA.'!K59,'RETAIL SALES DATA.'!L59)</f>
        <v>9</v>
      </c>
      <c r="I60" s="13">
        <v>10</v>
      </c>
      <c r="J60" s="10"/>
      <c r="K60" s="13">
        <v>21</v>
      </c>
      <c r="L60" s="13">
        <v>11</v>
      </c>
      <c r="M60" s="13">
        <v>10</v>
      </c>
      <c r="N60" s="13">
        <v>0</v>
      </c>
      <c r="O60" s="54">
        <f t="shared" si="0"/>
        <v>0.46527777777777779</v>
      </c>
      <c r="P60" s="55">
        <f t="shared" si="1"/>
        <v>0.88194444444444442</v>
      </c>
    </row>
    <row r="61" spans="1:16" x14ac:dyDescent="0.3">
      <c r="A61" s="25">
        <f>YEAR('RETAIL SALES DATA.'!K60)</f>
        <v>2026</v>
      </c>
      <c r="B61" s="13" t="str">
        <v>Apr</v>
      </c>
      <c r="C61" s="42">
        <f>DAY('RETAIL SALES DATA.'!K60)</f>
        <v>8</v>
      </c>
      <c r="D61" s="13">
        <v>2026</v>
      </c>
      <c r="E61" s="13" t="str">
        <v>Apr</v>
      </c>
      <c r="F61" s="13">
        <v>18</v>
      </c>
      <c r="G61" s="10"/>
      <c r="H61" s="13">
        <f>NETWORKDAYS('RETAIL SALES DATA.'!K60,'RETAIL SALES DATA.'!L60)</f>
        <v>8</v>
      </c>
      <c r="I61" s="13">
        <v>10</v>
      </c>
      <c r="J61" s="10"/>
      <c r="K61" s="13">
        <v>12</v>
      </c>
      <c r="L61" s="13">
        <v>11</v>
      </c>
      <c r="M61" s="13">
        <v>20</v>
      </c>
      <c r="N61" s="13">
        <v>0</v>
      </c>
      <c r="O61" s="54">
        <f t="shared" si="0"/>
        <v>0.47222222222222221</v>
      </c>
      <c r="P61" s="55">
        <f t="shared" si="1"/>
        <v>0.51388888888888884</v>
      </c>
    </row>
    <row r="62" spans="1:16" x14ac:dyDescent="0.3">
      <c r="A62" s="25">
        <f>YEAR('RETAIL SALES DATA.'!K61)</f>
        <v>2026</v>
      </c>
      <c r="B62" s="13" t="str">
        <v>May</v>
      </c>
      <c r="C62" s="42">
        <f>DAY('RETAIL SALES DATA.'!K61)</f>
        <v>19</v>
      </c>
      <c r="D62" s="13">
        <v>2026</v>
      </c>
      <c r="E62" s="13" t="str">
        <v>May</v>
      </c>
      <c r="F62" s="13">
        <v>20</v>
      </c>
      <c r="G62" s="10"/>
      <c r="H62" s="13">
        <f>NETWORKDAYS('RETAIL SALES DATA.'!K61,'RETAIL SALES DATA.'!L61)</f>
        <v>2</v>
      </c>
      <c r="I62" s="13">
        <v>1</v>
      </c>
      <c r="J62" s="10"/>
      <c r="K62" s="13">
        <v>21</v>
      </c>
      <c r="L62" s="13">
        <v>10</v>
      </c>
      <c r="M62" s="13">
        <v>57</v>
      </c>
      <c r="N62" s="13">
        <v>0</v>
      </c>
      <c r="O62" s="54">
        <f t="shared" si="0"/>
        <v>0.45624999999999999</v>
      </c>
      <c r="P62" s="55">
        <f t="shared" si="1"/>
        <v>0.9145833333333333</v>
      </c>
    </row>
    <row r="63" spans="1:16" x14ac:dyDescent="0.3">
      <c r="A63" s="25">
        <f>YEAR('RETAIL SALES DATA.'!K62)</f>
        <v>2025</v>
      </c>
      <c r="B63" s="13" t="str">
        <v>Mar</v>
      </c>
      <c r="C63" s="42">
        <f>DAY('RETAIL SALES DATA.'!K62)</f>
        <v>25</v>
      </c>
      <c r="D63" s="13">
        <v>2025</v>
      </c>
      <c r="E63" s="13" t="str">
        <v>Apr</v>
      </c>
      <c r="F63" s="13">
        <v>1</v>
      </c>
      <c r="G63" s="10"/>
      <c r="H63" s="13">
        <f>NETWORKDAYS('RETAIL SALES DATA.'!K62,'RETAIL SALES DATA.'!L62)</f>
        <v>6</v>
      </c>
      <c r="I63" s="13">
        <v>7</v>
      </c>
      <c r="J63" s="10"/>
      <c r="K63" s="13">
        <v>4</v>
      </c>
      <c r="L63" s="13">
        <v>8</v>
      </c>
      <c r="M63" s="13">
        <v>31</v>
      </c>
      <c r="N63" s="13">
        <v>0</v>
      </c>
      <c r="O63" s="54">
        <f t="shared" si="0"/>
        <v>0.35486111111111113</v>
      </c>
      <c r="P63" s="55">
        <f t="shared" si="1"/>
        <v>0.18819444444444444</v>
      </c>
    </row>
    <row r="64" spans="1:16" x14ac:dyDescent="0.3">
      <c r="A64" s="25">
        <f>YEAR('RETAIL SALES DATA.'!K63)</f>
        <v>2026</v>
      </c>
      <c r="B64" s="13" t="str">
        <v>Apr</v>
      </c>
      <c r="C64" s="42">
        <f>DAY('RETAIL SALES DATA.'!K63)</f>
        <v>6</v>
      </c>
      <c r="D64" s="13">
        <v>2026</v>
      </c>
      <c r="E64" s="13" t="str">
        <v>Apr</v>
      </c>
      <c r="F64" s="13">
        <v>9</v>
      </c>
      <c r="G64" s="10"/>
      <c r="H64" s="13">
        <f>NETWORKDAYS('RETAIL SALES DATA.'!K63,'RETAIL SALES DATA.'!L63)</f>
        <v>4</v>
      </c>
      <c r="I64" s="13">
        <v>3</v>
      </c>
      <c r="J64" s="10"/>
      <c r="K64" s="13">
        <v>4</v>
      </c>
      <c r="L64" s="13">
        <v>11</v>
      </c>
      <c r="M64" s="13">
        <v>0</v>
      </c>
      <c r="N64" s="13">
        <v>0</v>
      </c>
      <c r="O64" s="54">
        <f t="shared" si="0"/>
        <v>0.45833333333333331</v>
      </c>
      <c r="P64" s="55">
        <f t="shared" si="1"/>
        <v>0.16666666666666666</v>
      </c>
    </row>
    <row r="65" spans="1:16" x14ac:dyDescent="0.3">
      <c r="A65" s="25">
        <f>YEAR('RETAIL SALES DATA.'!K64)</f>
        <v>2025</v>
      </c>
      <c r="B65" s="13" t="str">
        <v>Dec</v>
      </c>
      <c r="C65" s="42">
        <f>DAY('RETAIL SALES DATA.'!K64)</f>
        <v>11</v>
      </c>
      <c r="D65" s="13">
        <v>2025</v>
      </c>
      <c r="E65" s="13" t="str">
        <v>Dec</v>
      </c>
      <c r="F65" s="13">
        <v>13</v>
      </c>
      <c r="G65" s="10"/>
      <c r="H65" s="13">
        <f>NETWORKDAYS('RETAIL SALES DATA.'!K64,'RETAIL SALES DATA.'!L64)</f>
        <v>2</v>
      </c>
      <c r="I65" s="13">
        <v>2</v>
      </c>
      <c r="J65" s="10"/>
      <c r="K65" s="13">
        <v>19</v>
      </c>
      <c r="L65" s="13">
        <v>11</v>
      </c>
      <c r="M65" s="13">
        <v>36</v>
      </c>
      <c r="N65" s="13">
        <v>0</v>
      </c>
      <c r="O65" s="54">
        <f t="shared" si="0"/>
        <v>0.48333333333333334</v>
      </c>
      <c r="P65" s="55">
        <f t="shared" si="1"/>
        <v>0.81666666666666665</v>
      </c>
    </row>
    <row r="66" spans="1:16" x14ac:dyDescent="0.3">
      <c r="A66" s="25">
        <f>YEAR('RETAIL SALES DATA.'!K65)</f>
        <v>2025</v>
      </c>
      <c r="B66" s="13" t="str">
        <v>Dec</v>
      </c>
      <c r="C66" s="42">
        <f>DAY('RETAIL SALES DATA.'!K65)</f>
        <v>21</v>
      </c>
      <c r="D66" s="13">
        <v>2025</v>
      </c>
      <c r="E66" s="13" t="str">
        <v>Dec</v>
      </c>
      <c r="F66" s="13">
        <v>26</v>
      </c>
      <c r="G66" s="10"/>
      <c r="H66" s="13">
        <f>NETWORKDAYS('RETAIL SALES DATA.'!K65,'RETAIL SALES DATA.'!L65)</f>
        <v>5</v>
      </c>
      <c r="I66" s="13">
        <v>5</v>
      </c>
      <c r="J66" s="10"/>
      <c r="K66" s="13">
        <v>4</v>
      </c>
      <c r="L66" s="13">
        <v>10</v>
      </c>
      <c r="M66" s="13">
        <v>24</v>
      </c>
      <c r="N66" s="13">
        <v>0</v>
      </c>
      <c r="O66" s="54">
        <f t="shared" si="0"/>
        <v>0.43333333333333335</v>
      </c>
      <c r="P66" s="55">
        <f t="shared" si="1"/>
        <v>0.18333333333333332</v>
      </c>
    </row>
    <row r="67" spans="1:16" x14ac:dyDescent="0.3">
      <c r="A67" s="25">
        <f>YEAR('RETAIL SALES DATA.'!K66)</f>
        <v>2025</v>
      </c>
      <c r="B67" s="13" t="str">
        <v>Jul</v>
      </c>
      <c r="C67" s="42">
        <f>DAY('RETAIL SALES DATA.'!K66)</f>
        <v>3</v>
      </c>
      <c r="D67" s="13">
        <v>2025</v>
      </c>
      <c r="E67" s="13" t="str">
        <v>Jul</v>
      </c>
      <c r="F67" s="13">
        <v>8</v>
      </c>
      <c r="G67" s="10"/>
      <c r="H67" s="13">
        <f>NETWORKDAYS('RETAIL SALES DATA.'!K66,'RETAIL SALES DATA.'!L66)</f>
        <v>4</v>
      </c>
      <c r="I67" s="13">
        <v>5</v>
      </c>
      <c r="J67" s="10"/>
      <c r="K67" s="13">
        <v>0</v>
      </c>
      <c r="L67" s="13">
        <v>9</v>
      </c>
      <c r="M67" s="13">
        <v>32</v>
      </c>
      <c r="N67" s="13">
        <v>0</v>
      </c>
      <c r="O67" s="54">
        <f t="shared" si="0"/>
        <v>0.3972222222222222</v>
      </c>
      <c r="P67" s="55">
        <f t="shared" si="1"/>
        <v>2.2222222222222223E-2</v>
      </c>
    </row>
    <row r="68" spans="1:16" x14ac:dyDescent="0.3">
      <c r="A68" s="25">
        <f>YEAR('RETAIL SALES DATA.'!K67)</f>
        <v>2025</v>
      </c>
      <c r="B68" s="13" t="str">
        <v>Nov</v>
      </c>
      <c r="C68" s="42">
        <f>DAY('RETAIL SALES DATA.'!K67)</f>
        <v>25</v>
      </c>
      <c r="D68" s="13">
        <v>2025</v>
      </c>
      <c r="E68" s="13" t="str">
        <v>Nov</v>
      </c>
      <c r="F68" s="13">
        <v>26</v>
      </c>
      <c r="G68" s="10"/>
      <c r="H68" s="13">
        <f>NETWORKDAYS('RETAIL SALES DATA.'!K67,'RETAIL SALES DATA.'!L67)</f>
        <v>2</v>
      </c>
      <c r="I68" s="13">
        <v>1</v>
      </c>
      <c r="J68" s="10"/>
      <c r="K68" s="13">
        <v>16</v>
      </c>
      <c r="L68" s="13">
        <v>10</v>
      </c>
      <c r="M68" s="13">
        <v>1</v>
      </c>
      <c r="N68" s="13">
        <v>0</v>
      </c>
      <c r="O68" s="54">
        <f t="shared" ref="O68:O131" si="2">TIME(L68,M68,N68)</f>
        <v>0.41736111111111113</v>
      </c>
      <c r="P68" s="55">
        <f t="shared" ref="P68:P131" si="3">TIME(K68,M68,N68)</f>
        <v>0.66736111111111107</v>
      </c>
    </row>
    <row r="69" spans="1:16" x14ac:dyDescent="0.3">
      <c r="A69" s="25">
        <f>YEAR('RETAIL SALES DATA.'!K68)</f>
        <v>2025</v>
      </c>
      <c r="B69" s="13" t="str">
        <v>Nov</v>
      </c>
      <c r="C69" s="42">
        <f>DAY('RETAIL SALES DATA.'!K68)</f>
        <v>18</v>
      </c>
      <c r="D69" s="13">
        <v>2025</v>
      </c>
      <c r="E69" s="13" t="str">
        <v>Nov</v>
      </c>
      <c r="F69" s="13">
        <v>21</v>
      </c>
      <c r="G69" s="10"/>
      <c r="H69" s="13">
        <f>NETWORKDAYS('RETAIL SALES DATA.'!K68,'RETAIL SALES DATA.'!L68)</f>
        <v>4</v>
      </c>
      <c r="I69" s="13">
        <v>3</v>
      </c>
      <c r="J69" s="10"/>
      <c r="K69" s="13">
        <v>14</v>
      </c>
      <c r="L69" s="13">
        <v>11</v>
      </c>
      <c r="M69" s="13">
        <v>55</v>
      </c>
      <c r="N69" s="13">
        <v>0</v>
      </c>
      <c r="O69" s="54">
        <f t="shared" si="2"/>
        <v>0.49652777777777779</v>
      </c>
      <c r="P69" s="55">
        <f t="shared" si="3"/>
        <v>0.62152777777777779</v>
      </c>
    </row>
    <row r="70" spans="1:16" x14ac:dyDescent="0.3">
      <c r="A70" s="25">
        <f>YEAR('RETAIL SALES DATA.'!K69)</f>
        <v>2024</v>
      </c>
      <c r="B70" s="13" t="str">
        <v>Jul</v>
      </c>
      <c r="C70" s="42">
        <f>DAY('RETAIL SALES DATA.'!K69)</f>
        <v>18</v>
      </c>
      <c r="D70" s="13">
        <v>2024</v>
      </c>
      <c r="E70" s="13" t="str">
        <v>Jul</v>
      </c>
      <c r="F70" s="13">
        <v>20</v>
      </c>
      <c r="G70" s="10"/>
      <c r="H70" s="13">
        <f>NETWORKDAYS('RETAIL SALES DATA.'!K69,'RETAIL SALES DATA.'!L69)</f>
        <v>2</v>
      </c>
      <c r="I70" s="13">
        <v>2</v>
      </c>
      <c r="J70" s="10"/>
      <c r="K70" s="13">
        <v>9</v>
      </c>
      <c r="L70" s="13">
        <v>8</v>
      </c>
      <c r="M70" s="13">
        <v>26</v>
      </c>
      <c r="N70" s="13">
        <v>0</v>
      </c>
      <c r="O70" s="54">
        <f t="shared" si="2"/>
        <v>0.35138888888888886</v>
      </c>
      <c r="P70" s="55">
        <f t="shared" si="3"/>
        <v>0.39305555555555555</v>
      </c>
    </row>
    <row r="71" spans="1:16" x14ac:dyDescent="0.3">
      <c r="A71" s="25">
        <f>YEAR('RETAIL SALES DATA.'!K70)</f>
        <v>2026</v>
      </c>
      <c r="B71" s="13" t="str">
        <v>Jan</v>
      </c>
      <c r="C71" s="42">
        <f>DAY('RETAIL SALES DATA.'!K70)</f>
        <v>18</v>
      </c>
      <c r="D71" s="13">
        <v>2026</v>
      </c>
      <c r="E71" s="13" t="str">
        <v>Jan</v>
      </c>
      <c r="F71" s="13">
        <v>20</v>
      </c>
      <c r="G71" s="10"/>
      <c r="H71" s="13">
        <f>NETWORKDAYS('RETAIL SALES DATA.'!K70,'RETAIL SALES DATA.'!L70)</f>
        <v>2</v>
      </c>
      <c r="I71" s="13">
        <v>2</v>
      </c>
      <c r="J71" s="10"/>
      <c r="K71" s="13">
        <v>2</v>
      </c>
      <c r="L71" s="13">
        <v>9</v>
      </c>
      <c r="M71" s="13">
        <v>26</v>
      </c>
      <c r="N71" s="13">
        <v>0</v>
      </c>
      <c r="O71" s="54">
        <f t="shared" si="2"/>
        <v>0.39305555555555555</v>
      </c>
      <c r="P71" s="55">
        <f t="shared" si="3"/>
        <v>0.10138888888888889</v>
      </c>
    </row>
    <row r="72" spans="1:16" x14ac:dyDescent="0.3">
      <c r="A72" s="25">
        <f>YEAR('RETAIL SALES DATA.'!K71)</f>
        <v>2026</v>
      </c>
      <c r="B72" s="13" t="str">
        <v>Feb</v>
      </c>
      <c r="C72" s="42">
        <f>DAY('RETAIL SALES DATA.'!K71)</f>
        <v>22</v>
      </c>
      <c r="D72" s="13">
        <v>2026</v>
      </c>
      <c r="E72" s="13" t="str">
        <v>Feb</v>
      </c>
      <c r="F72" s="13">
        <v>27</v>
      </c>
      <c r="G72" s="10"/>
      <c r="H72" s="13">
        <f>NETWORKDAYS('RETAIL SALES DATA.'!K71,'RETAIL SALES DATA.'!L71)</f>
        <v>5</v>
      </c>
      <c r="I72" s="13">
        <v>5</v>
      </c>
      <c r="J72" s="10"/>
      <c r="K72" s="13">
        <v>7</v>
      </c>
      <c r="L72" s="13">
        <v>9</v>
      </c>
      <c r="M72" s="13">
        <v>40</v>
      </c>
      <c r="N72" s="13">
        <v>0</v>
      </c>
      <c r="O72" s="54">
        <f t="shared" si="2"/>
        <v>0.40277777777777779</v>
      </c>
      <c r="P72" s="55">
        <f t="shared" si="3"/>
        <v>0.31944444444444442</v>
      </c>
    </row>
    <row r="73" spans="1:16" x14ac:dyDescent="0.3">
      <c r="A73" s="25">
        <f>YEAR('RETAIL SALES DATA.'!K72)</f>
        <v>2024</v>
      </c>
      <c r="B73" s="13" t="str">
        <v>Nov</v>
      </c>
      <c r="C73" s="42">
        <f>DAY('RETAIL SALES DATA.'!K72)</f>
        <v>13</v>
      </c>
      <c r="D73" s="13">
        <v>2024</v>
      </c>
      <c r="E73" s="13" t="str">
        <v>Nov</v>
      </c>
      <c r="F73" s="13">
        <v>17</v>
      </c>
      <c r="G73" s="10"/>
      <c r="H73" s="13">
        <f>NETWORKDAYS('RETAIL SALES DATA.'!K72,'RETAIL SALES DATA.'!L72)</f>
        <v>3</v>
      </c>
      <c r="I73" s="13">
        <v>4</v>
      </c>
      <c r="J73" s="10"/>
      <c r="K73" s="13">
        <v>21</v>
      </c>
      <c r="L73" s="13">
        <v>11</v>
      </c>
      <c r="M73" s="13">
        <v>49</v>
      </c>
      <c r="N73" s="13">
        <v>0</v>
      </c>
      <c r="O73" s="54">
        <f t="shared" si="2"/>
        <v>0.49236111111111114</v>
      </c>
      <c r="P73" s="55">
        <f t="shared" si="3"/>
        <v>0.90902777777777777</v>
      </c>
    </row>
    <row r="74" spans="1:16" x14ac:dyDescent="0.3">
      <c r="A74" s="25">
        <f>YEAR('RETAIL SALES DATA.'!K73)</f>
        <v>2026</v>
      </c>
      <c r="B74" s="13" t="str">
        <v>May</v>
      </c>
      <c r="C74" s="42">
        <f>DAY('RETAIL SALES DATA.'!K73)</f>
        <v>18</v>
      </c>
      <c r="D74" s="13">
        <v>2026</v>
      </c>
      <c r="E74" s="13" t="str">
        <v>May</v>
      </c>
      <c r="F74" s="13">
        <v>20</v>
      </c>
      <c r="G74" s="10"/>
      <c r="H74" s="13">
        <f>NETWORKDAYS('RETAIL SALES DATA.'!K73,'RETAIL SALES DATA.'!L73)</f>
        <v>3</v>
      </c>
      <c r="I74" s="13">
        <v>2</v>
      </c>
      <c r="J74" s="10"/>
      <c r="K74" s="13">
        <v>9</v>
      </c>
      <c r="L74" s="13">
        <v>8</v>
      </c>
      <c r="M74" s="13">
        <v>34</v>
      </c>
      <c r="N74" s="13">
        <v>0</v>
      </c>
      <c r="O74" s="54">
        <f t="shared" si="2"/>
        <v>0.35694444444444445</v>
      </c>
      <c r="P74" s="55">
        <f t="shared" si="3"/>
        <v>0.39861111111111114</v>
      </c>
    </row>
    <row r="75" spans="1:16" x14ac:dyDescent="0.3">
      <c r="A75" s="25">
        <f>YEAR('RETAIL SALES DATA.'!K74)</f>
        <v>2024</v>
      </c>
      <c r="B75" s="13" t="str">
        <v>Nov</v>
      </c>
      <c r="C75" s="42">
        <f>DAY('RETAIL SALES DATA.'!K74)</f>
        <v>21</v>
      </c>
      <c r="D75" s="13">
        <v>2024</v>
      </c>
      <c r="E75" s="13" t="str">
        <v>Nov</v>
      </c>
      <c r="F75" s="13">
        <v>30</v>
      </c>
      <c r="G75" s="10"/>
      <c r="H75" s="13">
        <f>NETWORKDAYS('RETAIL SALES DATA.'!K74,'RETAIL SALES DATA.'!L74)</f>
        <v>7</v>
      </c>
      <c r="I75" s="13">
        <v>9</v>
      </c>
      <c r="J75" s="10"/>
      <c r="K75" s="13">
        <v>14</v>
      </c>
      <c r="L75" s="13">
        <v>11</v>
      </c>
      <c r="M75" s="13">
        <v>28</v>
      </c>
      <c r="N75" s="13">
        <v>0</v>
      </c>
      <c r="O75" s="54">
        <f t="shared" si="2"/>
        <v>0.4777777777777778</v>
      </c>
      <c r="P75" s="55">
        <f t="shared" si="3"/>
        <v>0.60277777777777775</v>
      </c>
    </row>
    <row r="76" spans="1:16" x14ac:dyDescent="0.3">
      <c r="A76" s="25">
        <f>YEAR('RETAIL SALES DATA.'!K75)</f>
        <v>2025</v>
      </c>
      <c r="B76" s="13" t="str">
        <v>Nov</v>
      </c>
      <c r="C76" s="42">
        <f>DAY('RETAIL SALES DATA.'!K75)</f>
        <v>16</v>
      </c>
      <c r="D76" s="13">
        <v>2025</v>
      </c>
      <c r="E76" s="13" t="str">
        <v>Nov</v>
      </c>
      <c r="F76" s="13">
        <v>24</v>
      </c>
      <c r="G76" s="10"/>
      <c r="H76" s="13">
        <f>NETWORKDAYS('RETAIL SALES DATA.'!K75,'RETAIL SALES DATA.'!L75)</f>
        <v>6</v>
      </c>
      <c r="I76" s="13">
        <v>8</v>
      </c>
      <c r="J76" s="10"/>
      <c r="K76" s="13">
        <v>19</v>
      </c>
      <c r="L76" s="13">
        <v>10</v>
      </c>
      <c r="M76" s="13">
        <v>10</v>
      </c>
      <c r="N76" s="13">
        <v>0</v>
      </c>
      <c r="O76" s="54">
        <f t="shared" si="2"/>
        <v>0.4236111111111111</v>
      </c>
      <c r="P76" s="55">
        <f t="shared" si="3"/>
        <v>0.79861111111111116</v>
      </c>
    </row>
    <row r="77" spans="1:16" x14ac:dyDescent="0.3">
      <c r="A77" s="25">
        <f>YEAR('RETAIL SALES DATA.'!K76)</f>
        <v>2024</v>
      </c>
      <c r="B77" s="13" t="str">
        <v>Sep</v>
      </c>
      <c r="C77" s="42">
        <f>DAY('RETAIL SALES DATA.'!K76)</f>
        <v>19</v>
      </c>
      <c r="D77" s="13">
        <v>2024</v>
      </c>
      <c r="E77" s="13" t="str">
        <v>Sep</v>
      </c>
      <c r="F77" s="13">
        <v>25</v>
      </c>
      <c r="G77" s="10"/>
      <c r="H77" s="13">
        <f>NETWORKDAYS('RETAIL SALES DATA.'!K76,'RETAIL SALES DATA.'!L76)</f>
        <v>5</v>
      </c>
      <c r="I77" s="13">
        <v>6</v>
      </c>
      <c r="J77" s="10"/>
      <c r="K77" s="13">
        <v>9</v>
      </c>
      <c r="L77" s="13">
        <v>8</v>
      </c>
      <c r="M77" s="13">
        <v>54</v>
      </c>
      <c r="N77" s="13">
        <v>0</v>
      </c>
      <c r="O77" s="54">
        <f t="shared" si="2"/>
        <v>0.37083333333333335</v>
      </c>
      <c r="P77" s="55">
        <f t="shared" si="3"/>
        <v>0.41249999999999998</v>
      </c>
    </row>
    <row r="78" spans="1:16" x14ac:dyDescent="0.3">
      <c r="A78" s="25">
        <f>YEAR('RETAIL SALES DATA.'!K77)</f>
        <v>2025</v>
      </c>
      <c r="B78" s="13" t="str">
        <v>Jan</v>
      </c>
      <c r="C78" s="42">
        <f>DAY('RETAIL SALES DATA.'!K77)</f>
        <v>11</v>
      </c>
      <c r="D78" s="13">
        <v>2025</v>
      </c>
      <c r="E78" s="13" t="str">
        <v>Jan</v>
      </c>
      <c r="F78" s="13">
        <v>12</v>
      </c>
      <c r="G78" s="10"/>
      <c r="H78" s="13">
        <f>NETWORKDAYS('RETAIL SALES DATA.'!K77,'RETAIL SALES DATA.'!L77)</f>
        <v>0</v>
      </c>
      <c r="I78" s="13">
        <v>1</v>
      </c>
      <c r="J78" s="10"/>
      <c r="K78" s="13">
        <v>14</v>
      </c>
      <c r="L78" s="13">
        <v>10</v>
      </c>
      <c r="M78" s="13">
        <v>12</v>
      </c>
      <c r="N78" s="13">
        <v>0</v>
      </c>
      <c r="O78" s="54">
        <f t="shared" si="2"/>
        <v>0.42499999999999999</v>
      </c>
      <c r="P78" s="55">
        <f t="shared" si="3"/>
        <v>0.59166666666666667</v>
      </c>
    </row>
    <row r="79" spans="1:16" x14ac:dyDescent="0.3">
      <c r="A79" s="25">
        <f>YEAR('RETAIL SALES DATA.'!K78)</f>
        <v>2025</v>
      </c>
      <c r="B79" s="13" t="str">
        <v>Jul</v>
      </c>
      <c r="C79" s="42">
        <f>DAY('RETAIL SALES DATA.'!K78)</f>
        <v>2</v>
      </c>
      <c r="D79" s="13">
        <v>2025</v>
      </c>
      <c r="E79" s="13" t="str">
        <v>Jul</v>
      </c>
      <c r="F79" s="13">
        <v>3</v>
      </c>
      <c r="G79" s="10"/>
      <c r="H79" s="13">
        <f>NETWORKDAYS('RETAIL SALES DATA.'!K78,'RETAIL SALES DATA.'!L78)</f>
        <v>2</v>
      </c>
      <c r="I79" s="13">
        <v>1</v>
      </c>
      <c r="J79" s="10"/>
      <c r="K79" s="13">
        <v>14</v>
      </c>
      <c r="L79" s="13">
        <v>11</v>
      </c>
      <c r="M79" s="13">
        <v>40</v>
      </c>
      <c r="N79" s="13">
        <v>0</v>
      </c>
      <c r="O79" s="54">
        <f t="shared" si="2"/>
        <v>0.4861111111111111</v>
      </c>
      <c r="P79" s="55">
        <f t="shared" si="3"/>
        <v>0.61111111111111116</v>
      </c>
    </row>
    <row r="80" spans="1:16" x14ac:dyDescent="0.3">
      <c r="A80" s="25">
        <f>YEAR('RETAIL SALES DATA.'!K79)</f>
        <v>2025</v>
      </c>
      <c r="B80" s="13" t="str">
        <v>Sep</v>
      </c>
      <c r="C80" s="42">
        <f>DAY('RETAIL SALES DATA.'!K79)</f>
        <v>9</v>
      </c>
      <c r="D80" s="13">
        <v>2025</v>
      </c>
      <c r="E80" s="13" t="str">
        <v>Sep</v>
      </c>
      <c r="F80" s="13">
        <v>16</v>
      </c>
      <c r="G80" s="10"/>
      <c r="H80" s="13">
        <f>NETWORKDAYS('RETAIL SALES DATA.'!K79,'RETAIL SALES DATA.'!L79)</f>
        <v>6</v>
      </c>
      <c r="I80" s="13">
        <v>7</v>
      </c>
      <c r="J80" s="10"/>
      <c r="K80" s="13">
        <v>9</v>
      </c>
      <c r="L80" s="13">
        <v>11</v>
      </c>
      <c r="M80" s="13">
        <v>5</v>
      </c>
      <c r="N80" s="13">
        <v>0</v>
      </c>
      <c r="O80" s="54">
        <f t="shared" si="2"/>
        <v>0.46180555555555558</v>
      </c>
      <c r="P80" s="55">
        <f t="shared" si="3"/>
        <v>0.37847222222222221</v>
      </c>
    </row>
    <row r="81" spans="1:16" x14ac:dyDescent="0.3">
      <c r="A81" s="25">
        <f>YEAR('RETAIL SALES DATA.'!K80)</f>
        <v>2025</v>
      </c>
      <c r="B81" s="13" t="str">
        <v>Aug</v>
      </c>
      <c r="C81" s="42">
        <f>DAY('RETAIL SALES DATA.'!K80)</f>
        <v>13</v>
      </c>
      <c r="D81" s="13">
        <v>2025</v>
      </c>
      <c r="E81" s="13" t="str">
        <v>Aug</v>
      </c>
      <c r="F81" s="13">
        <v>21</v>
      </c>
      <c r="G81" s="10"/>
      <c r="H81" s="13">
        <f>NETWORKDAYS('RETAIL SALES DATA.'!K80,'RETAIL SALES DATA.'!L80)</f>
        <v>7</v>
      </c>
      <c r="I81" s="13">
        <v>8</v>
      </c>
      <c r="J81" s="10"/>
      <c r="K81" s="13">
        <v>19</v>
      </c>
      <c r="L81" s="13">
        <v>10</v>
      </c>
      <c r="M81" s="13">
        <v>43</v>
      </c>
      <c r="N81" s="13">
        <v>0</v>
      </c>
      <c r="O81" s="54">
        <f t="shared" si="2"/>
        <v>0.4465277777777778</v>
      </c>
      <c r="P81" s="55">
        <f t="shared" si="3"/>
        <v>0.82152777777777775</v>
      </c>
    </row>
    <row r="82" spans="1:16" x14ac:dyDescent="0.3">
      <c r="A82" s="25">
        <f>YEAR('RETAIL SALES DATA.'!K81)</f>
        <v>2025</v>
      </c>
      <c r="B82" s="13" t="str">
        <v>Oct</v>
      </c>
      <c r="C82" s="42">
        <f>DAY('RETAIL SALES DATA.'!K81)</f>
        <v>27</v>
      </c>
      <c r="D82" s="13">
        <v>2025</v>
      </c>
      <c r="E82" s="13" t="str">
        <v>Oct</v>
      </c>
      <c r="F82" s="13">
        <v>31</v>
      </c>
      <c r="G82" s="10"/>
      <c r="H82" s="13">
        <f>NETWORKDAYS('RETAIL SALES DATA.'!K81,'RETAIL SALES DATA.'!L81)</f>
        <v>5</v>
      </c>
      <c r="I82" s="13">
        <v>4</v>
      </c>
      <c r="J82" s="10"/>
      <c r="K82" s="13">
        <v>12</v>
      </c>
      <c r="L82" s="13">
        <v>8</v>
      </c>
      <c r="M82" s="13">
        <v>58</v>
      </c>
      <c r="N82" s="13">
        <v>0</v>
      </c>
      <c r="O82" s="54">
        <f t="shared" si="2"/>
        <v>0.37361111111111112</v>
      </c>
      <c r="P82" s="55">
        <f t="shared" si="3"/>
        <v>0.54027777777777775</v>
      </c>
    </row>
    <row r="83" spans="1:16" x14ac:dyDescent="0.3">
      <c r="A83" s="25">
        <f>YEAR('RETAIL SALES DATA.'!K82)</f>
        <v>2024</v>
      </c>
      <c r="B83" s="13" t="str">
        <v>Aug</v>
      </c>
      <c r="C83" s="42">
        <f>DAY('RETAIL SALES DATA.'!K82)</f>
        <v>4</v>
      </c>
      <c r="D83" s="13">
        <v>2024</v>
      </c>
      <c r="E83" s="13" t="str">
        <v>Aug</v>
      </c>
      <c r="F83" s="13">
        <v>6</v>
      </c>
      <c r="G83" s="10"/>
      <c r="H83" s="13">
        <f>NETWORKDAYS('RETAIL SALES DATA.'!K82,'RETAIL SALES DATA.'!L82)</f>
        <v>2</v>
      </c>
      <c r="I83" s="13">
        <v>2</v>
      </c>
      <c r="J83" s="10"/>
      <c r="K83" s="13">
        <v>16</v>
      </c>
      <c r="L83" s="13">
        <v>9</v>
      </c>
      <c r="M83" s="13">
        <v>38</v>
      </c>
      <c r="N83" s="13">
        <v>0</v>
      </c>
      <c r="O83" s="54">
        <f t="shared" si="2"/>
        <v>0.40138888888888891</v>
      </c>
      <c r="P83" s="55">
        <f t="shared" si="3"/>
        <v>0.69305555555555554</v>
      </c>
    </row>
    <row r="84" spans="1:16" x14ac:dyDescent="0.3">
      <c r="A84" s="25">
        <f>YEAR('RETAIL SALES DATA.'!K83)</f>
        <v>2026</v>
      </c>
      <c r="B84" s="13" t="str">
        <v>Mar</v>
      </c>
      <c r="C84" s="42">
        <f>DAY('RETAIL SALES DATA.'!K83)</f>
        <v>20</v>
      </c>
      <c r="D84" s="13">
        <v>2026</v>
      </c>
      <c r="E84" s="13" t="str">
        <v>Mar</v>
      </c>
      <c r="F84" s="13">
        <v>24</v>
      </c>
      <c r="G84" s="10"/>
      <c r="H84" s="13">
        <f>NETWORKDAYS('RETAIL SALES DATA.'!K83,'RETAIL SALES DATA.'!L83)</f>
        <v>3</v>
      </c>
      <c r="I84" s="13">
        <v>4</v>
      </c>
      <c r="J84" s="10"/>
      <c r="K84" s="13">
        <v>2</v>
      </c>
      <c r="L84" s="13">
        <v>9</v>
      </c>
      <c r="M84" s="13">
        <v>41</v>
      </c>
      <c r="N84" s="13">
        <v>0</v>
      </c>
      <c r="O84" s="54">
        <f t="shared" si="2"/>
        <v>0.40347222222222223</v>
      </c>
      <c r="P84" s="55">
        <f t="shared" si="3"/>
        <v>0.11180555555555556</v>
      </c>
    </row>
    <row r="85" spans="1:16" x14ac:dyDescent="0.3">
      <c r="A85" s="25">
        <f>YEAR('RETAIL SALES DATA.'!K84)</f>
        <v>2024</v>
      </c>
      <c r="B85" s="13" t="str">
        <v>Aug</v>
      </c>
      <c r="C85" s="42">
        <f>DAY('RETAIL SALES DATA.'!K84)</f>
        <v>11</v>
      </c>
      <c r="D85" s="13">
        <v>2024</v>
      </c>
      <c r="E85" s="13" t="str">
        <v>Aug</v>
      </c>
      <c r="F85" s="13">
        <v>13</v>
      </c>
      <c r="G85" s="10"/>
      <c r="H85" s="13">
        <f>NETWORKDAYS('RETAIL SALES DATA.'!K84,'RETAIL SALES DATA.'!L84)</f>
        <v>2</v>
      </c>
      <c r="I85" s="13">
        <v>2</v>
      </c>
      <c r="J85" s="10"/>
      <c r="K85" s="13">
        <v>19</v>
      </c>
      <c r="L85" s="13">
        <v>8</v>
      </c>
      <c r="M85" s="13">
        <v>28</v>
      </c>
      <c r="N85" s="13">
        <v>0</v>
      </c>
      <c r="O85" s="54">
        <f t="shared" si="2"/>
        <v>0.3527777777777778</v>
      </c>
      <c r="P85" s="55">
        <f t="shared" si="3"/>
        <v>0.81111111111111112</v>
      </c>
    </row>
    <row r="86" spans="1:16" x14ac:dyDescent="0.3">
      <c r="A86" s="25">
        <f>YEAR('RETAIL SALES DATA.'!K85)</f>
        <v>2024</v>
      </c>
      <c r="B86" s="13" t="str">
        <v>Aug</v>
      </c>
      <c r="C86" s="42">
        <f>DAY('RETAIL SALES DATA.'!K85)</f>
        <v>29</v>
      </c>
      <c r="D86" s="13">
        <v>2024</v>
      </c>
      <c r="E86" s="13" t="str">
        <v>Aug</v>
      </c>
      <c r="F86" s="13">
        <v>31</v>
      </c>
      <c r="G86" s="10"/>
      <c r="H86" s="13">
        <f>NETWORKDAYS('RETAIL SALES DATA.'!K85,'RETAIL SALES DATA.'!L85)</f>
        <v>2</v>
      </c>
      <c r="I86" s="13">
        <v>2</v>
      </c>
      <c r="J86" s="10"/>
      <c r="K86" s="13">
        <v>14</v>
      </c>
      <c r="L86" s="13">
        <v>11</v>
      </c>
      <c r="M86" s="13">
        <v>19</v>
      </c>
      <c r="N86" s="13">
        <v>0</v>
      </c>
      <c r="O86" s="54">
        <f t="shared" si="2"/>
        <v>0.47152777777777777</v>
      </c>
      <c r="P86" s="55">
        <f t="shared" si="3"/>
        <v>0.59652777777777777</v>
      </c>
    </row>
    <row r="87" spans="1:16" x14ac:dyDescent="0.3">
      <c r="A87" s="25">
        <f>YEAR('RETAIL SALES DATA.'!K86)</f>
        <v>2026</v>
      </c>
      <c r="B87" s="13" t="str">
        <v>Mar</v>
      </c>
      <c r="C87" s="42">
        <f>DAY('RETAIL SALES DATA.'!K86)</f>
        <v>16</v>
      </c>
      <c r="D87" s="13">
        <v>2026</v>
      </c>
      <c r="E87" s="13" t="str">
        <v>Mar</v>
      </c>
      <c r="F87" s="13">
        <v>25</v>
      </c>
      <c r="G87" s="10"/>
      <c r="H87" s="13">
        <f>NETWORKDAYS('RETAIL SALES DATA.'!K86,'RETAIL SALES DATA.'!L86)</f>
        <v>8</v>
      </c>
      <c r="I87" s="13">
        <v>9</v>
      </c>
      <c r="J87" s="10"/>
      <c r="K87" s="13">
        <v>14</v>
      </c>
      <c r="L87" s="13">
        <v>9</v>
      </c>
      <c r="M87" s="13">
        <v>30</v>
      </c>
      <c r="N87" s="13">
        <v>0</v>
      </c>
      <c r="O87" s="54">
        <f t="shared" si="2"/>
        <v>0.39583333333333331</v>
      </c>
      <c r="P87" s="55">
        <f t="shared" si="3"/>
        <v>0.60416666666666663</v>
      </c>
    </row>
    <row r="88" spans="1:16" x14ac:dyDescent="0.3">
      <c r="A88" s="25">
        <f>YEAR('RETAIL SALES DATA.'!K87)</f>
        <v>2025</v>
      </c>
      <c r="B88" s="13" t="str">
        <v>Dec</v>
      </c>
      <c r="C88" s="42">
        <f>DAY('RETAIL SALES DATA.'!K87)</f>
        <v>12</v>
      </c>
      <c r="D88" s="13">
        <v>2025</v>
      </c>
      <c r="E88" s="13" t="str">
        <v>Dec</v>
      </c>
      <c r="F88" s="13">
        <v>16</v>
      </c>
      <c r="G88" s="10"/>
      <c r="H88" s="13">
        <f>NETWORKDAYS('RETAIL SALES DATA.'!K87,'RETAIL SALES DATA.'!L87)</f>
        <v>3</v>
      </c>
      <c r="I88" s="13">
        <v>4</v>
      </c>
      <c r="J88" s="10"/>
      <c r="K88" s="13">
        <v>19</v>
      </c>
      <c r="L88" s="13">
        <v>11</v>
      </c>
      <c r="M88" s="13">
        <v>48</v>
      </c>
      <c r="N88" s="13">
        <v>0</v>
      </c>
      <c r="O88" s="54">
        <f t="shared" si="2"/>
        <v>0.49166666666666664</v>
      </c>
      <c r="P88" s="55">
        <f t="shared" si="3"/>
        <v>0.82499999999999996</v>
      </c>
    </row>
    <row r="89" spans="1:16" x14ac:dyDescent="0.3">
      <c r="A89" s="25">
        <f>YEAR('RETAIL SALES DATA.'!K88)</f>
        <v>2026</v>
      </c>
      <c r="B89" s="13" t="str">
        <v>Mar</v>
      </c>
      <c r="C89" s="42">
        <f>DAY('RETAIL SALES DATA.'!K88)</f>
        <v>22</v>
      </c>
      <c r="D89" s="13">
        <v>2026</v>
      </c>
      <c r="E89" s="13" t="str">
        <v>Mar</v>
      </c>
      <c r="F89" s="13">
        <v>27</v>
      </c>
      <c r="G89" s="10"/>
      <c r="H89" s="13">
        <f>NETWORKDAYS('RETAIL SALES DATA.'!K88,'RETAIL SALES DATA.'!L88)</f>
        <v>5</v>
      </c>
      <c r="I89" s="13">
        <v>5</v>
      </c>
      <c r="J89" s="10"/>
      <c r="K89" s="13">
        <v>16</v>
      </c>
      <c r="L89" s="13">
        <v>10</v>
      </c>
      <c r="M89" s="13">
        <v>30</v>
      </c>
      <c r="N89" s="13">
        <v>0</v>
      </c>
      <c r="O89" s="54">
        <f t="shared" si="2"/>
        <v>0.4375</v>
      </c>
      <c r="P89" s="55">
        <f t="shared" si="3"/>
        <v>0.6875</v>
      </c>
    </row>
    <row r="90" spans="1:16" x14ac:dyDescent="0.3">
      <c r="A90" s="25">
        <f>YEAR('RETAIL SALES DATA.'!K89)</f>
        <v>2024</v>
      </c>
      <c r="B90" s="13" t="str">
        <v>Jun</v>
      </c>
      <c r="C90" s="42">
        <f>DAY('RETAIL SALES DATA.'!K89)</f>
        <v>28</v>
      </c>
      <c r="D90" s="13">
        <v>2024</v>
      </c>
      <c r="E90" s="13" t="str">
        <v>Jul</v>
      </c>
      <c r="F90" s="13">
        <v>4</v>
      </c>
      <c r="G90" s="10"/>
      <c r="H90" s="13">
        <f>NETWORKDAYS('RETAIL SALES DATA.'!K89,'RETAIL SALES DATA.'!L89)</f>
        <v>5</v>
      </c>
      <c r="I90" s="13">
        <v>6</v>
      </c>
      <c r="J90" s="10"/>
      <c r="K90" s="13">
        <v>19</v>
      </c>
      <c r="L90" s="13">
        <v>10</v>
      </c>
      <c r="M90" s="13">
        <v>0</v>
      </c>
      <c r="N90" s="13">
        <v>0</v>
      </c>
      <c r="O90" s="54">
        <f t="shared" si="2"/>
        <v>0.41666666666666669</v>
      </c>
      <c r="P90" s="55">
        <f t="shared" si="3"/>
        <v>0.79166666666666663</v>
      </c>
    </row>
    <row r="91" spans="1:16" x14ac:dyDescent="0.3">
      <c r="A91" s="25">
        <f>YEAR('RETAIL SALES DATA.'!K90)</f>
        <v>2025</v>
      </c>
      <c r="B91" s="13" t="str">
        <v>Aug</v>
      </c>
      <c r="C91" s="42">
        <f>DAY('RETAIL SALES DATA.'!K90)</f>
        <v>30</v>
      </c>
      <c r="D91" s="13">
        <v>2025</v>
      </c>
      <c r="E91" s="13" t="str">
        <v>Sep</v>
      </c>
      <c r="F91" s="13">
        <v>3</v>
      </c>
      <c r="G91" s="10"/>
      <c r="H91" s="13">
        <f>NETWORKDAYS('RETAIL SALES DATA.'!K90,'RETAIL SALES DATA.'!L90)</f>
        <v>3</v>
      </c>
      <c r="I91" s="13">
        <v>4</v>
      </c>
      <c r="J91" s="10"/>
      <c r="K91" s="13">
        <v>9</v>
      </c>
      <c r="L91" s="13">
        <v>9</v>
      </c>
      <c r="M91" s="13">
        <v>15</v>
      </c>
      <c r="N91" s="13">
        <v>0</v>
      </c>
      <c r="O91" s="54">
        <f t="shared" si="2"/>
        <v>0.38541666666666669</v>
      </c>
      <c r="P91" s="55">
        <f t="shared" si="3"/>
        <v>0.38541666666666669</v>
      </c>
    </row>
    <row r="92" spans="1:16" x14ac:dyDescent="0.3">
      <c r="A92" s="25">
        <f>YEAR('RETAIL SALES DATA.'!K91)</f>
        <v>2025</v>
      </c>
      <c r="B92" s="13" t="str">
        <v>Apr</v>
      </c>
      <c r="C92" s="42">
        <f>DAY('RETAIL SALES DATA.'!K91)</f>
        <v>28</v>
      </c>
      <c r="D92" s="13">
        <v>2025</v>
      </c>
      <c r="E92" s="13" t="str">
        <v>Apr</v>
      </c>
      <c r="F92" s="13">
        <v>29</v>
      </c>
      <c r="G92" s="10"/>
      <c r="H92" s="13">
        <f>NETWORKDAYS('RETAIL SALES DATA.'!K91,'RETAIL SALES DATA.'!L91)</f>
        <v>2</v>
      </c>
      <c r="I92" s="13">
        <v>1</v>
      </c>
      <c r="J92" s="10"/>
      <c r="K92" s="13">
        <v>12</v>
      </c>
      <c r="L92" s="13">
        <v>10</v>
      </c>
      <c r="M92" s="13">
        <v>0</v>
      </c>
      <c r="N92" s="13">
        <v>0</v>
      </c>
      <c r="O92" s="54">
        <f t="shared" si="2"/>
        <v>0.41666666666666669</v>
      </c>
      <c r="P92" s="55">
        <f t="shared" si="3"/>
        <v>0.5</v>
      </c>
    </row>
    <row r="93" spans="1:16" x14ac:dyDescent="0.3">
      <c r="A93" s="25">
        <f>YEAR('RETAIL SALES DATA.'!K92)</f>
        <v>2024</v>
      </c>
      <c r="B93" s="13" t="str">
        <v>Jun</v>
      </c>
      <c r="C93" s="42">
        <f>DAY('RETAIL SALES DATA.'!K92)</f>
        <v>15</v>
      </c>
      <c r="D93" s="13">
        <v>2024</v>
      </c>
      <c r="E93" s="13" t="str">
        <v>Jun</v>
      </c>
      <c r="F93" s="13">
        <v>22</v>
      </c>
      <c r="G93" s="10"/>
      <c r="H93" s="13">
        <f>NETWORKDAYS('RETAIL SALES DATA.'!K92,'RETAIL SALES DATA.'!L92)</f>
        <v>5</v>
      </c>
      <c r="I93" s="13">
        <v>7</v>
      </c>
      <c r="J93" s="10"/>
      <c r="K93" s="13">
        <v>0</v>
      </c>
      <c r="L93" s="13">
        <v>8</v>
      </c>
      <c r="M93" s="13">
        <v>20</v>
      </c>
      <c r="N93" s="13">
        <v>0</v>
      </c>
      <c r="O93" s="54">
        <f t="shared" si="2"/>
        <v>0.34722222222222221</v>
      </c>
      <c r="P93" s="55">
        <f t="shared" si="3"/>
        <v>1.3888888888888888E-2</v>
      </c>
    </row>
    <row r="94" spans="1:16" x14ac:dyDescent="0.3">
      <c r="A94" s="25">
        <f>YEAR('RETAIL SALES DATA.'!K93)</f>
        <v>2026</v>
      </c>
      <c r="B94" s="13" t="str">
        <v>Mar</v>
      </c>
      <c r="C94" s="42">
        <f>DAY('RETAIL SALES DATA.'!K93)</f>
        <v>27</v>
      </c>
      <c r="D94" s="13">
        <v>2026</v>
      </c>
      <c r="E94" s="13" t="str">
        <v>Apr</v>
      </c>
      <c r="F94" s="13">
        <v>4</v>
      </c>
      <c r="G94" s="10"/>
      <c r="H94" s="13">
        <f>NETWORKDAYS('RETAIL SALES DATA.'!K93,'RETAIL SALES DATA.'!L93)</f>
        <v>6</v>
      </c>
      <c r="I94" s="13">
        <v>8</v>
      </c>
      <c r="J94" s="10"/>
      <c r="K94" s="13">
        <v>2</v>
      </c>
      <c r="L94" s="13">
        <v>8</v>
      </c>
      <c r="M94" s="13">
        <v>22</v>
      </c>
      <c r="N94" s="13">
        <v>0</v>
      </c>
      <c r="O94" s="54">
        <f t="shared" si="2"/>
        <v>0.34861111111111109</v>
      </c>
      <c r="P94" s="55">
        <f t="shared" si="3"/>
        <v>9.8611111111111108E-2</v>
      </c>
    </row>
    <row r="95" spans="1:16" x14ac:dyDescent="0.3">
      <c r="A95" s="25">
        <f>YEAR('RETAIL SALES DATA.'!K94)</f>
        <v>2025</v>
      </c>
      <c r="B95" s="13" t="str">
        <v>Jul</v>
      </c>
      <c r="C95" s="42">
        <f>DAY('RETAIL SALES DATA.'!K94)</f>
        <v>21</v>
      </c>
      <c r="D95" s="13">
        <v>2025</v>
      </c>
      <c r="E95" s="13" t="str">
        <v>Jul</v>
      </c>
      <c r="F95" s="13">
        <v>24</v>
      </c>
      <c r="G95" s="10"/>
      <c r="H95" s="13">
        <f>NETWORKDAYS('RETAIL SALES DATA.'!K94,'RETAIL SALES DATA.'!L94)</f>
        <v>4</v>
      </c>
      <c r="I95" s="13">
        <v>3</v>
      </c>
      <c r="J95" s="10"/>
      <c r="K95" s="13">
        <v>12</v>
      </c>
      <c r="L95" s="13">
        <v>11</v>
      </c>
      <c r="M95" s="13">
        <v>40</v>
      </c>
      <c r="N95" s="13">
        <v>0</v>
      </c>
      <c r="O95" s="54">
        <f t="shared" si="2"/>
        <v>0.4861111111111111</v>
      </c>
      <c r="P95" s="55">
        <f t="shared" si="3"/>
        <v>0.52777777777777779</v>
      </c>
    </row>
    <row r="96" spans="1:16" x14ac:dyDescent="0.3">
      <c r="A96" s="25">
        <f>YEAR('RETAIL SALES DATA.'!K95)</f>
        <v>2024</v>
      </c>
      <c r="B96" s="13" t="str">
        <v>Nov</v>
      </c>
      <c r="C96" s="42">
        <f>DAY('RETAIL SALES DATA.'!K95)</f>
        <v>22</v>
      </c>
      <c r="D96" s="13">
        <v>2024</v>
      </c>
      <c r="E96" s="13" t="str">
        <v>Dec</v>
      </c>
      <c r="F96" s="13">
        <v>1</v>
      </c>
      <c r="G96" s="10"/>
      <c r="H96" s="13">
        <f>NETWORKDAYS('RETAIL SALES DATA.'!K95,'RETAIL SALES DATA.'!L95)</f>
        <v>6</v>
      </c>
      <c r="I96" s="13">
        <v>9</v>
      </c>
      <c r="J96" s="10"/>
      <c r="K96" s="13">
        <v>0</v>
      </c>
      <c r="L96" s="13">
        <v>9</v>
      </c>
      <c r="M96" s="13">
        <v>48</v>
      </c>
      <c r="N96" s="13">
        <v>0</v>
      </c>
      <c r="O96" s="54">
        <f t="shared" si="2"/>
        <v>0.40833333333333333</v>
      </c>
      <c r="P96" s="55">
        <f t="shared" si="3"/>
        <v>3.3333333333333333E-2</v>
      </c>
    </row>
    <row r="97" spans="1:16" x14ac:dyDescent="0.3">
      <c r="A97" s="25">
        <f>YEAR('RETAIL SALES DATA.'!K96)</f>
        <v>2024</v>
      </c>
      <c r="B97" s="13" t="str">
        <v>Aug</v>
      </c>
      <c r="C97" s="42">
        <f>DAY('RETAIL SALES DATA.'!K96)</f>
        <v>19</v>
      </c>
      <c r="D97" s="13">
        <v>2024</v>
      </c>
      <c r="E97" s="13" t="str">
        <v>Aug</v>
      </c>
      <c r="F97" s="13">
        <v>26</v>
      </c>
      <c r="G97" s="10"/>
      <c r="H97" s="13">
        <f>NETWORKDAYS('RETAIL SALES DATA.'!K96,'RETAIL SALES DATA.'!L96)</f>
        <v>6</v>
      </c>
      <c r="I97" s="13">
        <v>7</v>
      </c>
      <c r="J97" s="10"/>
      <c r="K97" s="13">
        <v>21</v>
      </c>
      <c r="L97" s="13">
        <v>11</v>
      </c>
      <c r="M97" s="13">
        <v>43</v>
      </c>
      <c r="N97" s="13">
        <v>0</v>
      </c>
      <c r="O97" s="54">
        <f t="shared" si="2"/>
        <v>0.48819444444444443</v>
      </c>
      <c r="P97" s="55">
        <f t="shared" si="3"/>
        <v>0.90486111111111112</v>
      </c>
    </row>
    <row r="98" spans="1:16" x14ac:dyDescent="0.3">
      <c r="A98" s="25">
        <f>YEAR('RETAIL SALES DATA.'!K97)</f>
        <v>2024</v>
      </c>
      <c r="B98" s="13" t="str">
        <v>Nov</v>
      </c>
      <c r="C98" s="42">
        <f>DAY('RETAIL SALES DATA.'!K97)</f>
        <v>15</v>
      </c>
      <c r="D98" s="13">
        <v>2024</v>
      </c>
      <c r="E98" s="13" t="str">
        <v>Nov</v>
      </c>
      <c r="F98" s="13">
        <v>25</v>
      </c>
      <c r="G98" s="10"/>
      <c r="H98" s="13">
        <f>NETWORKDAYS('RETAIL SALES DATA.'!K97,'RETAIL SALES DATA.'!L97)</f>
        <v>7</v>
      </c>
      <c r="I98" s="13">
        <v>10</v>
      </c>
      <c r="J98" s="10"/>
      <c r="K98" s="13">
        <v>16</v>
      </c>
      <c r="L98" s="13">
        <v>8</v>
      </c>
      <c r="M98" s="13">
        <v>55</v>
      </c>
      <c r="N98" s="13">
        <v>0</v>
      </c>
      <c r="O98" s="54">
        <f t="shared" si="2"/>
        <v>0.37152777777777779</v>
      </c>
      <c r="P98" s="55">
        <f t="shared" si="3"/>
        <v>0.70486111111111116</v>
      </c>
    </row>
    <row r="99" spans="1:16" x14ac:dyDescent="0.3">
      <c r="A99" s="25">
        <f>YEAR('RETAIL SALES DATA.'!K98)</f>
        <v>2024</v>
      </c>
      <c r="B99" s="13" t="str">
        <v>Nov</v>
      </c>
      <c r="C99" s="42">
        <f>DAY('RETAIL SALES DATA.'!K98)</f>
        <v>25</v>
      </c>
      <c r="D99" s="13">
        <v>2024</v>
      </c>
      <c r="E99" s="13" t="str">
        <v>Dec</v>
      </c>
      <c r="F99" s="13">
        <v>5</v>
      </c>
      <c r="G99" s="10"/>
      <c r="H99" s="13">
        <f>NETWORKDAYS('RETAIL SALES DATA.'!K98,'RETAIL SALES DATA.'!L98)</f>
        <v>9</v>
      </c>
      <c r="I99" s="13">
        <v>10</v>
      </c>
      <c r="J99" s="10"/>
      <c r="K99" s="13">
        <v>14</v>
      </c>
      <c r="L99" s="13">
        <v>8</v>
      </c>
      <c r="M99" s="13">
        <v>15</v>
      </c>
      <c r="N99" s="13">
        <v>0</v>
      </c>
      <c r="O99" s="54">
        <f t="shared" si="2"/>
        <v>0.34375</v>
      </c>
      <c r="P99" s="55">
        <f t="shared" si="3"/>
        <v>0.59375</v>
      </c>
    </row>
    <row r="100" spans="1:16" x14ac:dyDescent="0.3">
      <c r="A100" s="25">
        <f>YEAR('RETAIL SALES DATA.'!K99)</f>
        <v>2025</v>
      </c>
      <c r="B100" s="13" t="str">
        <v>Feb</v>
      </c>
      <c r="C100" s="42">
        <f>DAY('RETAIL SALES DATA.'!K99)</f>
        <v>16</v>
      </c>
      <c r="D100" s="13">
        <v>2025</v>
      </c>
      <c r="E100" s="13" t="str">
        <v>Feb</v>
      </c>
      <c r="F100" s="13">
        <v>17</v>
      </c>
      <c r="G100" s="10"/>
      <c r="H100" s="13">
        <f>NETWORKDAYS('RETAIL SALES DATA.'!K99,'RETAIL SALES DATA.'!L99)</f>
        <v>1</v>
      </c>
      <c r="I100" s="13">
        <v>1</v>
      </c>
      <c r="J100" s="10"/>
      <c r="K100" s="13">
        <v>12</v>
      </c>
      <c r="L100" s="13">
        <v>8</v>
      </c>
      <c r="M100" s="13">
        <v>18</v>
      </c>
      <c r="N100" s="13">
        <v>0</v>
      </c>
      <c r="O100" s="54">
        <f t="shared" si="2"/>
        <v>0.34583333333333333</v>
      </c>
      <c r="P100" s="55">
        <f t="shared" si="3"/>
        <v>0.51249999999999996</v>
      </c>
    </row>
    <row r="101" spans="1:16" x14ac:dyDescent="0.3">
      <c r="A101" s="25">
        <f>YEAR('RETAIL SALES DATA.'!K100)</f>
        <v>2025</v>
      </c>
      <c r="B101" s="13" t="str">
        <v>Jul</v>
      </c>
      <c r="C101" s="42">
        <f>DAY('RETAIL SALES DATA.'!K100)</f>
        <v>4</v>
      </c>
      <c r="D101" s="13">
        <v>2025</v>
      </c>
      <c r="E101" s="13" t="str">
        <v>Jul</v>
      </c>
      <c r="F101" s="13">
        <v>10</v>
      </c>
      <c r="G101" s="10"/>
      <c r="H101" s="13">
        <f>NETWORKDAYS('RETAIL SALES DATA.'!K100,'RETAIL SALES DATA.'!L100)</f>
        <v>5</v>
      </c>
      <c r="I101" s="13">
        <v>6</v>
      </c>
      <c r="J101" s="10"/>
      <c r="K101" s="13">
        <v>19</v>
      </c>
      <c r="L101" s="13">
        <v>9</v>
      </c>
      <c r="M101" s="13">
        <v>18</v>
      </c>
      <c r="N101" s="13">
        <v>0</v>
      </c>
      <c r="O101" s="54">
        <f t="shared" si="2"/>
        <v>0.38750000000000001</v>
      </c>
      <c r="P101" s="55">
        <f t="shared" si="3"/>
        <v>0.8041666666666667</v>
      </c>
    </row>
    <row r="102" spans="1:16" x14ac:dyDescent="0.3">
      <c r="A102" s="25">
        <f>YEAR('RETAIL SALES DATA.'!K101)</f>
        <v>2025</v>
      </c>
      <c r="B102" s="13" t="str">
        <v>Jan</v>
      </c>
      <c r="C102" s="42">
        <f>DAY('RETAIL SALES DATA.'!K101)</f>
        <v>5</v>
      </c>
      <c r="D102" s="13">
        <v>2025</v>
      </c>
      <c r="E102" s="13" t="str">
        <v>Jan</v>
      </c>
      <c r="F102" s="13">
        <v>15</v>
      </c>
      <c r="G102" s="10"/>
      <c r="H102" s="13">
        <f>NETWORKDAYS('RETAIL SALES DATA.'!K101,'RETAIL SALES DATA.'!L101)</f>
        <v>8</v>
      </c>
      <c r="I102" s="13">
        <v>10</v>
      </c>
      <c r="J102" s="10"/>
      <c r="K102" s="13">
        <v>21</v>
      </c>
      <c r="L102" s="13">
        <v>8</v>
      </c>
      <c r="M102" s="13">
        <v>53</v>
      </c>
      <c r="N102" s="13">
        <v>0</v>
      </c>
      <c r="O102" s="54">
        <f t="shared" si="2"/>
        <v>0.37013888888888891</v>
      </c>
      <c r="P102" s="55">
        <f t="shared" si="3"/>
        <v>0.91180555555555554</v>
      </c>
    </row>
    <row r="103" spans="1:16" x14ac:dyDescent="0.3">
      <c r="A103" s="25">
        <f>YEAR('RETAIL SALES DATA.'!K102)</f>
        <v>2025</v>
      </c>
      <c r="B103" s="13" t="str">
        <v>Dec</v>
      </c>
      <c r="C103" s="42">
        <f>DAY('RETAIL SALES DATA.'!K102)</f>
        <v>25</v>
      </c>
      <c r="D103" s="13">
        <v>2025</v>
      </c>
      <c r="E103" s="13" t="str">
        <v>Dec</v>
      </c>
      <c r="F103" s="13">
        <v>29</v>
      </c>
      <c r="G103" s="10"/>
      <c r="H103" s="13">
        <f>NETWORKDAYS('RETAIL SALES DATA.'!K102,'RETAIL SALES DATA.'!L102)</f>
        <v>3</v>
      </c>
      <c r="I103" s="13">
        <v>4</v>
      </c>
      <c r="J103" s="10"/>
      <c r="K103" s="13">
        <v>7</v>
      </c>
      <c r="L103" s="13">
        <v>8</v>
      </c>
      <c r="M103" s="13">
        <v>34</v>
      </c>
      <c r="N103" s="13">
        <v>0</v>
      </c>
      <c r="O103" s="54">
        <f t="shared" si="2"/>
        <v>0.35694444444444445</v>
      </c>
      <c r="P103" s="55">
        <f t="shared" si="3"/>
        <v>0.31527777777777777</v>
      </c>
    </row>
    <row r="104" spans="1:16" x14ac:dyDescent="0.3">
      <c r="A104" s="25">
        <f>YEAR('RETAIL SALES DATA.'!K103)</f>
        <v>2026</v>
      </c>
      <c r="B104" s="13" t="str">
        <v>Feb</v>
      </c>
      <c r="C104" s="42">
        <f>DAY('RETAIL SALES DATA.'!K103)</f>
        <v>21</v>
      </c>
      <c r="D104" s="13">
        <v>2026</v>
      </c>
      <c r="E104" s="13" t="str">
        <v>Feb</v>
      </c>
      <c r="F104" s="13">
        <v>25</v>
      </c>
      <c r="G104" s="10"/>
      <c r="H104" s="13">
        <f>NETWORKDAYS('RETAIL SALES DATA.'!K103,'RETAIL SALES DATA.'!L103)</f>
        <v>3</v>
      </c>
      <c r="I104" s="13">
        <v>4</v>
      </c>
      <c r="J104" s="10"/>
      <c r="K104" s="13">
        <v>4</v>
      </c>
      <c r="L104" s="13">
        <v>11</v>
      </c>
      <c r="M104" s="13">
        <v>47</v>
      </c>
      <c r="N104" s="13">
        <v>0</v>
      </c>
      <c r="O104" s="54">
        <f t="shared" si="2"/>
        <v>0.4909722222222222</v>
      </c>
      <c r="P104" s="55">
        <f t="shared" si="3"/>
        <v>0.19930555555555557</v>
      </c>
    </row>
    <row r="105" spans="1:16" x14ac:dyDescent="0.3">
      <c r="A105" s="25">
        <f>YEAR('RETAIL SALES DATA.'!K104)</f>
        <v>2025</v>
      </c>
      <c r="B105" s="13" t="str">
        <v>Dec</v>
      </c>
      <c r="C105" s="42">
        <f>DAY('RETAIL SALES DATA.'!K104)</f>
        <v>18</v>
      </c>
      <c r="D105" s="13">
        <v>2025</v>
      </c>
      <c r="E105" s="13" t="str">
        <v>Dec</v>
      </c>
      <c r="F105" s="13">
        <v>19</v>
      </c>
      <c r="G105" s="10"/>
      <c r="H105" s="13">
        <f>NETWORKDAYS('RETAIL SALES DATA.'!K104,'RETAIL SALES DATA.'!L104)</f>
        <v>2</v>
      </c>
      <c r="I105" s="13">
        <v>1</v>
      </c>
      <c r="J105" s="10"/>
      <c r="K105" s="13">
        <v>4</v>
      </c>
      <c r="L105" s="13">
        <v>9</v>
      </c>
      <c r="M105" s="13">
        <v>51</v>
      </c>
      <c r="N105" s="13">
        <v>0</v>
      </c>
      <c r="O105" s="54">
        <f t="shared" si="2"/>
        <v>0.41041666666666665</v>
      </c>
      <c r="P105" s="55">
        <f t="shared" si="3"/>
        <v>0.20208333333333334</v>
      </c>
    </row>
    <row r="106" spans="1:16" x14ac:dyDescent="0.3">
      <c r="A106" s="25">
        <f>YEAR('RETAIL SALES DATA.'!K105)</f>
        <v>2025</v>
      </c>
      <c r="B106" s="13" t="str">
        <v>Dec</v>
      </c>
      <c r="C106" s="42">
        <f>DAY('RETAIL SALES DATA.'!K105)</f>
        <v>12</v>
      </c>
      <c r="D106" s="13">
        <v>2025</v>
      </c>
      <c r="E106" s="13" t="str">
        <v>Dec</v>
      </c>
      <c r="F106" s="13">
        <v>18</v>
      </c>
      <c r="G106" s="10"/>
      <c r="H106" s="13">
        <f>NETWORKDAYS('RETAIL SALES DATA.'!K105,'RETAIL SALES DATA.'!L105)</f>
        <v>5</v>
      </c>
      <c r="I106" s="13">
        <v>6</v>
      </c>
      <c r="J106" s="10"/>
      <c r="K106" s="13">
        <v>19</v>
      </c>
      <c r="L106" s="13">
        <v>11</v>
      </c>
      <c r="M106" s="13">
        <v>43</v>
      </c>
      <c r="N106" s="13">
        <v>0</v>
      </c>
      <c r="O106" s="54">
        <f t="shared" si="2"/>
        <v>0.48819444444444443</v>
      </c>
      <c r="P106" s="55">
        <f t="shared" si="3"/>
        <v>0.82152777777777775</v>
      </c>
    </row>
    <row r="107" spans="1:16" x14ac:dyDescent="0.3">
      <c r="A107" s="25">
        <f>YEAR('RETAIL SALES DATA.'!K106)</f>
        <v>2024</v>
      </c>
      <c r="B107" s="13" t="str">
        <v>Aug</v>
      </c>
      <c r="C107" s="42">
        <f>DAY('RETAIL SALES DATA.'!K106)</f>
        <v>4</v>
      </c>
      <c r="D107" s="13">
        <v>2024</v>
      </c>
      <c r="E107" s="13" t="str">
        <v>Aug</v>
      </c>
      <c r="F107" s="13">
        <v>6</v>
      </c>
      <c r="G107" s="10"/>
      <c r="H107" s="13">
        <f>NETWORKDAYS('RETAIL SALES DATA.'!K106,'RETAIL SALES DATA.'!L106)</f>
        <v>2</v>
      </c>
      <c r="I107" s="13">
        <v>2</v>
      </c>
      <c r="J107" s="10"/>
      <c r="K107" s="13">
        <v>9</v>
      </c>
      <c r="L107" s="13">
        <v>9</v>
      </c>
      <c r="M107" s="13">
        <v>8</v>
      </c>
      <c r="N107" s="13">
        <v>0</v>
      </c>
      <c r="O107" s="54">
        <f t="shared" si="2"/>
        <v>0.38055555555555554</v>
      </c>
      <c r="P107" s="55">
        <f t="shared" si="3"/>
        <v>0.38055555555555554</v>
      </c>
    </row>
    <row r="108" spans="1:16" x14ac:dyDescent="0.3">
      <c r="A108" s="25">
        <f>YEAR('RETAIL SALES DATA.'!K107)</f>
        <v>2024</v>
      </c>
      <c r="B108" s="13" t="str">
        <v>Sep</v>
      </c>
      <c r="C108" s="42">
        <f>DAY('RETAIL SALES DATA.'!K107)</f>
        <v>6</v>
      </c>
      <c r="D108" s="13">
        <v>2024</v>
      </c>
      <c r="E108" s="13" t="str">
        <v>Sep</v>
      </c>
      <c r="F108" s="13">
        <v>9</v>
      </c>
      <c r="G108" s="10"/>
      <c r="H108" s="13">
        <f>NETWORKDAYS('RETAIL SALES DATA.'!K107,'RETAIL SALES DATA.'!L107)</f>
        <v>2</v>
      </c>
      <c r="I108" s="13">
        <v>3</v>
      </c>
      <c r="J108" s="10"/>
      <c r="K108" s="13">
        <v>21</v>
      </c>
      <c r="L108" s="13">
        <v>11</v>
      </c>
      <c r="M108" s="13">
        <v>29</v>
      </c>
      <c r="N108" s="13">
        <v>0</v>
      </c>
      <c r="O108" s="54">
        <f t="shared" si="2"/>
        <v>0.47847222222222224</v>
      </c>
      <c r="P108" s="55">
        <f t="shared" si="3"/>
        <v>0.89513888888888893</v>
      </c>
    </row>
    <row r="109" spans="1:16" x14ac:dyDescent="0.3">
      <c r="A109" s="25">
        <f>YEAR('RETAIL SALES DATA.'!K108)</f>
        <v>2025</v>
      </c>
      <c r="B109" s="13" t="str">
        <v>Jan</v>
      </c>
      <c r="C109" s="42">
        <f>DAY('RETAIL SALES DATA.'!K108)</f>
        <v>28</v>
      </c>
      <c r="D109" s="13">
        <v>2025</v>
      </c>
      <c r="E109" s="13" t="str">
        <v>Jan</v>
      </c>
      <c r="F109" s="13">
        <v>30</v>
      </c>
      <c r="G109" s="10"/>
      <c r="H109" s="13">
        <f>NETWORKDAYS('RETAIL SALES DATA.'!K108,'RETAIL SALES DATA.'!L108)</f>
        <v>3</v>
      </c>
      <c r="I109" s="13">
        <v>2</v>
      </c>
      <c r="J109" s="10"/>
      <c r="K109" s="13">
        <v>2</v>
      </c>
      <c r="L109" s="13">
        <v>8</v>
      </c>
      <c r="M109" s="13">
        <v>31</v>
      </c>
      <c r="N109" s="13">
        <v>0</v>
      </c>
      <c r="O109" s="54">
        <f t="shared" si="2"/>
        <v>0.35486111111111113</v>
      </c>
      <c r="P109" s="55">
        <f t="shared" si="3"/>
        <v>0.10486111111111111</v>
      </c>
    </row>
    <row r="110" spans="1:16" x14ac:dyDescent="0.3">
      <c r="A110" s="25">
        <f>YEAR('RETAIL SALES DATA.'!K109)</f>
        <v>2025</v>
      </c>
      <c r="B110" s="13" t="str">
        <v>Aug</v>
      </c>
      <c r="C110" s="42">
        <f>DAY('RETAIL SALES DATA.'!K109)</f>
        <v>13</v>
      </c>
      <c r="D110" s="13">
        <v>2025</v>
      </c>
      <c r="E110" s="13" t="str">
        <v>Aug</v>
      </c>
      <c r="F110" s="13">
        <v>22</v>
      </c>
      <c r="G110" s="10"/>
      <c r="H110" s="13">
        <f>NETWORKDAYS('RETAIL SALES DATA.'!K109,'RETAIL SALES DATA.'!L109)</f>
        <v>8</v>
      </c>
      <c r="I110" s="13">
        <v>9</v>
      </c>
      <c r="J110" s="10"/>
      <c r="K110" s="13">
        <v>4</v>
      </c>
      <c r="L110" s="13">
        <v>10</v>
      </c>
      <c r="M110" s="13">
        <v>59</v>
      </c>
      <c r="N110" s="13">
        <v>0</v>
      </c>
      <c r="O110" s="54">
        <f t="shared" si="2"/>
        <v>0.45763888888888887</v>
      </c>
      <c r="P110" s="55">
        <f t="shared" si="3"/>
        <v>0.2076388888888889</v>
      </c>
    </row>
    <row r="111" spans="1:16" x14ac:dyDescent="0.3">
      <c r="A111" s="25">
        <f>YEAR('RETAIL SALES DATA.'!K110)</f>
        <v>2024</v>
      </c>
      <c r="B111" s="13" t="str">
        <v>Dec</v>
      </c>
      <c r="C111" s="42">
        <f>DAY('RETAIL SALES DATA.'!K110)</f>
        <v>2</v>
      </c>
      <c r="D111" s="13">
        <v>2024</v>
      </c>
      <c r="E111" s="13" t="str">
        <v>Dec</v>
      </c>
      <c r="F111" s="13">
        <v>10</v>
      </c>
      <c r="G111" s="10"/>
      <c r="H111" s="13">
        <f>NETWORKDAYS('RETAIL SALES DATA.'!K110,'RETAIL SALES DATA.'!L110)</f>
        <v>7</v>
      </c>
      <c r="I111" s="13">
        <v>8</v>
      </c>
      <c r="J111" s="10"/>
      <c r="K111" s="13">
        <v>14</v>
      </c>
      <c r="L111" s="13">
        <v>11</v>
      </c>
      <c r="M111" s="13">
        <v>9</v>
      </c>
      <c r="N111" s="13">
        <v>0</v>
      </c>
      <c r="O111" s="54">
        <f t="shared" si="2"/>
        <v>0.46458333333333335</v>
      </c>
      <c r="P111" s="55">
        <f t="shared" si="3"/>
        <v>0.58958333333333335</v>
      </c>
    </row>
    <row r="112" spans="1:16" x14ac:dyDescent="0.3">
      <c r="A112" s="25">
        <f>YEAR('RETAIL SALES DATA.'!K111)</f>
        <v>2024</v>
      </c>
      <c r="B112" s="13" t="str">
        <v>Nov</v>
      </c>
      <c r="C112" s="42">
        <f>DAY('RETAIL SALES DATA.'!K111)</f>
        <v>3</v>
      </c>
      <c r="D112" s="13">
        <v>2024</v>
      </c>
      <c r="E112" s="13" t="str">
        <v>Nov</v>
      </c>
      <c r="F112" s="13">
        <v>7</v>
      </c>
      <c r="G112" s="10"/>
      <c r="H112" s="13">
        <f>NETWORKDAYS('RETAIL SALES DATA.'!K111,'RETAIL SALES DATA.'!L111)</f>
        <v>4</v>
      </c>
      <c r="I112" s="13">
        <v>4</v>
      </c>
      <c r="J112" s="10"/>
      <c r="K112" s="13">
        <v>4</v>
      </c>
      <c r="L112" s="13">
        <v>9</v>
      </c>
      <c r="M112" s="13">
        <v>33</v>
      </c>
      <c r="N112" s="13">
        <v>0</v>
      </c>
      <c r="O112" s="54">
        <f t="shared" si="2"/>
        <v>0.39791666666666664</v>
      </c>
      <c r="P112" s="55">
        <f t="shared" si="3"/>
        <v>0.18958333333333333</v>
      </c>
    </row>
    <row r="113" spans="1:16" x14ac:dyDescent="0.3">
      <c r="A113" s="25">
        <f>YEAR('RETAIL SALES DATA.'!K112)</f>
        <v>2024</v>
      </c>
      <c r="B113" s="13" t="str">
        <v>Aug</v>
      </c>
      <c r="C113" s="42">
        <f>DAY('RETAIL SALES DATA.'!K112)</f>
        <v>16</v>
      </c>
      <c r="D113" s="13">
        <v>2024</v>
      </c>
      <c r="E113" s="13" t="str">
        <v>Aug</v>
      </c>
      <c r="F113" s="13">
        <v>24</v>
      </c>
      <c r="G113" s="10"/>
      <c r="H113" s="13">
        <f>NETWORKDAYS('RETAIL SALES DATA.'!K112,'RETAIL SALES DATA.'!L112)</f>
        <v>6</v>
      </c>
      <c r="I113" s="13">
        <v>8</v>
      </c>
      <c r="J113" s="10"/>
      <c r="K113" s="13">
        <v>21</v>
      </c>
      <c r="L113" s="13">
        <v>10</v>
      </c>
      <c r="M113" s="13">
        <v>30</v>
      </c>
      <c r="N113" s="13">
        <v>0</v>
      </c>
      <c r="O113" s="54">
        <f t="shared" si="2"/>
        <v>0.4375</v>
      </c>
      <c r="P113" s="55">
        <f t="shared" si="3"/>
        <v>0.89583333333333337</v>
      </c>
    </row>
    <row r="114" spans="1:16" x14ac:dyDescent="0.3">
      <c r="A114" s="25">
        <f>YEAR('RETAIL SALES DATA.'!K113)</f>
        <v>2024</v>
      </c>
      <c r="B114" s="13" t="str">
        <v>Oct</v>
      </c>
      <c r="C114" s="42">
        <f>DAY('RETAIL SALES DATA.'!K113)</f>
        <v>6</v>
      </c>
      <c r="D114" s="13">
        <v>2024</v>
      </c>
      <c r="E114" s="13" t="str">
        <v>Oct</v>
      </c>
      <c r="F114" s="13">
        <v>14</v>
      </c>
      <c r="G114" s="10"/>
      <c r="H114" s="13">
        <f>NETWORKDAYS('RETAIL SALES DATA.'!K113,'RETAIL SALES DATA.'!L113)</f>
        <v>6</v>
      </c>
      <c r="I114" s="13">
        <v>8</v>
      </c>
      <c r="J114" s="10"/>
      <c r="K114" s="13">
        <v>2</v>
      </c>
      <c r="L114" s="13">
        <v>10</v>
      </c>
      <c r="M114" s="13">
        <v>8</v>
      </c>
      <c r="N114" s="13">
        <v>0</v>
      </c>
      <c r="O114" s="54">
        <f t="shared" si="2"/>
        <v>0.42222222222222222</v>
      </c>
      <c r="P114" s="55">
        <f t="shared" si="3"/>
        <v>8.8888888888888892E-2</v>
      </c>
    </row>
    <row r="115" spans="1:16" x14ac:dyDescent="0.3">
      <c r="A115" s="25">
        <f>YEAR('RETAIL SALES DATA.'!K114)</f>
        <v>2024</v>
      </c>
      <c r="B115" s="13" t="str">
        <v>Jun</v>
      </c>
      <c r="C115" s="42">
        <f>DAY('RETAIL SALES DATA.'!K114)</f>
        <v>18</v>
      </c>
      <c r="D115" s="13">
        <v>2024</v>
      </c>
      <c r="E115" s="13" t="str">
        <v>Jun</v>
      </c>
      <c r="F115" s="13">
        <v>20</v>
      </c>
      <c r="G115" s="10"/>
      <c r="H115" s="13">
        <f>NETWORKDAYS('RETAIL SALES DATA.'!K114,'RETAIL SALES DATA.'!L114)</f>
        <v>3</v>
      </c>
      <c r="I115" s="13">
        <v>2</v>
      </c>
      <c r="J115" s="10"/>
      <c r="K115" s="13">
        <v>21</v>
      </c>
      <c r="L115" s="13">
        <v>9</v>
      </c>
      <c r="M115" s="13">
        <v>25</v>
      </c>
      <c r="N115" s="13">
        <v>0</v>
      </c>
      <c r="O115" s="54">
        <f t="shared" si="2"/>
        <v>0.3923611111111111</v>
      </c>
      <c r="P115" s="55">
        <f t="shared" si="3"/>
        <v>0.89236111111111116</v>
      </c>
    </row>
    <row r="116" spans="1:16" x14ac:dyDescent="0.3">
      <c r="A116" s="25">
        <f>YEAR('RETAIL SALES DATA.'!K115)</f>
        <v>2024</v>
      </c>
      <c r="B116" s="13" t="str">
        <v>Oct</v>
      </c>
      <c r="C116" s="42">
        <f>DAY('RETAIL SALES DATA.'!K115)</f>
        <v>12</v>
      </c>
      <c r="D116" s="13">
        <v>2024</v>
      </c>
      <c r="E116" s="13" t="str">
        <v>Oct</v>
      </c>
      <c r="F116" s="13">
        <v>19</v>
      </c>
      <c r="G116" s="10"/>
      <c r="H116" s="13">
        <f>NETWORKDAYS('RETAIL SALES DATA.'!K115,'RETAIL SALES DATA.'!L115)</f>
        <v>5</v>
      </c>
      <c r="I116" s="13">
        <v>7</v>
      </c>
      <c r="J116" s="10"/>
      <c r="K116" s="13">
        <v>7</v>
      </c>
      <c r="L116" s="13">
        <v>10</v>
      </c>
      <c r="M116" s="13">
        <v>17</v>
      </c>
      <c r="N116" s="13">
        <v>0</v>
      </c>
      <c r="O116" s="54">
        <f t="shared" si="2"/>
        <v>0.4284722222222222</v>
      </c>
      <c r="P116" s="55">
        <f t="shared" si="3"/>
        <v>0.3034722222222222</v>
      </c>
    </row>
    <row r="117" spans="1:16" x14ac:dyDescent="0.3">
      <c r="A117" s="25">
        <f>YEAR('RETAIL SALES DATA.'!K116)</f>
        <v>2025</v>
      </c>
      <c r="B117" s="13" t="str">
        <v>Nov</v>
      </c>
      <c r="C117" s="42">
        <f>DAY('RETAIL SALES DATA.'!K116)</f>
        <v>11</v>
      </c>
      <c r="D117" s="13">
        <v>2025</v>
      </c>
      <c r="E117" s="13" t="str">
        <v>Nov</v>
      </c>
      <c r="F117" s="13">
        <v>13</v>
      </c>
      <c r="G117" s="10"/>
      <c r="H117" s="13">
        <f>NETWORKDAYS('RETAIL SALES DATA.'!K116,'RETAIL SALES DATA.'!L116)</f>
        <v>3</v>
      </c>
      <c r="I117" s="13">
        <v>2</v>
      </c>
      <c r="J117" s="10"/>
      <c r="K117" s="13">
        <v>4</v>
      </c>
      <c r="L117" s="13">
        <v>9</v>
      </c>
      <c r="M117" s="13">
        <v>11</v>
      </c>
      <c r="N117" s="13">
        <v>0</v>
      </c>
      <c r="O117" s="54">
        <f t="shared" si="2"/>
        <v>0.38263888888888886</v>
      </c>
      <c r="P117" s="55">
        <f t="shared" si="3"/>
        <v>0.17430555555555555</v>
      </c>
    </row>
    <row r="118" spans="1:16" x14ac:dyDescent="0.3">
      <c r="A118" s="25">
        <f>YEAR('RETAIL SALES DATA.'!K117)</f>
        <v>2025</v>
      </c>
      <c r="B118" s="13" t="str">
        <v>Dec</v>
      </c>
      <c r="C118" s="42">
        <f>DAY('RETAIL SALES DATA.'!K117)</f>
        <v>8</v>
      </c>
      <c r="D118" s="13">
        <v>2025</v>
      </c>
      <c r="E118" s="13" t="str">
        <v>Dec</v>
      </c>
      <c r="F118" s="13">
        <v>11</v>
      </c>
      <c r="G118" s="10"/>
      <c r="H118" s="13">
        <f>NETWORKDAYS('RETAIL SALES DATA.'!K117,'RETAIL SALES DATA.'!L117)</f>
        <v>4</v>
      </c>
      <c r="I118" s="13">
        <v>3</v>
      </c>
      <c r="J118" s="10"/>
      <c r="K118" s="13">
        <v>0</v>
      </c>
      <c r="L118" s="13">
        <v>10</v>
      </c>
      <c r="M118" s="13">
        <v>21</v>
      </c>
      <c r="N118" s="13">
        <v>0</v>
      </c>
      <c r="O118" s="54">
        <f t="shared" si="2"/>
        <v>0.43125000000000002</v>
      </c>
      <c r="P118" s="55">
        <f t="shared" si="3"/>
        <v>1.4583333333333334E-2</v>
      </c>
    </row>
    <row r="119" spans="1:16" x14ac:dyDescent="0.3">
      <c r="A119" s="25">
        <f>YEAR('RETAIL SALES DATA.'!K118)</f>
        <v>2025</v>
      </c>
      <c r="B119" s="13" t="str">
        <v>Dec</v>
      </c>
      <c r="C119" s="42">
        <f>DAY('RETAIL SALES DATA.'!K118)</f>
        <v>18</v>
      </c>
      <c r="D119" s="13">
        <v>2025</v>
      </c>
      <c r="E119" s="13" t="str">
        <v>Dec</v>
      </c>
      <c r="F119" s="13">
        <v>23</v>
      </c>
      <c r="G119" s="10"/>
      <c r="H119" s="13">
        <f>NETWORKDAYS('RETAIL SALES DATA.'!K118,'RETAIL SALES DATA.'!L118)</f>
        <v>4</v>
      </c>
      <c r="I119" s="13">
        <v>5</v>
      </c>
      <c r="J119" s="10"/>
      <c r="K119" s="13">
        <v>2</v>
      </c>
      <c r="L119" s="13">
        <v>10</v>
      </c>
      <c r="M119" s="13">
        <v>42</v>
      </c>
      <c r="N119" s="13">
        <v>0</v>
      </c>
      <c r="O119" s="54">
        <f t="shared" si="2"/>
        <v>0.44583333333333336</v>
      </c>
      <c r="P119" s="55">
        <f t="shared" si="3"/>
        <v>0.1125</v>
      </c>
    </row>
    <row r="120" spans="1:16" x14ac:dyDescent="0.3">
      <c r="A120" s="25">
        <f>YEAR('RETAIL SALES DATA.'!K119)</f>
        <v>2025</v>
      </c>
      <c r="B120" s="13" t="str">
        <v>Mar</v>
      </c>
      <c r="C120" s="42">
        <f>DAY('RETAIL SALES DATA.'!K119)</f>
        <v>16</v>
      </c>
      <c r="D120" s="13">
        <v>2025</v>
      </c>
      <c r="E120" s="13" t="str">
        <v>Mar</v>
      </c>
      <c r="F120" s="13">
        <v>24</v>
      </c>
      <c r="G120" s="10"/>
      <c r="H120" s="13">
        <f>NETWORKDAYS('RETAIL SALES DATA.'!K119,'RETAIL SALES DATA.'!L119)</f>
        <v>6</v>
      </c>
      <c r="I120" s="13">
        <v>8</v>
      </c>
      <c r="J120" s="10"/>
      <c r="K120" s="13">
        <v>14</v>
      </c>
      <c r="L120" s="13">
        <v>9</v>
      </c>
      <c r="M120" s="13">
        <v>7</v>
      </c>
      <c r="N120" s="13">
        <v>0</v>
      </c>
      <c r="O120" s="54">
        <f t="shared" si="2"/>
        <v>0.37986111111111109</v>
      </c>
      <c r="P120" s="55">
        <f t="shared" si="3"/>
        <v>0.58819444444444446</v>
      </c>
    </row>
    <row r="121" spans="1:16" x14ac:dyDescent="0.3">
      <c r="A121" s="25">
        <f>YEAR('RETAIL SALES DATA.'!K120)</f>
        <v>2024</v>
      </c>
      <c r="B121" s="13" t="str">
        <v>Nov</v>
      </c>
      <c r="C121" s="42">
        <f>DAY('RETAIL SALES DATA.'!K120)</f>
        <v>15</v>
      </c>
      <c r="D121" s="13">
        <v>2024</v>
      </c>
      <c r="E121" s="13" t="str">
        <v>Nov</v>
      </c>
      <c r="F121" s="13">
        <v>17</v>
      </c>
      <c r="G121" s="10"/>
      <c r="H121" s="13">
        <f>NETWORKDAYS('RETAIL SALES DATA.'!K120,'RETAIL SALES DATA.'!L120)</f>
        <v>1</v>
      </c>
      <c r="I121" s="13">
        <v>2</v>
      </c>
      <c r="J121" s="10"/>
      <c r="K121" s="13">
        <v>4</v>
      </c>
      <c r="L121" s="13">
        <v>8</v>
      </c>
      <c r="M121" s="13">
        <v>41</v>
      </c>
      <c r="N121" s="13">
        <v>0</v>
      </c>
      <c r="O121" s="54">
        <f t="shared" si="2"/>
        <v>0.36180555555555555</v>
      </c>
      <c r="P121" s="55">
        <f t="shared" si="3"/>
        <v>0.19513888888888889</v>
      </c>
    </row>
    <row r="122" spans="1:16" x14ac:dyDescent="0.3">
      <c r="A122" s="25">
        <f>YEAR('RETAIL SALES DATA.'!K121)</f>
        <v>2024</v>
      </c>
      <c r="B122" s="13" t="str">
        <v>Jun</v>
      </c>
      <c r="C122" s="42">
        <f>DAY('RETAIL SALES DATA.'!K121)</f>
        <v>4</v>
      </c>
      <c r="D122" s="13">
        <v>2024</v>
      </c>
      <c r="E122" s="13" t="str">
        <v>Jun</v>
      </c>
      <c r="F122" s="13">
        <v>7</v>
      </c>
      <c r="G122" s="10"/>
      <c r="H122" s="13">
        <f>NETWORKDAYS('RETAIL SALES DATA.'!K121,'RETAIL SALES DATA.'!L121)</f>
        <v>4</v>
      </c>
      <c r="I122" s="13">
        <v>3</v>
      </c>
      <c r="J122" s="10"/>
      <c r="K122" s="13">
        <v>12</v>
      </c>
      <c r="L122" s="13">
        <v>11</v>
      </c>
      <c r="M122" s="13">
        <v>10</v>
      </c>
      <c r="N122" s="13">
        <v>0</v>
      </c>
      <c r="O122" s="54">
        <f t="shared" si="2"/>
        <v>0.46527777777777779</v>
      </c>
      <c r="P122" s="55">
        <f t="shared" si="3"/>
        <v>0.50694444444444442</v>
      </c>
    </row>
    <row r="123" spans="1:16" x14ac:dyDescent="0.3">
      <c r="A123" s="25">
        <f>YEAR('RETAIL SALES DATA.'!K122)</f>
        <v>2025</v>
      </c>
      <c r="B123" s="13" t="str">
        <v>Jul</v>
      </c>
      <c r="C123" s="42">
        <f>DAY('RETAIL SALES DATA.'!K122)</f>
        <v>2</v>
      </c>
      <c r="D123" s="13">
        <v>2025</v>
      </c>
      <c r="E123" s="13" t="str">
        <v>Jul</v>
      </c>
      <c r="F123" s="13">
        <v>12</v>
      </c>
      <c r="G123" s="10"/>
      <c r="H123" s="13">
        <f>NETWORKDAYS('RETAIL SALES DATA.'!K122,'RETAIL SALES DATA.'!L122)</f>
        <v>8</v>
      </c>
      <c r="I123" s="13">
        <v>10</v>
      </c>
      <c r="J123" s="10"/>
      <c r="K123" s="13">
        <v>21</v>
      </c>
      <c r="L123" s="13">
        <v>11</v>
      </c>
      <c r="M123" s="13">
        <v>23</v>
      </c>
      <c r="N123" s="13">
        <v>0</v>
      </c>
      <c r="O123" s="54">
        <f t="shared" si="2"/>
        <v>0.47430555555555554</v>
      </c>
      <c r="P123" s="55">
        <f t="shared" si="3"/>
        <v>0.89097222222222228</v>
      </c>
    </row>
    <row r="124" spans="1:16" x14ac:dyDescent="0.3">
      <c r="A124" s="25">
        <f>YEAR('RETAIL SALES DATA.'!K123)</f>
        <v>2026</v>
      </c>
      <c r="B124" s="13" t="str">
        <v>Feb</v>
      </c>
      <c r="C124" s="42">
        <f>DAY('RETAIL SALES DATA.'!K123)</f>
        <v>6</v>
      </c>
      <c r="D124" s="13">
        <v>2026</v>
      </c>
      <c r="E124" s="13" t="str">
        <v>Feb</v>
      </c>
      <c r="F124" s="13">
        <v>14</v>
      </c>
      <c r="G124" s="10"/>
      <c r="H124" s="13">
        <f>NETWORKDAYS('RETAIL SALES DATA.'!K123,'RETAIL SALES DATA.'!L123)</f>
        <v>6</v>
      </c>
      <c r="I124" s="13">
        <v>8</v>
      </c>
      <c r="J124" s="10"/>
      <c r="K124" s="13">
        <v>9</v>
      </c>
      <c r="L124" s="13">
        <v>11</v>
      </c>
      <c r="M124" s="13">
        <v>53</v>
      </c>
      <c r="N124" s="13">
        <v>0</v>
      </c>
      <c r="O124" s="54">
        <f t="shared" si="2"/>
        <v>0.49513888888888891</v>
      </c>
      <c r="P124" s="55">
        <f t="shared" si="3"/>
        <v>0.41180555555555554</v>
      </c>
    </row>
    <row r="125" spans="1:16" x14ac:dyDescent="0.3">
      <c r="A125" s="25">
        <f>YEAR('RETAIL SALES DATA.'!K124)</f>
        <v>2025</v>
      </c>
      <c r="B125" s="13" t="str">
        <v>Dec</v>
      </c>
      <c r="C125" s="42">
        <f>DAY('RETAIL SALES DATA.'!K124)</f>
        <v>5</v>
      </c>
      <c r="D125" s="13">
        <v>2025</v>
      </c>
      <c r="E125" s="13" t="str">
        <v>Dec</v>
      </c>
      <c r="F125" s="13">
        <v>9</v>
      </c>
      <c r="G125" s="10"/>
      <c r="H125" s="13">
        <f>NETWORKDAYS('RETAIL SALES DATA.'!K124,'RETAIL SALES DATA.'!L124)</f>
        <v>3</v>
      </c>
      <c r="I125" s="13">
        <v>4</v>
      </c>
      <c r="J125" s="10"/>
      <c r="K125" s="13">
        <v>19</v>
      </c>
      <c r="L125" s="13">
        <v>10</v>
      </c>
      <c r="M125" s="13">
        <v>48</v>
      </c>
      <c r="N125" s="13">
        <v>0</v>
      </c>
      <c r="O125" s="54">
        <f t="shared" si="2"/>
        <v>0.45</v>
      </c>
      <c r="P125" s="55">
        <f t="shared" si="3"/>
        <v>0.82499999999999996</v>
      </c>
    </row>
    <row r="126" spans="1:16" x14ac:dyDescent="0.3">
      <c r="A126" s="25">
        <f>YEAR('RETAIL SALES DATA.'!K125)</f>
        <v>2024</v>
      </c>
      <c r="B126" s="13" t="str">
        <v>Sep</v>
      </c>
      <c r="C126" s="42">
        <f>DAY('RETAIL SALES DATA.'!K125)</f>
        <v>14</v>
      </c>
      <c r="D126" s="13">
        <v>2024</v>
      </c>
      <c r="E126" s="13" t="str">
        <v>Sep</v>
      </c>
      <c r="F126" s="13">
        <v>17</v>
      </c>
      <c r="G126" s="10"/>
      <c r="H126" s="13">
        <f>NETWORKDAYS('RETAIL SALES DATA.'!K125,'RETAIL SALES DATA.'!L125)</f>
        <v>2</v>
      </c>
      <c r="I126" s="13">
        <v>3</v>
      </c>
      <c r="J126" s="10"/>
      <c r="K126" s="13">
        <v>7</v>
      </c>
      <c r="L126" s="13">
        <v>10</v>
      </c>
      <c r="M126" s="13">
        <v>50</v>
      </c>
      <c r="N126" s="13">
        <v>0</v>
      </c>
      <c r="O126" s="54">
        <f t="shared" si="2"/>
        <v>0.4513888888888889</v>
      </c>
      <c r="P126" s="55">
        <f t="shared" si="3"/>
        <v>0.3263888888888889</v>
      </c>
    </row>
    <row r="127" spans="1:16" x14ac:dyDescent="0.3">
      <c r="A127" s="25">
        <f>YEAR('RETAIL SALES DATA.'!K126)</f>
        <v>2025</v>
      </c>
      <c r="B127" s="13" t="str">
        <v>Jun</v>
      </c>
      <c r="C127" s="42">
        <f>DAY('RETAIL SALES DATA.'!K126)</f>
        <v>29</v>
      </c>
      <c r="D127" s="13">
        <v>2025</v>
      </c>
      <c r="E127" s="13" t="str">
        <v>Jun</v>
      </c>
      <c r="F127" s="13">
        <v>30</v>
      </c>
      <c r="G127" s="10"/>
      <c r="H127" s="13">
        <f>NETWORKDAYS('RETAIL SALES DATA.'!K126,'RETAIL SALES DATA.'!L126)</f>
        <v>1</v>
      </c>
      <c r="I127" s="13">
        <v>1</v>
      </c>
      <c r="J127" s="10"/>
      <c r="K127" s="13">
        <v>12</v>
      </c>
      <c r="L127" s="13">
        <v>10</v>
      </c>
      <c r="M127" s="13">
        <v>25</v>
      </c>
      <c r="N127" s="13">
        <v>0</v>
      </c>
      <c r="O127" s="54">
        <f t="shared" si="2"/>
        <v>0.43402777777777779</v>
      </c>
      <c r="P127" s="55">
        <f t="shared" si="3"/>
        <v>0.51736111111111116</v>
      </c>
    </row>
    <row r="128" spans="1:16" x14ac:dyDescent="0.3">
      <c r="A128" s="25">
        <f>YEAR('RETAIL SALES DATA.'!K127)</f>
        <v>2025</v>
      </c>
      <c r="B128" s="13" t="str">
        <v>Nov</v>
      </c>
      <c r="C128" s="42">
        <f>DAY('RETAIL SALES DATA.'!K127)</f>
        <v>7</v>
      </c>
      <c r="D128" s="13">
        <v>2025</v>
      </c>
      <c r="E128" s="13" t="str">
        <v>Nov</v>
      </c>
      <c r="F128" s="13">
        <v>11</v>
      </c>
      <c r="G128" s="10"/>
      <c r="H128" s="13">
        <f>NETWORKDAYS('RETAIL SALES DATA.'!K127,'RETAIL SALES DATA.'!L127)</f>
        <v>3</v>
      </c>
      <c r="I128" s="13">
        <v>4</v>
      </c>
      <c r="J128" s="10"/>
      <c r="K128" s="13">
        <v>16</v>
      </c>
      <c r="L128" s="13">
        <v>11</v>
      </c>
      <c r="M128" s="13">
        <v>55</v>
      </c>
      <c r="N128" s="13">
        <v>0</v>
      </c>
      <c r="O128" s="54">
        <f t="shared" si="2"/>
        <v>0.49652777777777779</v>
      </c>
      <c r="P128" s="55">
        <f t="shared" si="3"/>
        <v>0.70486111111111116</v>
      </c>
    </row>
    <row r="129" spans="1:16" x14ac:dyDescent="0.3">
      <c r="A129" s="25">
        <f>YEAR('RETAIL SALES DATA.'!K128)</f>
        <v>2026</v>
      </c>
      <c r="B129" s="13" t="str">
        <v>Jan</v>
      </c>
      <c r="C129" s="42">
        <f>DAY('RETAIL SALES DATA.'!K128)</f>
        <v>30</v>
      </c>
      <c r="D129" s="13">
        <v>2026</v>
      </c>
      <c r="E129" s="13" t="str">
        <v>Feb</v>
      </c>
      <c r="F129" s="13">
        <v>4</v>
      </c>
      <c r="G129" s="10"/>
      <c r="H129" s="13">
        <f>NETWORKDAYS('RETAIL SALES DATA.'!K128,'RETAIL SALES DATA.'!L128)</f>
        <v>4</v>
      </c>
      <c r="I129" s="13">
        <v>5</v>
      </c>
      <c r="J129" s="10"/>
      <c r="K129" s="13">
        <v>4</v>
      </c>
      <c r="L129" s="13">
        <v>9</v>
      </c>
      <c r="M129" s="13">
        <v>17</v>
      </c>
      <c r="N129" s="13">
        <v>0</v>
      </c>
      <c r="O129" s="54">
        <f t="shared" si="2"/>
        <v>0.38680555555555557</v>
      </c>
      <c r="P129" s="55">
        <f t="shared" si="3"/>
        <v>0.17847222222222223</v>
      </c>
    </row>
    <row r="130" spans="1:16" x14ac:dyDescent="0.3">
      <c r="A130" s="25">
        <f>YEAR('RETAIL SALES DATA.'!K129)</f>
        <v>2025</v>
      </c>
      <c r="B130" s="13" t="str">
        <v>Dec</v>
      </c>
      <c r="C130" s="42">
        <f>DAY('RETAIL SALES DATA.'!K129)</f>
        <v>2</v>
      </c>
      <c r="D130" s="13">
        <v>2025</v>
      </c>
      <c r="E130" s="13" t="str">
        <v>Dec</v>
      </c>
      <c r="F130" s="13">
        <v>12</v>
      </c>
      <c r="G130" s="10"/>
      <c r="H130" s="13">
        <f>NETWORKDAYS('RETAIL SALES DATA.'!K129,'RETAIL SALES DATA.'!L129)</f>
        <v>9</v>
      </c>
      <c r="I130" s="13">
        <v>10</v>
      </c>
      <c r="J130" s="10"/>
      <c r="K130" s="13">
        <v>14</v>
      </c>
      <c r="L130" s="13">
        <v>11</v>
      </c>
      <c r="M130" s="13">
        <v>34</v>
      </c>
      <c r="N130" s="13">
        <v>0</v>
      </c>
      <c r="O130" s="54">
        <f t="shared" si="2"/>
        <v>0.48194444444444445</v>
      </c>
      <c r="P130" s="55">
        <f t="shared" si="3"/>
        <v>0.6069444444444444</v>
      </c>
    </row>
    <row r="131" spans="1:16" x14ac:dyDescent="0.3">
      <c r="A131" s="25">
        <f>YEAR('RETAIL SALES DATA.'!K130)</f>
        <v>2025</v>
      </c>
      <c r="B131" s="13" t="str">
        <v>Dec</v>
      </c>
      <c r="C131" s="42">
        <f>DAY('RETAIL SALES DATA.'!K130)</f>
        <v>10</v>
      </c>
      <c r="D131" s="13">
        <v>2025</v>
      </c>
      <c r="E131" s="13" t="str">
        <v>Dec</v>
      </c>
      <c r="F131" s="13">
        <v>13</v>
      </c>
      <c r="G131" s="10"/>
      <c r="H131" s="13">
        <f>NETWORKDAYS('RETAIL SALES DATA.'!K130,'RETAIL SALES DATA.'!L130)</f>
        <v>3</v>
      </c>
      <c r="I131" s="13">
        <v>3</v>
      </c>
      <c r="J131" s="10"/>
      <c r="K131" s="13">
        <v>0</v>
      </c>
      <c r="L131" s="13">
        <v>9</v>
      </c>
      <c r="M131" s="13">
        <v>26</v>
      </c>
      <c r="N131" s="13">
        <v>0</v>
      </c>
      <c r="O131" s="54">
        <f t="shared" si="2"/>
        <v>0.39305555555555555</v>
      </c>
      <c r="P131" s="55">
        <f t="shared" si="3"/>
        <v>1.8055555555555554E-2</v>
      </c>
    </row>
    <row r="132" spans="1:16" x14ac:dyDescent="0.3">
      <c r="A132" s="25">
        <f>YEAR('RETAIL SALES DATA.'!K131)</f>
        <v>2025</v>
      </c>
      <c r="B132" s="13" t="str">
        <v>Apr</v>
      </c>
      <c r="C132" s="42">
        <f>DAY('RETAIL SALES DATA.'!K131)</f>
        <v>21</v>
      </c>
      <c r="D132" s="13">
        <v>2025</v>
      </c>
      <c r="E132" s="13" t="str">
        <v>Apr</v>
      </c>
      <c r="F132" s="13">
        <v>22</v>
      </c>
      <c r="G132" s="10"/>
      <c r="H132" s="13">
        <f>NETWORKDAYS('RETAIL SALES DATA.'!K131,'RETAIL SALES DATA.'!L131)</f>
        <v>2</v>
      </c>
      <c r="I132" s="13">
        <v>1</v>
      </c>
      <c r="J132" s="10"/>
      <c r="K132" s="13">
        <v>16</v>
      </c>
      <c r="L132" s="13">
        <v>10</v>
      </c>
      <c r="M132" s="13">
        <v>28</v>
      </c>
      <c r="N132" s="13">
        <v>0</v>
      </c>
      <c r="O132" s="54">
        <f t="shared" ref="O132:O195" si="4">TIME(L132,M132,N132)</f>
        <v>0.43611111111111112</v>
      </c>
      <c r="P132" s="55">
        <f t="shared" ref="P132:P195" si="5">TIME(K132,M132,N132)</f>
        <v>0.68611111111111112</v>
      </c>
    </row>
    <row r="133" spans="1:16" x14ac:dyDescent="0.3">
      <c r="A133" s="25">
        <f>YEAR('RETAIL SALES DATA.'!K132)</f>
        <v>2025</v>
      </c>
      <c r="B133" s="13" t="str">
        <v>Sep</v>
      </c>
      <c r="C133" s="42">
        <f>DAY('RETAIL SALES DATA.'!K132)</f>
        <v>20</v>
      </c>
      <c r="D133" s="13">
        <v>2025</v>
      </c>
      <c r="E133" s="13" t="str">
        <v>Sep</v>
      </c>
      <c r="F133" s="13">
        <v>25</v>
      </c>
      <c r="G133" s="10"/>
      <c r="H133" s="13">
        <f>NETWORKDAYS('RETAIL SALES DATA.'!K132,'RETAIL SALES DATA.'!L132)</f>
        <v>4</v>
      </c>
      <c r="I133" s="13">
        <v>5</v>
      </c>
      <c r="J133" s="10"/>
      <c r="K133" s="13">
        <v>19</v>
      </c>
      <c r="L133" s="13">
        <v>8</v>
      </c>
      <c r="M133" s="13">
        <v>51</v>
      </c>
      <c r="N133" s="13">
        <v>0</v>
      </c>
      <c r="O133" s="54">
        <f t="shared" si="4"/>
        <v>0.36875000000000002</v>
      </c>
      <c r="P133" s="55">
        <f t="shared" si="5"/>
        <v>0.82708333333333328</v>
      </c>
    </row>
    <row r="134" spans="1:16" x14ac:dyDescent="0.3">
      <c r="A134" s="25">
        <f>YEAR('RETAIL SALES DATA.'!K133)</f>
        <v>2025</v>
      </c>
      <c r="B134" s="13" t="str">
        <v>Sep</v>
      </c>
      <c r="C134" s="42">
        <f>DAY('RETAIL SALES DATA.'!K133)</f>
        <v>1</v>
      </c>
      <c r="D134" s="13">
        <v>2025</v>
      </c>
      <c r="E134" s="13" t="str">
        <v>Sep</v>
      </c>
      <c r="F134" s="13">
        <v>4</v>
      </c>
      <c r="G134" s="10"/>
      <c r="H134" s="13">
        <f>NETWORKDAYS('RETAIL SALES DATA.'!K133,'RETAIL SALES DATA.'!L133)</f>
        <v>4</v>
      </c>
      <c r="I134" s="13">
        <v>3</v>
      </c>
      <c r="J134" s="10"/>
      <c r="K134" s="13">
        <v>12</v>
      </c>
      <c r="L134" s="13">
        <v>8</v>
      </c>
      <c r="M134" s="13">
        <v>54</v>
      </c>
      <c r="N134" s="13">
        <v>0</v>
      </c>
      <c r="O134" s="54">
        <f t="shared" si="4"/>
        <v>0.37083333333333335</v>
      </c>
      <c r="P134" s="55">
        <f t="shared" si="5"/>
        <v>0.53749999999999998</v>
      </c>
    </row>
    <row r="135" spans="1:16" x14ac:dyDescent="0.3">
      <c r="A135" s="25">
        <f>YEAR('RETAIL SALES DATA.'!K134)</f>
        <v>2024</v>
      </c>
      <c r="B135" s="13" t="str">
        <v>Jul</v>
      </c>
      <c r="C135" s="42">
        <f>DAY('RETAIL SALES DATA.'!K134)</f>
        <v>26</v>
      </c>
      <c r="D135" s="13">
        <v>2024</v>
      </c>
      <c r="E135" s="13" t="str">
        <v>Aug</v>
      </c>
      <c r="F135" s="13">
        <v>4</v>
      </c>
      <c r="G135" s="10"/>
      <c r="H135" s="13">
        <f>NETWORKDAYS('RETAIL SALES DATA.'!K134,'RETAIL SALES DATA.'!L134)</f>
        <v>6</v>
      </c>
      <c r="I135" s="13">
        <v>9</v>
      </c>
      <c r="J135" s="10"/>
      <c r="K135" s="13">
        <v>0</v>
      </c>
      <c r="L135" s="13">
        <v>9</v>
      </c>
      <c r="M135" s="13">
        <v>29</v>
      </c>
      <c r="N135" s="13">
        <v>0</v>
      </c>
      <c r="O135" s="54">
        <f t="shared" si="4"/>
        <v>0.39513888888888887</v>
      </c>
      <c r="P135" s="55">
        <f t="shared" si="5"/>
        <v>2.013888888888889E-2</v>
      </c>
    </row>
    <row r="136" spans="1:16" x14ac:dyDescent="0.3">
      <c r="A136" s="25">
        <f>YEAR('RETAIL SALES DATA.'!K135)</f>
        <v>2025</v>
      </c>
      <c r="B136" s="13" t="str">
        <v>Feb</v>
      </c>
      <c r="C136" s="42">
        <f>DAY('RETAIL SALES DATA.'!K135)</f>
        <v>9</v>
      </c>
      <c r="D136" s="13">
        <v>2025</v>
      </c>
      <c r="E136" s="13" t="str">
        <v>Feb</v>
      </c>
      <c r="F136" s="13">
        <v>12</v>
      </c>
      <c r="G136" s="10"/>
      <c r="H136" s="13">
        <f>NETWORKDAYS('RETAIL SALES DATA.'!K135,'RETAIL SALES DATA.'!L135)</f>
        <v>3</v>
      </c>
      <c r="I136" s="13">
        <v>3</v>
      </c>
      <c r="J136" s="10"/>
      <c r="K136" s="13">
        <v>19</v>
      </c>
      <c r="L136" s="13">
        <v>9</v>
      </c>
      <c r="M136" s="13">
        <v>16</v>
      </c>
      <c r="N136" s="13">
        <v>0</v>
      </c>
      <c r="O136" s="54">
        <f t="shared" si="4"/>
        <v>0.38611111111111113</v>
      </c>
      <c r="P136" s="55">
        <f t="shared" si="5"/>
        <v>0.80277777777777781</v>
      </c>
    </row>
    <row r="137" spans="1:16" x14ac:dyDescent="0.3">
      <c r="A137" s="25">
        <f>YEAR('RETAIL SALES DATA.'!K136)</f>
        <v>2025</v>
      </c>
      <c r="B137" s="13" t="str">
        <v>Aug</v>
      </c>
      <c r="C137" s="42">
        <f>DAY('RETAIL SALES DATA.'!K136)</f>
        <v>21</v>
      </c>
      <c r="D137" s="13">
        <v>2025</v>
      </c>
      <c r="E137" s="13" t="str">
        <v>Aug</v>
      </c>
      <c r="F137" s="13">
        <v>30</v>
      </c>
      <c r="G137" s="10"/>
      <c r="H137" s="13">
        <f>NETWORKDAYS('RETAIL SALES DATA.'!K136,'RETAIL SALES DATA.'!L136)</f>
        <v>7</v>
      </c>
      <c r="I137" s="13">
        <v>9</v>
      </c>
      <c r="J137" s="10"/>
      <c r="K137" s="13">
        <v>0</v>
      </c>
      <c r="L137" s="13">
        <v>8</v>
      </c>
      <c r="M137" s="13">
        <v>48</v>
      </c>
      <c r="N137" s="13">
        <v>0</v>
      </c>
      <c r="O137" s="54">
        <f t="shared" si="4"/>
        <v>0.36666666666666664</v>
      </c>
      <c r="P137" s="55">
        <f t="shared" si="5"/>
        <v>3.3333333333333333E-2</v>
      </c>
    </row>
    <row r="138" spans="1:16" x14ac:dyDescent="0.3">
      <c r="A138" s="25">
        <f>YEAR('RETAIL SALES DATA.'!K137)</f>
        <v>2024</v>
      </c>
      <c r="B138" s="13" t="str">
        <v>Aug</v>
      </c>
      <c r="C138" s="42">
        <f>DAY('RETAIL SALES DATA.'!K137)</f>
        <v>27</v>
      </c>
      <c r="D138" s="13">
        <v>2024</v>
      </c>
      <c r="E138" s="13" t="str">
        <v>Aug</v>
      </c>
      <c r="F138" s="13">
        <v>29</v>
      </c>
      <c r="G138" s="10"/>
      <c r="H138" s="13">
        <f>NETWORKDAYS('RETAIL SALES DATA.'!K137,'RETAIL SALES DATA.'!L137)</f>
        <v>3</v>
      </c>
      <c r="I138" s="13">
        <v>2</v>
      </c>
      <c r="J138" s="10"/>
      <c r="K138" s="13">
        <v>7</v>
      </c>
      <c r="L138" s="13">
        <v>8</v>
      </c>
      <c r="M138" s="13">
        <v>11</v>
      </c>
      <c r="N138" s="13">
        <v>0</v>
      </c>
      <c r="O138" s="54">
        <f t="shared" si="4"/>
        <v>0.34097222222222223</v>
      </c>
      <c r="P138" s="55">
        <f t="shared" si="5"/>
        <v>0.29930555555555555</v>
      </c>
    </row>
    <row r="139" spans="1:16" x14ac:dyDescent="0.3">
      <c r="A139" s="25">
        <f>YEAR('RETAIL SALES DATA.'!K138)</f>
        <v>2025</v>
      </c>
      <c r="B139" s="13" t="str">
        <v>Apr</v>
      </c>
      <c r="C139" s="42">
        <f>DAY('RETAIL SALES DATA.'!K138)</f>
        <v>28</v>
      </c>
      <c r="D139" s="13">
        <v>2025</v>
      </c>
      <c r="E139" s="13" t="str">
        <v>May</v>
      </c>
      <c r="F139" s="13">
        <v>3</v>
      </c>
      <c r="G139" s="10"/>
      <c r="H139" s="13">
        <f>NETWORKDAYS('RETAIL SALES DATA.'!K138,'RETAIL SALES DATA.'!L138)</f>
        <v>5</v>
      </c>
      <c r="I139" s="13">
        <v>5</v>
      </c>
      <c r="J139" s="10"/>
      <c r="K139" s="13">
        <v>19</v>
      </c>
      <c r="L139" s="13">
        <v>10</v>
      </c>
      <c r="M139" s="13">
        <v>33</v>
      </c>
      <c r="N139" s="13">
        <v>0</v>
      </c>
      <c r="O139" s="54">
        <f t="shared" si="4"/>
        <v>0.43958333333333333</v>
      </c>
      <c r="P139" s="55">
        <f t="shared" si="5"/>
        <v>0.81458333333333333</v>
      </c>
    </row>
    <row r="140" spans="1:16" x14ac:dyDescent="0.3">
      <c r="A140" s="25">
        <f>YEAR('RETAIL SALES DATA.'!K139)</f>
        <v>2025</v>
      </c>
      <c r="B140" s="13" t="str">
        <v>Feb</v>
      </c>
      <c r="C140" s="42">
        <f>DAY('RETAIL SALES DATA.'!K139)</f>
        <v>15</v>
      </c>
      <c r="D140" s="13">
        <v>2025</v>
      </c>
      <c r="E140" s="13" t="str">
        <v>Feb</v>
      </c>
      <c r="F140" s="13">
        <v>24</v>
      </c>
      <c r="G140" s="10"/>
      <c r="H140" s="13">
        <f>NETWORKDAYS('RETAIL SALES DATA.'!K139,'RETAIL SALES DATA.'!L139)</f>
        <v>6</v>
      </c>
      <c r="I140" s="13">
        <v>9</v>
      </c>
      <c r="J140" s="10"/>
      <c r="K140" s="13">
        <v>12</v>
      </c>
      <c r="L140" s="13">
        <v>10</v>
      </c>
      <c r="M140" s="13">
        <v>14</v>
      </c>
      <c r="N140" s="13">
        <v>0</v>
      </c>
      <c r="O140" s="54">
        <f t="shared" si="4"/>
        <v>0.42638888888888887</v>
      </c>
      <c r="P140" s="55">
        <f t="shared" si="5"/>
        <v>0.50972222222222219</v>
      </c>
    </row>
    <row r="141" spans="1:16" x14ac:dyDescent="0.3">
      <c r="A141" s="25">
        <f>YEAR('RETAIL SALES DATA.'!K140)</f>
        <v>2026</v>
      </c>
      <c r="B141" s="13" t="str">
        <v>Feb</v>
      </c>
      <c r="C141" s="42">
        <f>DAY('RETAIL SALES DATA.'!K140)</f>
        <v>19</v>
      </c>
      <c r="D141" s="13">
        <v>2026</v>
      </c>
      <c r="E141" s="13" t="str">
        <v>Feb</v>
      </c>
      <c r="F141" s="13">
        <v>26</v>
      </c>
      <c r="G141" s="10"/>
      <c r="H141" s="13">
        <f>NETWORKDAYS('RETAIL SALES DATA.'!K140,'RETAIL SALES DATA.'!L140)</f>
        <v>6</v>
      </c>
      <c r="I141" s="13">
        <v>7</v>
      </c>
      <c r="J141" s="10"/>
      <c r="K141" s="13">
        <v>14</v>
      </c>
      <c r="L141" s="13">
        <v>9</v>
      </c>
      <c r="M141" s="13">
        <v>48</v>
      </c>
      <c r="N141" s="13">
        <v>0</v>
      </c>
      <c r="O141" s="54">
        <f t="shared" si="4"/>
        <v>0.40833333333333333</v>
      </c>
      <c r="P141" s="55">
        <f t="shared" si="5"/>
        <v>0.6166666666666667</v>
      </c>
    </row>
    <row r="142" spans="1:16" x14ac:dyDescent="0.3">
      <c r="A142" s="25">
        <f>YEAR('RETAIL SALES DATA.'!K141)</f>
        <v>2025</v>
      </c>
      <c r="B142" s="13" t="str">
        <v>Aug</v>
      </c>
      <c r="C142" s="42">
        <f>DAY('RETAIL SALES DATA.'!K141)</f>
        <v>12</v>
      </c>
      <c r="D142" s="13">
        <v>2025</v>
      </c>
      <c r="E142" s="13" t="str">
        <v>Aug</v>
      </c>
      <c r="F142" s="13">
        <v>15</v>
      </c>
      <c r="G142" s="10"/>
      <c r="H142" s="13">
        <f>NETWORKDAYS('RETAIL SALES DATA.'!K141,'RETAIL SALES DATA.'!L141)</f>
        <v>4</v>
      </c>
      <c r="I142" s="13">
        <v>3</v>
      </c>
      <c r="J142" s="10"/>
      <c r="K142" s="13">
        <v>16</v>
      </c>
      <c r="L142" s="13">
        <v>9</v>
      </c>
      <c r="M142" s="13">
        <v>33</v>
      </c>
      <c r="N142" s="13">
        <v>0</v>
      </c>
      <c r="O142" s="54">
        <f t="shared" si="4"/>
        <v>0.39791666666666664</v>
      </c>
      <c r="P142" s="55">
        <f t="shared" si="5"/>
        <v>0.68958333333333333</v>
      </c>
    </row>
    <row r="143" spans="1:16" x14ac:dyDescent="0.3">
      <c r="A143" s="25">
        <f>YEAR('RETAIL SALES DATA.'!K142)</f>
        <v>2025</v>
      </c>
      <c r="B143" s="13" t="str">
        <v>Jun</v>
      </c>
      <c r="C143" s="42">
        <f>DAY('RETAIL SALES DATA.'!K142)</f>
        <v>18</v>
      </c>
      <c r="D143" s="13">
        <v>2025</v>
      </c>
      <c r="E143" s="13" t="str">
        <v>Jun</v>
      </c>
      <c r="F143" s="13">
        <v>22</v>
      </c>
      <c r="G143" s="10"/>
      <c r="H143" s="13">
        <f>NETWORKDAYS('RETAIL SALES DATA.'!K142,'RETAIL SALES DATA.'!L142)</f>
        <v>3</v>
      </c>
      <c r="I143" s="13">
        <v>4</v>
      </c>
      <c r="J143" s="10"/>
      <c r="K143" s="13">
        <v>12</v>
      </c>
      <c r="L143" s="13">
        <v>8</v>
      </c>
      <c r="M143" s="13">
        <v>44</v>
      </c>
      <c r="N143" s="13">
        <v>0</v>
      </c>
      <c r="O143" s="54">
        <f t="shared" si="4"/>
        <v>0.36388888888888887</v>
      </c>
      <c r="P143" s="55">
        <f t="shared" si="5"/>
        <v>0.53055555555555556</v>
      </c>
    </row>
    <row r="144" spans="1:16" x14ac:dyDescent="0.3">
      <c r="A144" s="25">
        <f>YEAR('RETAIL SALES DATA.'!K143)</f>
        <v>2025</v>
      </c>
      <c r="B144" s="13" t="str">
        <v>May</v>
      </c>
      <c r="C144" s="42">
        <f>DAY('RETAIL SALES DATA.'!K143)</f>
        <v>29</v>
      </c>
      <c r="D144" s="13">
        <v>2025</v>
      </c>
      <c r="E144" s="13" t="str">
        <v>Jun</v>
      </c>
      <c r="F144" s="13">
        <v>4</v>
      </c>
      <c r="G144" s="10"/>
      <c r="H144" s="13">
        <f>NETWORKDAYS('RETAIL SALES DATA.'!K143,'RETAIL SALES DATA.'!L143)</f>
        <v>5</v>
      </c>
      <c r="I144" s="13">
        <v>6</v>
      </c>
      <c r="J144" s="10"/>
      <c r="K144" s="13">
        <v>14</v>
      </c>
      <c r="L144" s="13">
        <v>11</v>
      </c>
      <c r="M144" s="13">
        <v>48</v>
      </c>
      <c r="N144" s="13">
        <v>0</v>
      </c>
      <c r="O144" s="54">
        <f t="shared" si="4"/>
        <v>0.49166666666666664</v>
      </c>
      <c r="P144" s="55">
        <f t="shared" si="5"/>
        <v>0.6166666666666667</v>
      </c>
    </row>
    <row r="145" spans="1:16" x14ac:dyDescent="0.3">
      <c r="A145" s="25">
        <f>YEAR('RETAIL SALES DATA.'!K144)</f>
        <v>2026</v>
      </c>
      <c r="B145" s="13" t="str">
        <v>Mar</v>
      </c>
      <c r="C145" s="42">
        <f>DAY('RETAIL SALES DATA.'!K144)</f>
        <v>22</v>
      </c>
      <c r="D145" s="13">
        <v>2026</v>
      </c>
      <c r="E145" s="13" t="str">
        <v>Apr</v>
      </c>
      <c r="F145" s="13">
        <v>1</v>
      </c>
      <c r="G145" s="10"/>
      <c r="H145" s="13">
        <f>NETWORKDAYS('RETAIL SALES DATA.'!K144,'RETAIL SALES DATA.'!L144)</f>
        <v>8</v>
      </c>
      <c r="I145" s="13">
        <v>10</v>
      </c>
      <c r="J145" s="10"/>
      <c r="K145" s="13">
        <v>9</v>
      </c>
      <c r="L145" s="13">
        <v>11</v>
      </c>
      <c r="M145" s="13">
        <v>7</v>
      </c>
      <c r="N145" s="13">
        <v>0</v>
      </c>
      <c r="O145" s="54">
        <f t="shared" si="4"/>
        <v>0.46319444444444446</v>
      </c>
      <c r="P145" s="55">
        <f t="shared" si="5"/>
        <v>0.37986111111111109</v>
      </c>
    </row>
    <row r="146" spans="1:16" x14ac:dyDescent="0.3">
      <c r="A146" s="25">
        <f>YEAR('RETAIL SALES DATA.'!K145)</f>
        <v>2025</v>
      </c>
      <c r="B146" s="13" t="str">
        <v>Sep</v>
      </c>
      <c r="C146" s="42">
        <f>DAY('RETAIL SALES DATA.'!K145)</f>
        <v>25</v>
      </c>
      <c r="D146" s="13">
        <v>2025</v>
      </c>
      <c r="E146" s="13" t="str">
        <v>Sep</v>
      </c>
      <c r="F146" s="13">
        <v>27</v>
      </c>
      <c r="G146" s="10"/>
      <c r="H146" s="13">
        <f>NETWORKDAYS('RETAIL SALES DATA.'!K145,'RETAIL SALES DATA.'!L145)</f>
        <v>2</v>
      </c>
      <c r="I146" s="13">
        <v>2</v>
      </c>
      <c r="J146" s="10"/>
      <c r="K146" s="13">
        <v>4</v>
      </c>
      <c r="L146" s="13">
        <v>9</v>
      </c>
      <c r="M146" s="13">
        <v>4</v>
      </c>
      <c r="N146" s="13">
        <v>0</v>
      </c>
      <c r="O146" s="54">
        <f t="shared" si="4"/>
        <v>0.37777777777777777</v>
      </c>
      <c r="P146" s="55">
        <f t="shared" si="5"/>
        <v>0.16944444444444445</v>
      </c>
    </row>
    <row r="147" spans="1:16" x14ac:dyDescent="0.3">
      <c r="A147" s="25">
        <f>YEAR('RETAIL SALES DATA.'!K146)</f>
        <v>2026</v>
      </c>
      <c r="B147" s="13" t="str">
        <v>Mar</v>
      </c>
      <c r="C147" s="42">
        <f>DAY('RETAIL SALES DATA.'!K146)</f>
        <v>13</v>
      </c>
      <c r="D147" s="13">
        <v>2026</v>
      </c>
      <c r="E147" s="13" t="str">
        <v>Mar</v>
      </c>
      <c r="F147" s="13">
        <v>16</v>
      </c>
      <c r="G147" s="10"/>
      <c r="H147" s="13">
        <f>NETWORKDAYS('RETAIL SALES DATA.'!K146,'RETAIL SALES DATA.'!L146)</f>
        <v>2</v>
      </c>
      <c r="I147" s="13">
        <v>3</v>
      </c>
      <c r="J147" s="10"/>
      <c r="K147" s="13">
        <v>4</v>
      </c>
      <c r="L147" s="13">
        <v>10</v>
      </c>
      <c r="M147" s="13">
        <v>9</v>
      </c>
      <c r="N147" s="13">
        <v>0</v>
      </c>
      <c r="O147" s="54">
        <f t="shared" si="4"/>
        <v>0.42291666666666666</v>
      </c>
      <c r="P147" s="55">
        <f t="shared" si="5"/>
        <v>0.17291666666666666</v>
      </c>
    </row>
    <row r="148" spans="1:16" x14ac:dyDescent="0.3">
      <c r="A148" s="25">
        <f>YEAR('RETAIL SALES DATA.'!K147)</f>
        <v>2026</v>
      </c>
      <c r="B148" s="13" t="str">
        <v>Mar</v>
      </c>
      <c r="C148" s="42">
        <f>DAY('RETAIL SALES DATA.'!K147)</f>
        <v>9</v>
      </c>
      <c r="D148" s="13">
        <v>2026</v>
      </c>
      <c r="E148" s="13" t="str">
        <v>Mar</v>
      </c>
      <c r="F148" s="13">
        <v>19</v>
      </c>
      <c r="G148" s="10"/>
      <c r="H148" s="13">
        <f>NETWORKDAYS('RETAIL SALES DATA.'!K147,'RETAIL SALES DATA.'!L147)</f>
        <v>9</v>
      </c>
      <c r="I148" s="13">
        <v>10</v>
      </c>
      <c r="J148" s="10"/>
      <c r="K148" s="13">
        <v>0</v>
      </c>
      <c r="L148" s="13">
        <v>10</v>
      </c>
      <c r="M148" s="13">
        <v>10</v>
      </c>
      <c r="N148" s="13">
        <v>0</v>
      </c>
      <c r="O148" s="54">
        <f t="shared" si="4"/>
        <v>0.4236111111111111</v>
      </c>
      <c r="P148" s="55">
        <f t="shared" si="5"/>
        <v>6.9444444444444441E-3</v>
      </c>
    </row>
    <row r="149" spans="1:16" x14ac:dyDescent="0.3">
      <c r="A149" s="25">
        <f>YEAR('RETAIL SALES DATA.'!K148)</f>
        <v>2025</v>
      </c>
      <c r="B149" s="13" t="str">
        <v>Feb</v>
      </c>
      <c r="C149" s="42">
        <f>DAY('RETAIL SALES DATA.'!K148)</f>
        <v>23</v>
      </c>
      <c r="D149" s="13">
        <v>2025</v>
      </c>
      <c r="E149" s="13" t="str">
        <v>Mar</v>
      </c>
      <c r="F149" s="13">
        <v>4</v>
      </c>
      <c r="G149" s="10"/>
      <c r="H149" s="13">
        <f>NETWORKDAYS('RETAIL SALES DATA.'!K148,'RETAIL SALES DATA.'!L148)</f>
        <v>7</v>
      </c>
      <c r="I149" s="13">
        <v>9</v>
      </c>
      <c r="J149" s="10"/>
      <c r="K149" s="13">
        <v>4</v>
      </c>
      <c r="L149" s="13">
        <v>9</v>
      </c>
      <c r="M149" s="13">
        <v>40</v>
      </c>
      <c r="N149" s="13">
        <v>0</v>
      </c>
      <c r="O149" s="54">
        <f t="shared" si="4"/>
        <v>0.40277777777777779</v>
      </c>
      <c r="P149" s="55">
        <f t="shared" si="5"/>
        <v>0.19444444444444445</v>
      </c>
    </row>
    <row r="150" spans="1:16" x14ac:dyDescent="0.3">
      <c r="A150" s="25">
        <f>YEAR('RETAIL SALES DATA.'!K149)</f>
        <v>2024</v>
      </c>
      <c r="B150" s="13" t="str">
        <v>Jul</v>
      </c>
      <c r="C150" s="42">
        <f>DAY('RETAIL SALES DATA.'!K149)</f>
        <v>13</v>
      </c>
      <c r="D150" s="13">
        <v>2024</v>
      </c>
      <c r="E150" s="13" t="str">
        <v>Jul</v>
      </c>
      <c r="F150" s="13">
        <v>14</v>
      </c>
      <c r="G150" s="10"/>
      <c r="H150" s="13">
        <f>NETWORKDAYS('RETAIL SALES DATA.'!K149,'RETAIL SALES DATA.'!L149)</f>
        <v>0</v>
      </c>
      <c r="I150" s="13">
        <v>1</v>
      </c>
      <c r="J150" s="10"/>
      <c r="K150" s="13">
        <v>9</v>
      </c>
      <c r="L150" s="13">
        <v>11</v>
      </c>
      <c r="M150" s="13">
        <v>54</v>
      </c>
      <c r="N150" s="13">
        <v>0</v>
      </c>
      <c r="O150" s="54">
        <f t="shared" si="4"/>
        <v>0.49583333333333335</v>
      </c>
      <c r="P150" s="55">
        <f t="shared" si="5"/>
        <v>0.41249999999999998</v>
      </c>
    </row>
    <row r="151" spans="1:16" x14ac:dyDescent="0.3">
      <c r="A151" s="25">
        <f>YEAR('RETAIL SALES DATA.'!K150)</f>
        <v>2025</v>
      </c>
      <c r="B151" s="13" t="str">
        <v>Jul</v>
      </c>
      <c r="C151" s="42">
        <f>DAY('RETAIL SALES DATA.'!K150)</f>
        <v>2</v>
      </c>
      <c r="D151" s="13">
        <v>2025</v>
      </c>
      <c r="E151" s="13" t="str">
        <v>Jul</v>
      </c>
      <c r="F151" s="13">
        <v>7</v>
      </c>
      <c r="G151" s="10"/>
      <c r="H151" s="13">
        <f>NETWORKDAYS('RETAIL SALES DATA.'!K150,'RETAIL SALES DATA.'!L150)</f>
        <v>4</v>
      </c>
      <c r="I151" s="13">
        <v>5</v>
      </c>
      <c r="J151" s="10"/>
      <c r="K151" s="13">
        <v>14</v>
      </c>
      <c r="L151" s="13">
        <v>11</v>
      </c>
      <c r="M151" s="13">
        <v>37</v>
      </c>
      <c r="N151" s="13">
        <v>0</v>
      </c>
      <c r="O151" s="54">
        <f t="shared" si="4"/>
        <v>0.48402777777777778</v>
      </c>
      <c r="P151" s="55">
        <f t="shared" si="5"/>
        <v>0.60902777777777772</v>
      </c>
    </row>
    <row r="152" spans="1:16" x14ac:dyDescent="0.3">
      <c r="A152" s="25">
        <f>YEAR('RETAIL SALES DATA.'!K151)</f>
        <v>2025</v>
      </c>
      <c r="B152" s="13" t="str">
        <v>Dec</v>
      </c>
      <c r="C152" s="42">
        <f>DAY('RETAIL SALES DATA.'!K151)</f>
        <v>1</v>
      </c>
      <c r="D152" s="13">
        <v>2025</v>
      </c>
      <c r="E152" s="13" t="str">
        <v>Dec</v>
      </c>
      <c r="F152" s="13">
        <v>5</v>
      </c>
      <c r="G152" s="10"/>
      <c r="H152" s="13">
        <f>NETWORKDAYS('RETAIL SALES DATA.'!K151,'RETAIL SALES DATA.'!L151)</f>
        <v>5</v>
      </c>
      <c r="I152" s="13">
        <v>4</v>
      </c>
      <c r="J152" s="10"/>
      <c r="K152" s="13">
        <v>7</v>
      </c>
      <c r="L152" s="13">
        <v>9</v>
      </c>
      <c r="M152" s="13">
        <v>18</v>
      </c>
      <c r="N152" s="13">
        <v>0</v>
      </c>
      <c r="O152" s="54">
        <f t="shared" si="4"/>
        <v>0.38750000000000001</v>
      </c>
      <c r="P152" s="55">
        <f t="shared" si="5"/>
        <v>0.30416666666666664</v>
      </c>
    </row>
    <row r="153" spans="1:16" x14ac:dyDescent="0.3">
      <c r="A153" s="25">
        <f>YEAR('RETAIL SALES DATA.'!K152)</f>
        <v>2024</v>
      </c>
      <c r="B153" s="13" t="str">
        <v>Jun</v>
      </c>
      <c r="C153" s="42">
        <f>DAY('RETAIL SALES DATA.'!K152)</f>
        <v>18</v>
      </c>
      <c r="D153" s="13">
        <v>2024</v>
      </c>
      <c r="E153" s="13" t="str">
        <v>Jun</v>
      </c>
      <c r="F153" s="13">
        <v>19</v>
      </c>
      <c r="G153" s="10"/>
      <c r="H153" s="13">
        <f>NETWORKDAYS('RETAIL SALES DATA.'!K152,'RETAIL SALES DATA.'!L152)</f>
        <v>2</v>
      </c>
      <c r="I153" s="13">
        <v>1</v>
      </c>
      <c r="J153" s="10"/>
      <c r="K153" s="13">
        <v>12</v>
      </c>
      <c r="L153" s="13">
        <v>8</v>
      </c>
      <c r="M153" s="13">
        <v>21</v>
      </c>
      <c r="N153" s="13">
        <v>0</v>
      </c>
      <c r="O153" s="54">
        <f t="shared" si="4"/>
        <v>0.34791666666666665</v>
      </c>
      <c r="P153" s="55">
        <f t="shared" si="5"/>
        <v>0.51458333333333328</v>
      </c>
    </row>
    <row r="154" spans="1:16" x14ac:dyDescent="0.3">
      <c r="A154" s="25">
        <f>YEAR('RETAIL SALES DATA.'!K153)</f>
        <v>2025</v>
      </c>
      <c r="B154" s="13" t="str">
        <v>Sep</v>
      </c>
      <c r="C154" s="42">
        <f>DAY('RETAIL SALES DATA.'!K153)</f>
        <v>14</v>
      </c>
      <c r="D154" s="13">
        <v>2025</v>
      </c>
      <c r="E154" s="13" t="str">
        <v>Sep</v>
      </c>
      <c r="F154" s="13">
        <v>21</v>
      </c>
      <c r="G154" s="10"/>
      <c r="H154" s="13">
        <f>NETWORKDAYS('RETAIL SALES DATA.'!K153,'RETAIL SALES DATA.'!L153)</f>
        <v>5</v>
      </c>
      <c r="I154" s="13">
        <v>7</v>
      </c>
      <c r="J154" s="10"/>
      <c r="K154" s="13">
        <v>12</v>
      </c>
      <c r="L154" s="13">
        <v>8</v>
      </c>
      <c r="M154" s="13">
        <v>9</v>
      </c>
      <c r="N154" s="13">
        <v>0</v>
      </c>
      <c r="O154" s="54">
        <f t="shared" si="4"/>
        <v>0.33958333333333335</v>
      </c>
      <c r="P154" s="55">
        <f t="shared" si="5"/>
        <v>0.50624999999999998</v>
      </c>
    </row>
    <row r="155" spans="1:16" x14ac:dyDescent="0.3">
      <c r="A155" s="25">
        <f>YEAR('RETAIL SALES DATA.'!K154)</f>
        <v>2025</v>
      </c>
      <c r="B155" s="13" t="str">
        <v>Nov</v>
      </c>
      <c r="C155" s="42">
        <f>DAY('RETAIL SALES DATA.'!K154)</f>
        <v>11</v>
      </c>
      <c r="D155" s="13">
        <v>2025</v>
      </c>
      <c r="E155" s="13" t="str">
        <v>Nov</v>
      </c>
      <c r="F155" s="13">
        <v>21</v>
      </c>
      <c r="G155" s="10"/>
      <c r="H155" s="13">
        <f>NETWORKDAYS('RETAIL SALES DATA.'!K154,'RETAIL SALES DATA.'!L154)</f>
        <v>9</v>
      </c>
      <c r="I155" s="13">
        <v>10</v>
      </c>
      <c r="J155" s="10"/>
      <c r="K155" s="13">
        <v>21</v>
      </c>
      <c r="L155" s="13">
        <v>9</v>
      </c>
      <c r="M155" s="13">
        <v>37</v>
      </c>
      <c r="N155" s="13">
        <v>0</v>
      </c>
      <c r="O155" s="54">
        <f t="shared" si="4"/>
        <v>0.40069444444444446</v>
      </c>
      <c r="P155" s="55">
        <f t="shared" si="5"/>
        <v>0.90069444444444446</v>
      </c>
    </row>
    <row r="156" spans="1:16" x14ac:dyDescent="0.3">
      <c r="A156" s="25">
        <f>YEAR('RETAIL SALES DATA.'!K155)</f>
        <v>2024</v>
      </c>
      <c r="B156" s="13" t="str">
        <v>Jun</v>
      </c>
      <c r="C156" s="42">
        <f>DAY('RETAIL SALES DATA.'!K155)</f>
        <v>8</v>
      </c>
      <c r="D156" s="13">
        <v>2024</v>
      </c>
      <c r="E156" s="13" t="str">
        <v>Jun</v>
      </c>
      <c r="F156" s="13">
        <v>13</v>
      </c>
      <c r="G156" s="10"/>
      <c r="H156" s="13">
        <f>NETWORKDAYS('RETAIL SALES DATA.'!K155,'RETAIL SALES DATA.'!L155)</f>
        <v>4</v>
      </c>
      <c r="I156" s="13">
        <v>5</v>
      </c>
      <c r="J156" s="10"/>
      <c r="K156" s="13">
        <v>0</v>
      </c>
      <c r="L156" s="13">
        <v>11</v>
      </c>
      <c r="M156" s="13">
        <v>45</v>
      </c>
      <c r="N156" s="13">
        <v>0</v>
      </c>
      <c r="O156" s="54">
        <f t="shared" si="4"/>
        <v>0.48958333333333331</v>
      </c>
      <c r="P156" s="55">
        <f t="shared" si="5"/>
        <v>3.125E-2</v>
      </c>
    </row>
    <row r="157" spans="1:16" x14ac:dyDescent="0.3">
      <c r="A157" s="25">
        <f>YEAR('RETAIL SALES DATA.'!K156)</f>
        <v>2024</v>
      </c>
      <c r="B157" s="13" t="str">
        <v>Oct</v>
      </c>
      <c r="C157" s="42">
        <f>DAY('RETAIL SALES DATA.'!K156)</f>
        <v>16</v>
      </c>
      <c r="D157" s="13">
        <v>2024</v>
      </c>
      <c r="E157" s="13" t="str">
        <v>Oct</v>
      </c>
      <c r="F157" s="13">
        <v>23</v>
      </c>
      <c r="G157" s="10"/>
      <c r="H157" s="13">
        <f>NETWORKDAYS('RETAIL SALES DATA.'!K156,'RETAIL SALES DATA.'!L156)</f>
        <v>6</v>
      </c>
      <c r="I157" s="13">
        <v>7</v>
      </c>
      <c r="J157" s="10"/>
      <c r="K157" s="13">
        <v>9</v>
      </c>
      <c r="L157" s="13">
        <v>10</v>
      </c>
      <c r="M157" s="13">
        <v>20</v>
      </c>
      <c r="N157" s="13">
        <v>0</v>
      </c>
      <c r="O157" s="54">
        <f t="shared" si="4"/>
        <v>0.43055555555555558</v>
      </c>
      <c r="P157" s="55">
        <f t="shared" si="5"/>
        <v>0.3888888888888889</v>
      </c>
    </row>
    <row r="158" spans="1:16" x14ac:dyDescent="0.3">
      <c r="A158" s="25">
        <f>YEAR('RETAIL SALES DATA.'!K157)</f>
        <v>2024</v>
      </c>
      <c r="B158" s="13" t="str">
        <v>Sep</v>
      </c>
      <c r="C158" s="42">
        <f>DAY('RETAIL SALES DATA.'!K157)</f>
        <v>29</v>
      </c>
      <c r="D158" s="13">
        <v>2024</v>
      </c>
      <c r="E158" s="13" t="str">
        <v>Oct</v>
      </c>
      <c r="F158" s="13">
        <v>9</v>
      </c>
      <c r="G158" s="10"/>
      <c r="H158" s="13">
        <f>NETWORKDAYS('RETAIL SALES DATA.'!K157,'RETAIL SALES DATA.'!L157)</f>
        <v>8</v>
      </c>
      <c r="I158" s="13">
        <v>10</v>
      </c>
      <c r="J158" s="10"/>
      <c r="K158" s="13">
        <v>7</v>
      </c>
      <c r="L158" s="13">
        <v>8</v>
      </c>
      <c r="M158" s="13">
        <v>55</v>
      </c>
      <c r="N158" s="13">
        <v>0</v>
      </c>
      <c r="O158" s="54">
        <f t="shared" si="4"/>
        <v>0.37152777777777779</v>
      </c>
      <c r="P158" s="55">
        <f t="shared" si="5"/>
        <v>0.3298611111111111</v>
      </c>
    </row>
    <row r="159" spans="1:16" x14ac:dyDescent="0.3">
      <c r="A159" s="25">
        <f>YEAR('RETAIL SALES DATA.'!K158)</f>
        <v>2025</v>
      </c>
      <c r="B159" s="13" t="str">
        <v>Apr</v>
      </c>
      <c r="C159" s="42">
        <f>DAY('RETAIL SALES DATA.'!K158)</f>
        <v>29</v>
      </c>
      <c r="D159" s="13">
        <v>2025</v>
      </c>
      <c r="E159" s="13" t="str">
        <v>May</v>
      </c>
      <c r="F159" s="13">
        <v>3</v>
      </c>
      <c r="G159" s="10"/>
      <c r="H159" s="13">
        <f>NETWORKDAYS('RETAIL SALES DATA.'!K158,'RETAIL SALES DATA.'!L158)</f>
        <v>4</v>
      </c>
      <c r="I159" s="13">
        <v>4</v>
      </c>
      <c r="J159" s="10"/>
      <c r="K159" s="13">
        <v>14</v>
      </c>
      <c r="L159" s="13">
        <v>9</v>
      </c>
      <c r="M159" s="13">
        <v>53</v>
      </c>
      <c r="N159" s="13">
        <v>0</v>
      </c>
      <c r="O159" s="54">
        <f t="shared" si="4"/>
        <v>0.41180555555555554</v>
      </c>
      <c r="P159" s="55">
        <f t="shared" si="5"/>
        <v>0.62013888888888891</v>
      </c>
    </row>
    <row r="160" spans="1:16" x14ac:dyDescent="0.3">
      <c r="A160" s="25">
        <f>YEAR('RETAIL SALES DATA.'!K159)</f>
        <v>2025</v>
      </c>
      <c r="B160" s="13" t="str">
        <v>Oct</v>
      </c>
      <c r="C160" s="42">
        <f>DAY('RETAIL SALES DATA.'!K159)</f>
        <v>3</v>
      </c>
      <c r="D160" s="13">
        <v>2025</v>
      </c>
      <c r="E160" s="13" t="str">
        <v>Oct</v>
      </c>
      <c r="F160" s="13">
        <v>7</v>
      </c>
      <c r="G160" s="10"/>
      <c r="H160" s="13">
        <f>NETWORKDAYS('RETAIL SALES DATA.'!K159,'RETAIL SALES DATA.'!L159)</f>
        <v>3</v>
      </c>
      <c r="I160" s="13">
        <v>4</v>
      </c>
      <c r="J160" s="10"/>
      <c r="K160" s="13">
        <v>12</v>
      </c>
      <c r="L160" s="13">
        <v>10</v>
      </c>
      <c r="M160" s="13">
        <v>7</v>
      </c>
      <c r="N160" s="13">
        <v>0</v>
      </c>
      <c r="O160" s="54">
        <f t="shared" si="4"/>
        <v>0.42152777777777778</v>
      </c>
      <c r="P160" s="55">
        <f t="shared" si="5"/>
        <v>0.50486111111111109</v>
      </c>
    </row>
    <row r="161" spans="1:16" x14ac:dyDescent="0.3">
      <c r="A161" s="25">
        <f>YEAR('RETAIL SALES DATA.'!K160)</f>
        <v>2025</v>
      </c>
      <c r="B161" s="13" t="str">
        <v>Oct</v>
      </c>
      <c r="C161" s="42">
        <f>DAY('RETAIL SALES DATA.'!K160)</f>
        <v>3</v>
      </c>
      <c r="D161" s="13">
        <v>2025</v>
      </c>
      <c r="E161" s="13" t="str">
        <v>Oct</v>
      </c>
      <c r="F161" s="13">
        <v>6</v>
      </c>
      <c r="G161" s="10"/>
      <c r="H161" s="13">
        <f>NETWORKDAYS('RETAIL SALES DATA.'!K160,'RETAIL SALES DATA.'!L160)</f>
        <v>2</v>
      </c>
      <c r="I161" s="13">
        <v>3</v>
      </c>
      <c r="J161" s="10"/>
      <c r="K161" s="13">
        <v>7</v>
      </c>
      <c r="L161" s="13">
        <v>9</v>
      </c>
      <c r="M161" s="13">
        <v>6</v>
      </c>
      <c r="N161" s="13">
        <v>0</v>
      </c>
      <c r="O161" s="54">
        <f t="shared" si="4"/>
        <v>0.37916666666666665</v>
      </c>
      <c r="P161" s="55">
        <f t="shared" si="5"/>
        <v>0.29583333333333334</v>
      </c>
    </row>
    <row r="162" spans="1:16" x14ac:dyDescent="0.3">
      <c r="A162" s="25">
        <f>YEAR('RETAIL SALES DATA.'!K161)</f>
        <v>2025</v>
      </c>
      <c r="B162" s="13" t="str">
        <v>May</v>
      </c>
      <c r="C162" s="42">
        <f>DAY('RETAIL SALES DATA.'!K161)</f>
        <v>10</v>
      </c>
      <c r="D162" s="13">
        <v>2025</v>
      </c>
      <c r="E162" s="13" t="str">
        <v>May</v>
      </c>
      <c r="F162" s="13">
        <v>18</v>
      </c>
      <c r="G162" s="10"/>
      <c r="H162" s="13">
        <f>NETWORKDAYS('RETAIL SALES DATA.'!K161,'RETAIL SALES DATA.'!L161)</f>
        <v>5</v>
      </c>
      <c r="I162" s="13">
        <v>8</v>
      </c>
      <c r="J162" s="10"/>
      <c r="K162" s="13">
        <v>19</v>
      </c>
      <c r="L162" s="13">
        <v>9</v>
      </c>
      <c r="M162" s="13">
        <v>49</v>
      </c>
      <c r="N162" s="13">
        <v>0</v>
      </c>
      <c r="O162" s="54">
        <f t="shared" si="4"/>
        <v>0.40902777777777777</v>
      </c>
      <c r="P162" s="55">
        <f t="shared" si="5"/>
        <v>0.8256944444444444</v>
      </c>
    </row>
    <row r="163" spans="1:16" x14ac:dyDescent="0.3">
      <c r="A163" s="25">
        <f>YEAR('RETAIL SALES DATA.'!K162)</f>
        <v>2025</v>
      </c>
      <c r="B163" s="13" t="str">
        <v>Feb</v>
      </c>
      <c r="C163" s="42">
        <f>DAY('RETAIL SALES DATA.'!K162)</f>
        <v>19</v>
      </c>
      <c r="D163" s="13">
        <v>2025</v>
      </c>
      <c r="E163" s="13" t="str">
        <v>Feb</v>
      </c>
      <c r="F163" s="13">
        <v>28</v>
      </c>
      <c r="G163" s="10"/>
      <c r="H163" s="13">
        <f>NETWORKDAYS('RETAIL SALES DATA.'!K162,'RETAIL SALES DATA.'!L162)</f>
        <v>8</v>
      </c>
      <c r="I163" s="13">
        <v>9</v>
      </c>
      <c r="J163" s="10"/>
      <c r="K163" s="13">
        <v>16</v>
      </c>
      <c r="L163" s="13">
        <v>9</v>
      </c>
      <c r="M163" s="13">
        <v>35</v>
      </c>
      <c r="N163" s="13">
        <v>0</v>
      </c>
      <c r="O163" s="54">
        <f t="shared" si="4"/>
        <v>0.39930555555555558</v>
      </c>
      <c r="P163" s="55">
        <f t="shared" si="5"/>
        <v>0.69097222222222221</v>
      </c>
    </row>
    <row r="164" spans="1:16" x14ac:dyDescent="0.3">
      <c r="A164" s="25">
        <f>YEAR('RETAIL SALES DATA.'!K163)</f>
        <v>2025</v>
      </c>
      <c r="B164" s="13" t="str">
        <v>Oct</v>
      </c>
      <c r="C164" s="42">
        <f>DAY('RETAIL SALES DATA.'!K163)</f>
        <v>4</v>
      </c>
      <c r="D164" s="13">
        <v>2025</v>
      </c>
      <c r="E164" s="13" t="str">
        <v>Oct</v>
      </c>
      <c r="F164" s="13">
        <v>9</v>
      </c>
      <c r="G164" s="10"/>
      <c r="H164" s="13">
        <f>NETWORKDAYS('RETAIL SALES DATA.'!K163,'RETAIL SALES DATA.'!L163)</f>
        <v>4</v>
      </c>
      <c r="I164" s="13">
        <v>5</v>
      </c>
      <c r="J164" s="10"/>
      <c r="K164" s="13">
        <v>2</v>
      </c>
      <c r="L164" s="13">
        <v>9</v>
      </c>
      <c r="M164" s="13">
        <v>11</v>
      </c>
      <c r="N164" s="13">
        <v>0</v>
      </c>
      <c r="O164" s="54">
        <f t="shared" si="4"/>
        <v>0.38263888888888886</v>
      </c>
      <c r="P164" s="55">
        <f t="shared" si="5"/>
        <v>9.0972222222222218E-2</v>
      </c>
    </row>
    <row r="165" spans="1:16" x14ac:dyDescent="0.3">
      <c r="A165" s="25">
        <f>YEAR('RETAIL SALES DATA.'!K164)</f>
        <v>2025</v>
      </c>
      <c r="B165" s="13" t="str">
        <v>Sep</v>
      </c>
      <c r="C165" s="42">
        <f>DAY('RETAIL SALES DATA.'!K164)</f>
        <v>14</v>
      </c>
      <c r="D165" s="13">
        <v>2025</v>
      </c>
      <c r="E165" s="13" t="str">
        <v>Sep</v>
      </c>
      <c r="F165" s="13">
        <v>18</v>
      </c>
      <c r="G165" s="10"/>
      <c r="H165" s="13">
        <f>NETWORKDAYS('RETAIL SALES DATA.'!K164,'RETAIL SALES DATA.'!L164)</f>
        <v>4</v>
      </c>
      <c r="I165" s="13">
        <v>4</v>
      </c>
      <c r="J165" s="10"/>
      <c r="K165" s="13">
        <v>19</v>
      </c>
      <c r="L165" s="13">
        <v>8</v>
      </c>
      <c r="M165" s="13">
        <v>44</v>
      </c>
      <c r="N165" s="13">
        <v>0</v>
      </c>
      <c r="O165" s="54">
        <f t="shared" si="4"/>
        <v>0.36388888888888887</v>
      </c>
      <c r="P165" s="55">
        <f t="shared" si="5"/>
        <v>0.82222222222222219</v>
      </c>
    </row>
    <row r="166" spans="1:16" x14ac:dyDescent="0.3">
      <c r="A166" s="25">
        <f>YEAR('RETAIL SALES DATA.'!K165)</f>
        <v>2025</v>
      </c>
      <c r="B166" s="13" t="str">
        <v>Nov</v>
      </c>
      <c r="C166" s="42">
        <f>DAY('RETAIL SALES DATA.'!K165)</f>
        <v>21</v>
      </c>
      <c r="D166" s="13">
        <v>2025</v>
      </c>
      <c r="E166" s="13" t="str">
        <v>Nov</v>
      </c>
      <c r="F166" s="13">
        <v>27</v>
      </c>
      <c r="G166" s="10"/>
      <c r="H166" s="13">
        <f>NETWORKDAYS('RETAIL SALES DATA.'!K165,'RETAIL SALES DATA.'!L165)</f>
        <v>5</v>
      </c>
      <c r="I166" s="13">
        <v>6</v>
      </c>
      <c r="J166" s="10"/>
      <c r="K166" s="13">
        <v>4</v>
      </c>
      <c r="L166" s="13">
        <v>11</v>
      </c>
      <c r="M166" s="13">
        <v>30</v>
      </c>
      <c r="N166" s="13">
        <v>0</v>
      </c>
      <c r="O166" s="54">
        <f t="shared" si="4"/>
        <v>0.47916666666666669</v>
      </c>
      <c r="P166" s="55">
        <f t="shared" si="5"/>
        <v>0.1875</v>
      </c>
    </row>
    <row r="167" spans="1:16" x14ac:dyDescent="0.3">
      <c r="A167" s="25">
        <f>YEAR('RETAIL SALES DATA.'!K166)</f>
        <v>2025</v>
      </c>
      <c r="B167" s="13" t="str">
        <v>Jul</v>
      </c>
      <c r="C167" s="42">
        <f>DAY('RETAIL SALES DATA.'!K166)</f>
        <v>24</v>
      </c>
      <c r="D167" s="13">
        <v>2025</v>
      </c>
      <c r="E167" s="13" t="str">
        <v>Jul</v>
      </c>
      <c r="F167" s="13">
        <v>31</v>
      </c>
      <c r="G167" s="10"/>
      <c r="H167" s="13">
        <f>NETWORKDAYS('RETAIL SALES DATA.'!K166,'RETAIL SALES DATA.'!L166)</f>
        <v>6</v>
      </c>
      <c r="I167" s="13">
        <v>7</v>
      </c>
      <c r="J167" s="10"/>
      <c r="K167" s="13">
        <v>4</v>
      </c>
      <c r="L167" s="13">
        <v>11</v>
      </c>
      <c r="M167" s="13">
        <v>57</v>
      </c>
      <c r="N167" s="13">
        <v>0</v>
      </c>
      <c r="O167" s="54">
        <f t="shared" si="4"/>
        <v>0.49791666666666667</v>
      </c>
      <c r="P167" s="55">
        <f t="shared" si="5"/>
        <v>0.20624999999999999</v>
      </c>
    </row>
    <row r="168" spans="1:16" x14ac:dyDescent="0.3">
      <c r="A168" s="25">
        <f>YEAR('RETAIL SALES DATA.'!K167)</f>
        <v>2024</v>
      </c>
      <c r="B168" s="13" t="str">
        <v>Jul</v>
      </c>
      <c r="C168" s="42">
        <f>DAY('RETAIL SALES DATA.'!K167)</f>
        <v>2</v>
      </c>
      <c r="D168" s="13">
        <v>2024</v>
      </c>
      <c r="E168" s="13" t="str">
        <v>Jul</v>
      </c>
      <c r="F168" s="13">
        <v>4</v>
      </c>
      <c r="G168" s="10"/>
      <c r="H168" s="13">
        <f>NETWORKDAYS('RETAIL SALES DATA.'!K167,'RETAIL SALES DATA.'!L167)</f>
        <v>3</v>
      </c>
      <c r="I168" s="13">
        <v>2</v>
      </c>
      <c r="J168" s="10"/>
      <c r="K168" s="13">
        <v>2</v>
      </c>
      <c r="L168" s="13">
        <v>10</v>
      </c>
      <c r="M168" s="13">
        <v>47</v>
      </c>
      <c r="N168" s="13">
        <v>0</v>
      </c>
      <c r="O168" s="54">
        <f t="shared" si="4"/>
        <v>0.44930555555555557</v>
      </c>
      <c r="P168" s="55">
        <f t="shared" si="5"/>
        <v>0.11597222222222223</v>
      </c>
    </row>
    <row r="169" spans="1:16" x14ac:dyDescent="0.3">
      <c r="A169" s="25">
        <f>YEAR('RETAIL SALES DATA.'!K168)</f>
        <v>2025</v>
      </c>
      <c r="B169" s="13" t="str">
        <v>Oct</v>
      </c>
      <c r="C169" s="42">
        <f>DAY('RETAIL SALES DATA.'!K168)</f>
        <v>13</v>
      </c>
      <c r="D169" s="13">
        <v>2025</v>
      </c>
      <c r="E169" s="13" t="str">
        <v>Oct</v>
      </c>
      <c r="F169" s="13">
        <v>18</v>
      </c>
      <c r="G169" s="10"/>
      <c r="H169" s="13">
        <f>NETWORKDAYS('RETAIL SALES DATA.'!K168,'RETAIL SALES DATA.'!L168)</f>
        <v>5</v>
      </c>
      <c r="I169" s="13">
        <v>5</v>
      </c>
      <c r="J169" s="10"/>
      <c r="K169" s="13">
        <v>19</v>
      </c>
      <c r="L169" s="13">
        <v>11</v>
      </c>
      <c r="M169" s="13">
        <v>10</v>
      </c>
      <c r="N169" s="13">
        <v>0</v>
      </c>
      <c r="O169" s="54">
        <f t="shared" si="4"/>
        <v>0.46527777777777779</v>
      </c>
      <c r="P169" s="55">
        <f t="shared" si="5"/>
        <v>0.79861111111111116</v>
      </c>
    </row>
    <row r="170" spans="1:16" x14ac:dyDescent="0.3">
      <c r="A170" s="25">
        <f>YEAR('RETAIL SALES DATA.'!K169)</f>
        <v>2024</v>
      </c>
      <c r="B170" s="13" t="str">
        <v>Jun</v>
      </c>
      <c r="C170" s="42">
        <f>DAY('RETAIL SALES DATA.'!K169)</f>
        <v>1</v>
      </c>
      <c r="D170" s="13">
        <v>2024</v>
      </c>
      <c r="E170" s="13" t="str">
        <v>Jun</v>
      </c>
      <c r="F170" s="13">
        <v>9</v>
      </c>
      <c r="G170" s="10"/>
      <c r="H170" s="13">
        <f>NETWORKDAYS('RETAIL SALES DATA.'!K169,'RETAIL SALES DATA.'!L169)</f>
        <v>5</v>
      </c>
      <c r="I170" s="13">
        <v>8</v>
      </c>
      <c r="J170" s="10"/>
      <c r="K170" s="13">
        <v>12</v>
      </c>
      <c r="L170" s="13">
        <v>10</v>
      </c>
      <c r="M170" s="13">
        <v>9</v>
      </c>
      <c r="N170" s="13">
        <v>0</v>
      </c>
      <c r="O170" s="54">
        <f t="shared" si="4"/>
        <v>0.42291666666666666</v>
      </c>
      <c r="P170" s="55">
        <f t="shared" si="5"/>
        <v>0.50624999999999998</v>
      </c>
    </row>
    <row r="171" spans="1:16" x14ac:dyDescent="0.3">
      <c r="A171" s="25">
        <f>YEAR('RETAIL SALES DATA.'!K170)</f>
        <v>2025</v>
      </c>
      <c r="B171" s="13" t="str">
        <v>Aug</v>
      </c>
      <c r="C171" s="42">
        <f>DAY('RETAIL SALES DATA.'!K170)</f>
        <v>11</v>
      </c>
      <c r="D171" s="13">
        <v>2025</v>
      </c>
      <c r="E171" s="13" t="str">
        <v>Aug</v>
      </c>
      <c r="F171" s="13">
        <v>13</v>
      </c>
      <c r="G171" s="10"/>
      <c r="H171" s="13">
        <f>NETWORKDAYS('RETAIL SALES DATA.'!K170,'RETAIL SALES DATA.'!L170)</f>
        <v>3</v>
      </c>
      <c r="I171" s="13">
        <v>2</v>
      </c>
      <c r="J171" s="10"/>
      <c r="K171" s="13">
        <v>21</v>
      </c>
      <c r="L171" s="13">
        <v>9</v>
      </c>
      <c r="M171" s="13">
        <v>44</v>
      </c>
      <c r="N171" s="13">
        <v>0</v>
      </c>
      <c r="O171" s="54">
        <f t="shared" si="4"/>
        <v>0.40555555555555556</v>
      </c>
      <c r="P171" s="55">
        <f t="shared" si="5"/>
        <v>0.90555555555555556</v>
      </c>
    </row>
    <row r="172" spans="1:16" x14ac:dyDescent="0.3">
      <c r="A172" s="25">
        <f>YEAR('RETAIL SALES DATA.'!K171)</f>
        <v>2024</v>
      </c>
      <c r="B172" s="13" t="str">
        <v>Oct</v>
      </c>
      <c r="C172" s="42">
        <f>DAY('RETAIL SALES DATA.'!K171)</f>
        <v>20</v>
      </c>
      <c r="D172" s="13">
        <v>2024</v>
      </c>
      <c r="E172" s="13" t="str">
        <v>Oct</v>
      </c>
      <c r="F172" s="13">
        <v>25</v>
      </c>
      <c r="G172" s="10"/>
      <c r="H172" s="13">
        <f>NETWORKDAYS('RETAIL SALES DATA.'!K171,'RETAIL SALES DATA.'!L171)</f>
        <v>5</v>
      </c>
      <c r="I172" s="13">
        <v>5</v>
      </c>
      <c r="J172" s="10"/>
      <c r="K172" s="13">
        <v>4</v>
      </c>
      <c r="L172" s="13">
        <v>10</v>
      </c>
      <c r="M172" s="13">
        <v>31</v>
      </c>
      <c r="N172" s="13">
        <v>0</v>
      </c>
      <c r="O172" s="54">
        <f t="shared" si="4"/>
        <v>0.43819444444444444</v>
      </c>
      <c r="P172" s="55">
        <f t="shared" si="5"/>
        <v>0.18819444444444444</v>
      </c>
    </row>
    <row r="173" spans="1:16" x14ac:dyDescent="0.3">
      <c r="A173" s="25">
        <f>YEAR('RETAIL SALES DATA.'!K172)</f>
        <v>2024</v>
      </c>
      <c r="B173" s="13" t="str">
        <v>Jun</v>
      </c>
      <c r="C173" s="42">
        <f>DAY('RETAIL SALES DATA.'!K172)</f>
        <v>17</v>
      </c>
      <c r="D173" s="13">
        <v>2024</v>
      </c>
      <c r="E173" s="13" t="str">
        <v>Jun</v>
      </c>
      <c r="F173" s="13">
        <v>27</v>
      </c>
      <c r="G173" s="10"/>
      <c r="H173" s="13">
        <f>NETWORKDAYS('RETAIL SALES DATA.'!K172,'RETAIL SALES DATA.'!L172)</f>
        <v>9</v>
      </c>
      <c r="I173" s="13">
        <v>10</v>
      </c>
      <c r="J173" s="10"/>
      <c r="K173" s="13">
        <v>0</v>
      </c>
      <c r="L173" s="13">
        <v>8</v>
      </c>
      <c r="M173" s="13">
        <v>52</v>
      </c>
      <c r="N173" s="13">
        <v>0</v>
      </c>
      <c r="O173" s="54">
        <f t="shared" si="4"/>
        <v>0.36944444444444446</v>
      </c>
      <c r="P173" s="55">
        <f t="shared" si="5"/>
        <v>3.6111111111111108E-2</v>
      </c>
    </row>
    <row r="174" spans="1:16" x14ac:dyDescent="0.3">
      <c r="A174" s="25">
        <f>YEAR('RETAIL SALES DATA.'!K173)</f>
        <v>2025</v>
      </c>
      <c r="B174" s="13" t="str">
        <v>Aug</v>
      </c>
      <c r="C174" s="42">
        <f>DAY('RETAIL SALES DATA.'!K173)</f>
        <v>21</v>
      </c>
      <c r="D174" s="13">
        <v>2025</v>
      </c>
      <c r="E174" s="13" t="str">
        <v>Aug</v>
      </c>
      <c r="F174" s="13">
        <v>26</v>
      </c>
      <c r="G174" s="10"/>
      <c r="H174" s="13">
        <f>NETWORKDAYS('RETAIL SALES DATA.'!K173,'RETAIL SALES DATA.'!L173)</f>
        <v>4</v>
      </c>
      <c r="I174" s="13">
        <v>5</v>
      </c>
      <c r="J174" s="10"/>
      <c r="K174" s="13">
        <v>14</v>
      </c>
      <c r="L174" s="13">
        <v>8</v>
      </c>
      <c r="M174" s="13">
        <v>8</v>
      </c>
      <c r="N174" s="13">
        <v>0</v>
      </c>
      <c r="O174" s="54">
        <f t="shared" si="4"/>
        <v>0.33888888888888891</v>
      </c>
      <c r="P174" s="55">
        <f t="shared" si="5"/>
        <v>0.58888888888888891</v>
      </c>
    </row>
    <row r="175" spans="1:16" x14ac:dyDescent="0.3">
      <c r="A175" s="25">
        <f>YEAR('RETAIL SALES DATA.'!K174)</f>
        <v>2025</v>
      </c>
      <c r="B175" s="13" t="str">
        <v>Mar</v>
      </c>
      <c r="C175" s="42">
        <f>DAY('RETAIL SALES DATA.'!K174)</f>
        <v>22</v>
      </c>
      <c r="D175" s="13">
        <v>2025</v>
      </c>
      <c r="E175" s="13" t="str">
        <v>Mar</v>
      </c>
      <c r="F175" s="13">
        <v>26</v>
      </c>
      <c r="G175" s="10"/>
      <c r="H175" s="13">
        <f>NETWORKDAYS('RETAIL SALES DATA.'!K174,'RETAIL SALES DATA.'!L174)</f>
        <v>3</v>
      </c>
      <c r="I175" s="13">
        <v>4</v>
      </c>
      <c r="J175" s="10"/>
      <c r="K175" s="13">
        <v>21</v>
      </c>
      <c r="L175" s="13">
        <v>8</v>
      </c>
      <c r="M175" s="13">
        <v>21</v>
      </c>
      <c r="N175" s="13">
        <v>0</v>
      </c>
      <c r="O175" s="54">
        <f t="shared" si="4"/>
        <v>0.34791666666666665</v>
      </c>
      <c r="P175" s="55">
        <f t="shared" si="5"/>
        <v>0.88958333333333328</v>
      </c>
    </row>
    <row r="176" spans="1:16" x14ac:dyDescent="0.3">
      <c r="A176" s="25">
        <f>YEAR('RETAIL SALES DATA.'!K175)</f>
        <v>2025</v>
      </c>
      <c r="B176" s="13" t="str">
        <v>May</v>
      </c>
      <c r="C176" s="42">
        <f>DAY('RETAIL SALES DATA.'!K175)</f>
        <v>5</v>
      </c>
      <c r="D176" s="13">
        <v>2025</v>
      </c>
      <c r="E176" s="13" t="str">
        <v>May</v>
      </c>
      <c r="F176" s="13">
        <v>14</v>
      </c>
      <c r="G176" s="10"/>
      <c r="H176" s="13">
        <f>NETWORKDAYS('RETAIL SALES DATA.'!K175,'RETAIL SALES DATA.'!L175)</f>
        <v>8</v>
      </c>
      <c r="I176" s="13">
        <v>9</v>
      </c>
      <c r="J176" s="10"/>
      <c r="K176" s="13">
        <v>0</v>
      </c>
      <c r="L176" s="13">
        <v>11</v>
      </c>
      <c r="M176" s="13">
        <v>29</v>
      </c>
      <c r="N176" s="13">
        <v>0</v>
      </c>
      <c r="O176" s="54">
        <f t="shared" si="4"/>
        <v>0.47847222222222224</v>
      </c>
      <c r="P176" s="55">
        <f t="shared" si="5"/>
        <v>2.013888888888889E-2</v>
      </c>
    </row>
    <row r="177" spans="1:16" x14ac:dyDescent="0.3">
      <c r="A177" s="25">
        <f>YEAR('RETAIL SALES DATA.'!K176)</f>
        <v>2025</v>
      </c>
      <c r="B177" s="13" t="str">
        <v>Jul</v>
      </c>
      <c r="C177" s="42">
        <f>DAY('RETAIL SALES DATA.'!K176)</f>
        <v>10</v>
      </c>
      <c r="D177" s="13">
        <v>2025</v>
      </c>
      <c r="E177" s="13" t="str">
        <v>Jul</v>
      </c>
      <c r="F177" s="13">
        <v>16</v>
      </c>
      <c r="G177" s="10"/>
      <c r="H177" s="13">
        <f>NETWORKDAYS('RETAIL SALES DATA.'!K176,'RETAIL SALES DATA.'!L176)</f>
        <v>5</v>
      </c>
      <c r="I177" s="13">
        <v>6</v>
      </c>
      <c r="J177" s="10"/>
      <c r="K177" s="13">
        <v>12</v>
      </c>
      <c r="L177" s="13">
        <v>9</v>
      </c>
      <c r="M177" s="13">
        <v>46</v>
      </c>
      <c r="N177" s="13">
        <v>0</v>
      </c>
      <c r="O177" s="54">
        <f t="shared" si="4"/>
        <v>0.40694444444444444</v>
      </c>
      <c r="P177" s="55">
        <f t="shared" si="5"/>
        <v>0.53194444444444444</v>
      </c>
    </row>
    <row r="178" spans="1:16" x14ac:dyDescent="0.3">
      <c r="A178" s="25">
        <f>YEAR('RETAIL SALES DATA.'!K177)</f>
        <v>2025</v>
      </c>
      <c r="B178" s="13" t="str">
        <v>Jan</v>
      </c>
      <c r="C178" s="42">
        <f>DAY('RETAIL SALES DATA.'!K177)</f>
        <v>11</v>
      </c>
      <c r="D178" s="13">
        <v>2025</v>
      </c>
      <c r="E178" s="13" t="str">
        <v>Jan</v>
      </c>
      <c r="F178" s="13">
        <v>21</v>
      </c>
      <c r="G178" s="10"/>
      <c r="H178" s="13">
        <f>NETWORKDAYS('RETAIL SALES DATA.'!K177,'RETAIL SALES DATA.'!L177)</f>
        <v>7</v>
      </c>
      <c r="I178" s="13">
        <v>10</v>
      </c>
      <c r="J178" s="10"/>
      <c r="K178" s="13">
        <v>7</v>
      </c>
      <c r="L178" s="13">
        <v>8</v>
      </c>
      <c r="M178" s="13">
        <v>5</v>
      </c>
      <c r="N178" s="13">
        <v>0</v>
      </c>
      <c r="O178" s="54">
        <f t="shared" si="4"/>
        <v>0.33680555555555558</v>
      </c>
      <c r="P178" s="55">
        <f t="shared" si="5"/>
        <v>0.2951388888888889</v>
      </c>
    </row>
    <row r="179" spans="1:16" x14ac:dyDescent="0.3">
      <c r="A179" s="25">
        <f>YEAR('RETAIL SALES DATA.'!K178)</f>
        <v>2024</v>
      </c>
      <c r="B179" s="13" t="str">
        <v>Aug</v>
      </c>
      <c r="C179" s="42">
        <f>DAY('RETAIL SALES DATA.'!K178)</f>
        <v>27</v>
      </c>
      <c r="D179" s="13">
        <v>2024</v>
      </c>
      <c r="E179" s="13" t="str">
        <v>Sep</v>
      </c>
      <c r="F179" s="13">
        <v>1</v>
      </c>
      <c r="G179" s="10"/>
      <c r="H179" s="13">
        <f>NETWORKDAYS('RETAIL SALES DATA.'!K178,'RETAIL SALES DATA.'!L178)</f>
        <v>4</v>
      </c>
      <c r="I179" s="13">
        <v>5</v>
      </c>
      <c r="J179" s="10"/>
      <c r="K179" s="13">
        <v>2</v>
      </c>
      <c r="L179" s="13">
        <v>10</v>
      </c>
      <c r="M179" s="13">
        <v>16</v>
      </c>
      <c r="N179" s="13">
        <v>0</v>
      </c>
      <c r="O179" s="54">
        <f t="shared" si="4"/>
        <v>0.42777777777777776</v>
      </c>
      <c r="P179" s="55">
        <f t="shared" si="5"/>
        <v>9.4444444444444442E-2</v>
      </c>
    </row>
    <row r="180" spans="1:16" x14ac:dyDescent="0.3">
      <c r="A180" s="25">
        <f>YEAR('RETAIL SALES DATA.'!K179)</f>
        <v>2026</v>
      </c>
      <c r="B180" s="13" t="str">
        <v>Apr</v>
      </c>
      <c r="C180" s="42">
        <f>DAY('RETAIL SALES DATA.'!K179)</f>
        <v>6</v>
      </c>
      <c r="D180" s="13">
        <v>2026</v>
      </c>
      <c r="E180" s="13" t="str">
        <v>Apr</v>
      </c>
      <c r="F180" s="13">
        <v>9</v>
      </c>
      <c r="G180" s="10"/>
      <c r="H180" s="13">
        <f>NETWORKDAYS('RETAIL SALES DATA.'!K179,'RETAIL SALES DATA.'!L179)</f>
        <v>4</v>
      </c>
      <c r="I180" s="13">
        <v>3</v>
      </c>
      <c r="J180" s="10"/>
      <c r="K180" s="13">
        <v>2</v>
      </c>
      <c r="L180" s="13">
        <v>10</v>
      </c>
      <c r="M180" s="13">
        <v>40</v>
      </c>
      <c r="N180" s="13">
        <v>0</v>
      </c>
      <c r="O180" s="54">
        <f t="shared" si="4"/>
        <v>0.44444444444444442</v>
      </c>
      <c r="P180" s="55">
        <f t="shared" si="5"/>
        <v>0.1111111111111111</v>
      </c>
    </row>
    <row r="181" spans="1:16" x14ac:dyDescent="0.3">
      <c r="A181" s="25">
        <f>YEAR('RETAIL SALES DATA.'!K180)</f>
        <v>2024</v>
      </c>
      <c r="B181" s="13" t="str">
        <v>Dec</v>
      </c>
      <c r="C181" s="42">
        <f>DAY('RETAIL SALES DATA.'!K180)</f>
        <v>18</v>
      </c>
      <c r="D181" s="13">
        <v>2024</v>
      </c>
      <c r="E181" s="13" t="str">
        <v>Dec</v>
      </c>
      <c r="F181" s="13">
        <v>22</v>
      </c>
      <c r="G181" s="10"/>
      <c r="H181" s="13">
        <f>NETWORKDAYS('RETAIL SALES DATA.'!K180,'RETAIL SALES DATA.'!L180)</f>
        <v>3</v>
      </c>
      <c r="I181" s="13">
        <v>4</v>
      </c>
      <c r="J181" s="10"/>
      <c r="K181" s="13">
        <v>12</v>
      </c>
      <c r="L181" s="13">
        <v>9</v>
      </c>
      <c r="M181" s="13">
        <v>27</v>
      </c>
      <c r="N181" s="13">
        <v>0</v>
      </c>
      <c r="O181" s="54">
        <f t="shared" si="4"/>
        <v>0.39374999999999999</v>
      </c>
      <c r="P181" s="55">
        <f t="shared" si="5"/>
        <v>0.51875000000000004</v>
      </c>
    </row>
    <row r="182" spans="1:16" x14ac:dyDescent="0.3">
      <c r="A182" s="25">
        <f>YEAR('RETAIL SALES DATA.'!K181)</f>
        <v>2024</v>
      </c>
      <c r="B182" s="13" t="str">
        <v>Aug</v>
      </c>
      <c r="C182" s="42">
        <f>DAY('RETAIL SALES DATA.'!K181)</f>
        <v>12</v>
      </c>
      <c r="D182" s="13">
        <v>2024</v>
      </c>
      <c r="E182" s="13" t="str">
        <v>Aug</v>
      </c>
      <c r="F182" s="13">
        <v>18</v>
      </c>
      <c r="G182" s="10"/>
      <c r="H182" s="13">
        <f>NETWORKDAYS('RETAIL SALES DATA.'!K181,'RETAIL SALES DATA.'!L181)</f>
        <v>5</v>
      </c>
      <c r="I182" s="13">
        <v>6</v>
      </c>
      <c r="J182" s="10"/>
      <c r="K182" s="13">
        <v>12</v>
      </c>
      <c r="L182" s="13">
        <v>8</v>
      </c>
      <c r="M182" s="13">
        <v>13</v>
      </c>
      <c r="N182" s="13">
        <v>0</v>
      </c>
      <c r="O182" s="54">
        <f t="shared" si="4"/>
        <v>0.34236111111111112</v>
      </c>
      <c r="P182" s="55">
        <f t="shared" si="5"/>
        <v>0.50902777777777775</v>
      </c>
    </row>
    <row r="183" spans="1:16" x14ac:dyDescent="0.3">
      <c r="A183" s="25">
        <f>YEAR('RETAIL SALES DATA.'!K182)</f>
        <v>2025</v>
      </c>
      <c r="B183" s="13" t="str">
        <v>Sep</v>
      </c>
      <c r="C183" s="42">
        <f>DAY('RETAIL SALES DATA.'!K182)</f>
        <v>12</v>
      </c>
      <c r="D183" s="13">
        <v>2025</v>
      </c>
      <c r="E183" s="13" t="str">
        <v>Sep</v>
      </c>
      <c r="F183" s="13">
        <v>16</v>
      </c>
      <c r="G183" s="10"/>
      <c r="H183" s="13">
        <f>NETWORKDAYS('RETAIL SALES DATA.'!K182,'RETAIL SALES DATA.'!L182)</f>
        <v>3</v>
      </c>
      <c r="I183" s="13">
        <v>4</v>
      </c>
      <c r="J183" s="10"/>
      <c r="K183" s="13">
        <v>21</v>
      </c>
      <c r="L183" s="13">
        <v>11</v>
      </c>
      <c r="M183" s="13">
        <v>31</v>
      </c>
      <c r="N183" s="13">
        <v>0</v>
      </c>
      <c r="O183" s="54">
        <f t="shared" si="4"/>
        <v>0.47986111111111113</v>
      </c>
      <c r="P183" s="55">
        <f t="shared" si="5"/>
        <v>0.89652777777777781</v>
      </c>
    </row>
    <row r="184" spans="1:16" x14ac:dyDescent="0.3">
      <c r="A184" s="25">
        <f>YEAR('RETAIL SALES DATA.'!K183)</f>
        <v>2025</v>
      </c>
      <c r="B184" s="13" t="str">
        <v>Feb</v>
      </c>
      <c r="C184" s="42">
        <f>DAY('RETAIL SALES DATA.'!K183)</f>
        <v>24</v>
      </c>
      <c r="D184" s="13">
        <v>2025</v>
      </c>
      <c r="E184" s="13" t="str">
        <v>Mar</v>
      </c>
      <c r="F184" s="13">
        <v>3</v>
      </c>
      <c r="G184" s="10"/>
      <c r="H184" s="13">
        <f>NETWORKDAYS('RETAIL SALES DATA.'!K183,'RETAIL SALES DATA.'!L183)</f>
        <v>6</v>
      </c>
      <c r="I184" s="13">
        <v>7</v>
      </c>
      <c r="J184" s="10"/>
      <c r="K184" s="13">
        <v>21</v>
      </c>
      <c r="L184" s="13">
        <v>8</v>
      </c>
      <c r="M184" s="13">
        <v>36</v>
      </c>
      <c r="N184" s="13">
        <v>0</v>
      </c>
      <c r="O184" s="54">
        <f t="shared" si="4"/>
        <v>0.35833333333333334</v>
      </c>
      <c r="P184" s="55">
        <f t="shared" si="5"/>
        <v>0.9</v>
      </c>
    </row>
    <row r="185" spans="1:16" x14ac:dyDescent="0.3">
      <c r="A185" s="25">
        <f>YEAR('RETAIL SALES DATA.'!K184)</f>
        <v>2025</v>
      </c>
      <c r="B185" s="13" t="str">
        <v>Sep</v>
      </c>
      <c r="C185" s="42">
        <f>DAY('RETAIL SALES DATA.'!K184)</f>
        <v>21</v>
      </c>
      <c r="D185" s="13">
        <v>2025</v>
      </c>
      <c r="E185" s="13" t="str">
        <v>Sep</v>
      </c>
      <c r="F185" s="13">
        <v>22</v>
      </c>
      <c r="G185" s="10"/>
      <c r="H185" s="13">
        <f>NETWORKDAYS('RETAIL SALES DATA.'!K184,'RETAIL SALES DATA.'!L184)</f>
        <v>1</v>
      </c>
      <c r="I185" s="13">
        <v>1</v>
      </c>
      <c r="J185" s="10"/>
      <c r="K185" s="13">
        <v>7</v>
      </c>
      <c r="L185" s="13">
        <v>9</v>
      </c>
      <c r="M185" s="13">
        <v>15</v>
      </c>
      <c r="N185" s="13">
        <v>0</v>
      </c>
      <c r="O185" s="54">
        <f t="shared" si="4"/>
        <v>0.38541666666666669</v>
      </c>
      <c r="P185" s="55">
        <f t="shared" si="5"/>
        <v>0.30208333333333331</v>
      </c>
    </row>
    <row r="186" spans="1:16" x14ac:dyDescent="0.3">
      <c r="A186" s="25">
        <f>YEAR('RETAIL SALES DATA.'!K185)</f>
        <v>2024</v>
      </c>
      <c r="B186" s="13" t="str">
        <v>Nov</v>
      </c>
      <c r="C186" s="42">
        <f>DAY('RETAIL SALES DATA.'!K185)</f>
        <v>1</v>
      </c>
      <c r="D186" s="13">
        <v>2024</v>
      </c>
      <c r="E186" s="13" t="str">
        <v>Nov</v>
      </c>
      <c r="F186" s="13">
        <v>4</v>
      </c>
      <c r="G186" s="10"/>
      <c r="H186" s="13">
        <f>NETWORKDAYS('RETAIL SALES DATA.'!K185,'RETAIL SALES DATA.'!L185)</f>
        <v>2</v>
      </c>
      <c r="I186" s="13">
        <v>3</v>
      </c>
      <c r="J186" s="10"/>
      <c r="K186" s="13">
        <v>12</v>
      </c>
      <c r="L186" s="13">
        <v>11</v>
      </c>
      <c r="M186" s="13">
        <v>43</v>
      </c>
      <c r="N186" s="13">
        <v>0</v>
      </c>
      <c r="O186" s="54">
        <f t="shared" si="4"/>
        <v>0.48819444444444443</v>
      </c>
      <c r="P186" s="55">
        <f t="shared" si="5"/>
        <v>0.52986111111111112</v>
      </c>
    </row>
    <row r="187" spans="1:16" x14ac:dyDescent="0.3">
      <c r="A187" s="25">
        <f>YEAR('RETAIL SALES DATA.'!K186)</f>
        <v>2026</v>
      </c>
      <c r="B187" s="13" t="str">
        <v>May</v>
      </c>
      <c r="C187" s="42">
        <f>DAY('RETAIL SALES DATA.'!K186)</f>
        <v>15</v>
      </c>
      <c r="D187" s="13">
        <v>2026</v>
      </c>
      <c r="E187" s="13" t="str">
        <v>May</v>
      </c>
      <c r="F187" s="13">
        <v>25</v>
      </c>
      <c r="G187" s="10"/>
      <c r="H187" s="13">
        <f>NETWORKDAYS('RETAIL SALES DATA.'!K186,'RETAIL SALES DATA.'!L186)</f>
        <v>7</v>
      </c>
      <c r="I187" s="13">
        <v>10</v>
      </c>
      <c r="J187" s="10"/>
      <c r="K187" s="13">
        <v>2</v>
      </c>
      <c r="L187" s="13">
        <v>10</v>
      </c>
      <c r="M187" s="13">
        <v>34</v>
      </c>
      <c r="N187" s="13">
        <v>0</v>
      </c>
      <c r="O187" s="54">
        <f t="shared" si="4"/>
        <v>0.44027777777777777</v>
      </c>
      <c r="P187" s="55">
        <f t="shared" si="5"/>
        <v>0.10694444444444444</v>
      </c>
    </row>
    <row r="188" spans="1:16" x14ac:dyDescent="0.3">
      <c r="A188" s="25">
        <f>YEAR('RETAIL SALES DATA.'!K187)</f>
        <v>2025</v>
      </c>
      <c r="B188" s="13" t="str">
        <v>Jun</v>
      </c>
      <c r="C188" s="42">
        <f>DAY('RETAIL SALES DATA.'!K187)</f>
        <v>29</v>
      </c>
      <c r="D188" s="13">
        <v>2025</v>
      </c>
      <c r="E188" s="13" t="str">
        <v>Jul</v>
      </c>
      <c r="F188" s="13">
        <v>6</v>
      </c>
      <c r="G188" s="10"/>
      <c r="H188" s="13">
        <f>NETWORKDAYS('RETAIL SALES DATA.'!K187,'RETAIL SALES DATA.'!L187)</f>
        <v>5</v>
      </c>
      <c r="I188" s="13">
        <v>7</v>
      </c>
      <c r="J188" s="10"/>
      <c r="K188" s="13">
        <v>4</v>
      </c>
      <c r="L188" s="13">
        <v>9</v>
      </c>
      <c r="M188" s="13">
        <v>9</v>
      </c>
      <c r="N188" s="13">
        <v>0</v>
      </c>
      <c r="O188" s="54">
        <f t="shared" si="4"/>
        <v>0.38124999999999998</v>
      </c>
      <c r="P188" s="55">
        <f t="shared" si="5"/>
        <v>0.17291666666666666</v>
      </c>
    </row>
    <row r="189" spans="1:16" x14ac:dyDescent="0.3">
      <c r="A189" s="25">
        <f>YEAR('RETAIL SALES DATA.'!K188)</f>
        <v>2025</v>
      </c>
      <c r="B189" s="13" t="str">
        <v>Feb</v>
      </c>
      <c r="C189" s="42">
        <f>DAY('RETAIL SALES DATA.'!K188)</f>
        <v>25</v>
      </c>
      <c r="D189" s="13">
        <v>2025</v>
      </c>
      <c r="E189" s="13" t="str">
        <v>Mar</v>
      </c>
      <c r="F189" s="13">
        <v>7</v>
      </c>
      <c r="G189" s="10"/>
      <c r="H189" s="13">
        <f>NETWORKDAYS('RETAIL SALES DATA.'!K188,'RETAIL SALES DATA.'!L188)</f>
        <v>9</v>
      </c>
      <c r="I189" s="13">
        <v>10</v>
      </c>
      <c r="J189" s="10"/>
      <c r="K189" s="13">
        <v>14</v>
      </c>
      <c r="L189" s="13">
        <v>9</v>
      </c>
      <c r="M189" s="13">
        <v>1</v>
      </c>
      <c r="N189" s="13">
        <v>0</v>
      </c>
      <c r="O189" s="54">
        <f t="shared" si="4"/>
        <v>0.37569444444444444</v>
      </c>
      <c r="P189" s="55">
        <f t="shared" si="5"/>
        <v>0.58402777777777781</v>
      </c>
    </row>
    <row r="190" spans="1:16" x14ac:dyDescent="0.3">
      <c r="A190" s="25">
        <f>YEAR('RETAIL SALES DATA.'!K189)</f>
        <v>2026</v>
      </c>
      <c r="B190" s="13" t="str">
        <v>Jan</v>
      </c>
      <c r="C190" s="42">
        <f>DAY('RETAIL SALES DATA.'!K189)</f>
        <v>2</v>
      </c>
      <c r="D190" s="13">
        <v>2026</v>
      </c>
      <c r="E190" s="13" t="str">
        <v>Jan</v>
      </c>
      <c r="F190" s="13">
        <v>8</v>
      </c>
      <c r="G190" s="10"/>
      <c r="H190" s="13">
        <f>NETWORKDAYS('RETAIL SALES DATA.'!K189,'RETAIL SALES DATA.'!L189)</f>
        <v>5</v>
      </c>
      <c r="I190" s="13">
        <v>6</v>
      </c>
      <c r="J190" s="10"/>
      <c r="K190" s="13">
        <v>2</v>
      </c>
      <c r="L190" s="13">
        <v>9</v>
      </c>
      <c r="M190" s="13">
        <v>45</v>
      </c>
      <c r="N190" s="13">
        <v>0</v>
      </c>
      <c r="O190" s="54">
        <f t="shared" si="4"/>
        <v>0.40625</v>
      </c>
      <c r="P190" s="55">
        <f t="shared" si="5"/>
        <v>0.11458333333333333</v>
      </c>
    </row>
    <row r="191" spans="1:16" x14ac:dyDescent="0.3">
      <c r="A191" s="25">
        <f>YEAR('RETAIL SALES DATA.'!K190)</f>
        <v>2025</v>
      </c>
      <c r="B191" s="13" t="str">
        <v>Apr</v>
      </c>
      <c r="C191" s="42">
        <f>DAY('RETAIL SALES DATA.'!K190)</f>
        <v>8</v>
      </c>
      <c r="D191" s="13">
        <v>2025</v>
      </c>
      <c r="E191" s="13" t="str">
        <v>Apr</v>
      </c>
      <c r="F191" s="13">
        <v>11</v>
      </c>
      <c r="G191" s="10"/>
      <c r="H191" s="13">
        <f>NETWORKDAYS('RETAIL SALES DATA.'!K190,'RETAIL SALES DATA.'!L190)</f>
        <v>4</v>
      </c>
      <c r="I191" s="13">
        <v>3</v>
      </c>
      <c r="J191" s="10"/>
      <c r="K191" s="13">
        <v>21</v>
      </c>
      <c r="L191" s="13">
        <v>11</v>
      </c>
      <c r="M191" s="13">
        <v>32</v>
      </c>
      <c r="N191" s="13">
        <v>0</v>
      </c>
      <c r="O191" s="54">
        <f t="shared" si="4"/>
        <v>0.48055555555555557</v>
      </c>
      <c r="P191" s="55">
        <f t="shared" si="5"/>
        <v>0.89722222222222225</v>
      </c>
    </row>
    <row r="192" spans="1:16" x14ac:dyDescent="0.3">
      <c r="A192" s="25">
        <f>YEAR('RETAIL SALES DATA.'!K191)</f>
        <v>2025</v>
      </c>
      <c r="B192" s="13" t="str">
        <v>Mar</v>
      </c>
      <c r="C192" s="42">
        <f>DAY('RETAIL SALES DATA.'!K191)</f>
        <v>21</v>
      </c>
      <c r="D192" s="13">
        <v>2025</v>
      </c>
      <c r="E192" s="13" t="str">
        <v>Mar</v>
      </c>
      <c r="F192" s="13">
        <v>27</v>
      </c>
      <c r="G192" s="10"/>
      <c r="H192" s="13">
        <f>NETWORKDAYS('RETAIL SALES DATA.'!K191,'RETAIL SALES DATA.'!L191)</f>
        <v>5</v>
      </c>
      <c r="I192" s="13">
        <v>6</v>
      </c>
      <c r="J192" s="10"/>
      <c r="K192" s="13">
        <v>16</v>
      </c>
      <c r="L192" s="13">
        <v>9</v>
      </c>
      <c r="M192" s="13">
        <v>32</v>
      </c>
      <c r="N192" s="13">
        <v>0</v>
      </c>
      <c r="O192" s="54">
        <f t="shared" si="4"/>
        <v>0.3972222222222222</v>
      </c>
      <c r="P192" s="55">
        <f t="shared" si="5"/>
        <v>0.68888888888888888</v>
      </c>
    </row>
    <row r="193" spans="1:16" x14ac:dyDescent="0.3">
      <c r="A193" s="25">
        <f>YEAR('RETAIL SALES DATA.'!K192)</f>
        <v>2024</v>
      </c>
      <c r="B193" s="13" t="str">
        <v>Nov</v>
      </c>
      <c r="C193" s="42">
        <f>DAY('RETAIL SALES DATA.'!K192)</f>
        <v>21</v>
      </c>
      <c r="D193" s="13">
        <v>2024</v>
      </c>
      <c r="E193" s="13" t="str">
        <v>Nov</v>
      </c>
      <c r="F193" s="13">
        <v>30</v>
      </c>
      <c r="G193" s="10"/>
      <c r="H193" s="13">
        <f>NETWORKDAYS('RETAIL SALES DATA.'!K192,'RETAIL SALES DATA.'!L192)</f>
        <v>7</v>
      </c>
      <c r="I193" s="13">
        <v>9</v>
      </c>
      <c r="J193" s="10"/>
      <c r="K193" s="13">
        <v>12</v>
      </c>
      <c r="L193" s="13">
        <v>8</v>
      </c>
      <c r="M193" s="13">
        <v>51</v>
      </c>
      <c r="N193" s="13">
        <v>0</v>
      </c>
      <c r="O193" s="54">
        <f t="shared" si="4"/>
        <v>0.36875000000000002</v>
      </c>
      <c r="P193" s="55">
        <f t="shared" si="5"/>
        <v>0.53541666666666665</v>
      </c>
    </row>
    <row r="194" spans="1:16" x14ac:dyDescent="0.3">
      <c r="A194" s="25">
        <f>YEAR('RETAIL SALES DATA.'!K193)</f>
        <v>2026</v>
      </c>
      <c r="B194" s="13" t="str">
        <v>May</v>
      </c>
      <c r="C194" s="42">
        <f>DAY('RETAIL SALES DATA.'!K193)</f>
        <v>12</v>
      </c>
      <c r="D194" s="13">
        <v>2026</v>
      </c>
      <c r="E194" s="13" t="str">
        <v>May</v>
      </c>
      <c r="F194" s="13">
        <v>17</v>
      </c>
      <c r="G194" s="10"/>
      <c r="H194" s="13">
        <f>NETWORKDAYS('RETAIL SALES DATA.'!K193,'RETAIL SALES DATA.'!L193)</f>
        <v>4</v>
      </c>
      <c r="I194" s="13">
        <v>5</v>
      </c>
      <c r="J194" s="10"/>
      <c r="K194" s="13">
        <v>0</v>
      </c>
      <c r="L194" s="13">
        <v>11</v>
      </c>
      <c r="M194" s="13">
        <v>6</v>
      </c>
      <c r="N194" s="13">
        <v>0</v>
      </c>
      <c r="O194" s="54">
        <f t="shared" si="4"/>
        <v>0.46250000000000002</v>
      </c>
      <c r="P194" s="55">
        <f t="shared" si="5"/>
        <v>4.1666666666666666E-3</v>
      </c>
    </row>
    <row r="195" spans="1:16" x14ac:dyDescent="0.3">
      <c r="A195" s="25">
        <f>YEAR('RETAIL SALES DATA.'!K194)</f>
        <v>2024</v>
      </c>
      <c r="B195" s="13" t="str">
        <v>Sep</v>
      </c>
      <c r="C195" s="42">
        <f>DAY('RETAIL SALES DATA.'!K194)</f>
        <v>24</v>
      </c>
      <c r="D195" s="13">
        <v>2024</v>
      </c>
      <c r="E195" s="13" t="str">
        <v>Sep</v>
      </c>
      <c r="F195" s="13">
        <v>26</v>
      </c>
      <c r="G195" s="10"/>
      <c r="H195" s="13">
        <f>NETWORKDAYS('RETAIL SALES DATA.'!K194,'RETAIL SALES DATA.'!L194)</f>
        <v>3</v>
      </c>
      <c r="I195" s="13">
        <v>2</v>
      </c>
      <c r="J195" s="10"/>
      <c r="K195" s="13">
        <v>4</v>
      </c>
      <c r="L195" s="13">
        <v>9</v>
      </c>
      <c r="M195" s="13">
        <v>0</v>
      </c>
      <c r="N195" s="13">
        <v>0</v>
      </c>
      <c r="O195" s="54">
        <f t="shared" si="4"/>
        <v>0.375</v>
      </c>
      <c r="P195" s="55">
        <f t="shared" si="5"/>
        <v>0.16666666666666666</v>
      </c>
    </row>
    <row r="196" spans="1:16" x14ac:dyDescent="0.3">
      <c r="A196" s="25">
        <f>YEAR('RETAIL SALES DATA.'!K195)</f>
        <v>2026</v>
      </c>
      <c r="B196" s="13" t="str">
        <v>Jan</v>
      </c>
      <c r="C196" s="42">
        <f>DAY('RETAIL SALES DATA.'!K195)</f>
        <v>29</v>
      </c>
      <c r="D196" s="13">
        <v>2026</v>
      </c>
      <c r="E196" s="13" t="str">
        <v>Feb</v>
      </c>
      <c r="F196" s="13">
        <v>1</v>
      </c>
      <c r="G196" s="10"/>
      <c r="H196" s="13">
        <f>NETWORKDAYS('RETAIL SALES DATA.'!K195,'RETAIL SALES DATA.'!L195)</f>
        <v>2</v>
      </c>
      <c r="I196" s="13">
        <v>3</v>
      </c>
      <c r="J196" s="10"/>
      <c r="K196" s="13">
        <v>16</v>
      </c>
      <c r="L196" s="13">
        <v>9</v>
      </c>
      <c r="M196" s="13">
        <v>25</v>
      </c>
      <c r="N196" s="13">
        <v>0</v>
      </c>
      <c r="O196" s="54">
        <f t="shared" ref="O196:O259" si="6">TIME(L196,M196,N196)</f>
        <v>0.3923611111111111</v>
      </c>
      <c r="P196" s="55">
        <f t="shared" ref="P196:P259" si="7">TIME(K196,M196,N196)</f>
        <v>0.68402777777777779</v>
      </c>
    </row>
    <row r="197" spans="1:16" x14ac:dyDescent="0.3">
      <c r="A197" s="25">
        <f>YEAR('RETAIL SALES DATA.'!K196)</f>
        <v>2024</v>
      </c>
      <c r="B197" s="13" t="str">
        <v>Oct</v>
      </c>
      <c r="C197" s="42">
        <f>DAY('RETAIL SALES DATA.'!K196)</f>
        <v>27</v>
      </c>
      <c r="D197" s="13">
        <v>2024</v>
      </c>
      <c r="E197" s="13" t="str">
        <v>Nov</v>
      </c>
      <c r="F197" s="13">
        <v>4</v>
      </c>
      <c r="G197" s="10"/>
      <c r="H197" s="13">
        <f>NETWORKDAYS('RETAIL SALES DATA.'!K196,'RETAIL SALES DATA.'!L196)</f>
        <v>6</v>
      </c>
      <c r="I197" s="13">
        <v>8</v>
      </c>
      <c r="J197" s="10"/>
      <c r="K197" s="13">
        <v>2</v>
      </c>
      <c r="L197" s="13">
        <v>9</v>
      </c>
      <c r="M197" s="13">
        <v>45</v>
      </c>
      <c r="N197" s="13">
        <v>0</v>
      </c>
      <c r="O197" s="54">
        <f t="shared" si="6"/>
        <v>0.40625</v>
      </c>
      <c r="P197" s="55">
        <f t="shared" si="7"/>
        <v>0.11458333333333333</v>
      </c>
    </row>
    <row r="198" spans="1:16" x14ac:dyDescent="0.3">
      <c r="A198" s="25">
        <f>YEAR('RETAIL SALES DATA.'!K197)</f>
        <v>2025</v>
      </c>
      <c r="B198" s="13" t="str">
        <v>May</v>
      </c>
      <c r="C198" s="42">
        <f>DAY('RETAIL SALES DATA.'!K197)</f>
        <v>31</v>
      </c>
      <c r="D198" s="13">
        <v>2025</v>
      </c>
      <c r="E198" s="13" t="str">
        <v>Jun</v>
      </c>
      <c r="F198" s="13">
        <v>7</v>
      </c>
      <c r="G198" s="10"/>
      <c r="H198" s="13">
        <f>NETWORKDAYS('RETAIL SALES DATA.'!K197,'RETAIL SALES DATA.'!L197)</f>
        <v>5</v>
      </c>
      <c r="I198" s="13">
        <v>7</v>
      </c>
      <c r="J198" s="10"/>
      <c r="K198" s="13">
        <v>12</v>
      </c>
      <c r="L198" s="13">
        <v>11</v>
      </c>
      <c r="M198" s="13">
        <v>8</v>
      </c>
      <c r="N198" s="13">
        <v>0</v>
      </c>
      <c r="O198" s="54">
        <f t="shared" si="6"/>
        <v>0.46388888888888891</v>
      </c>
      <c r="P198" s="55">
        <f t="shared" si="7"/>
        <v>0.50555555555555554</v>
      </c>
    </row>
    <row r="199" spans="1:16" x14ac:dyDescent="0.3">
      <c r="A199" s="25">
        <f>YEAR('RETAIL SALES DATA.'!K198)</f>
        <v>2024</v>
      </c>
      <c r="B199" s="13" t="str">
        <v>Nov</v>
      </c>
      <c r="C199" s="42">
        <f>DAY('RETAIL SALES DATA.'!K198)</f>
        <v>13</v>
      </c>
      <c r="D199" s="13">
        <v>2024</v>
      </c>
      <c r="E199" s="13" t="str">
        <v>Nov</v>
      </c>
      <c r="F199" s="13">
        <v>15</v>
      </c>
      <c r="G199" s="10"/>
      <c r="H199" s="13">
        <f>NETWORKDAYS('RETAIL SALES DATA.'!K198,'RETAIL SALES DATA.'!L198)</f>
        <v>3</v>
      </c>
      <c r="I199" s="13">
        <v>2</v>
      </c>
      <c r="J199" s="10"/>
      <c r="K199" s="13">
        <v>12</v>
      </c>
      <c r="L199" s="13">
        <v>11</v>
      </c>
      <c r="M199" s="13">
        <v>52</v>
      </c>
      <c r="N199" s="13">
        <v>0</v>
      </c>
      <c r="O199" s="54">
        <f t="shared" si="6"/>
        <v>0.49444444444444446</v>
      </c>
      <c r="P199" s="55">
        <f t="shared" si="7"/>
        <v>0.53611111111111109</v>
      </c>
    </row>
    <row r="200" spans="1:16" x14ac:dyDescent="0.3">
      <c r="A200" s="25">
        <f>YEAR('RETAIL SALES DATA.'!K199)</f>
        <v>2024</v>
      </c>
      <c r="B200" s="13" t="str">
        <v>Jun</v>
      </c>
      <c r="C200" s="42">
        <f>DAY('RETAIL SALES DATA.'!K199)</f>
        <v>13</v>
      </c>
      <c r="D200" s="13">
        <v>2024</v>
      </c>
      <c r="E200" s="13" t="str">
        <v>Jun</v>
      </c>
      <c r="F200" s="13">
        <v>21</v>
      </c>
      <c r="G200" s="10"/>
      <c r="H200" s="13">
        <f>NETWORKDAYS('RETAIL SALES DATA.'!K199,'RETAIL SALES DATA.'!L199)</f>
        <v>7</v>
      </c>
      <c r="I200" s="13">
        <v>8</v>
      </c>
      <c r="J200" s="10"/>
      <c r="K200" s="13">
        <v>7</v>
      </c>
      <c r="L200" s="13">
        <v>10</v>
      </c>
      <c r="M200" s="13">
        <v>55</v>
      </c>
      <c r="N200" s="13">
        <v>0</v>
      </c>
      <c r="O200" s="54">
        <f t="shared" si="6"/>
        <v>0.4548611111111111</v>
      </c>
      <c r="P200" s="55">
        <f t="shared" si="7"/>
        <v>0.3298611111111111</v>
      </c>
    </row>
    <row r="201" spans="1:16" x14ac:dyDescent="0.3">
      <c r="A201" s="25">
        <f>YEAR('RETAIL SALES DATA.'!K200)</f>
        <v>2025</v>
      </c>
      <c r="B201" s="13" t="str">
        <v>Nov</v>
      </c>
      <c r="C201" s="42">
        <f>DAY('RETAIL SALES DATA.'!K200)</f>
        <v>18</v>
      </c>
      <c r="D201" s="13">
        <v>2025</v>
      </c>
      <c r="E201" s="13" t="str">
        <v>Nov</v>
      </c>
      <c r="F201" s="13">
        <v>19</v>
      </c>
      <c r="G201" s="10"/>
      <c r="H201" s="13">
        <f>NETWORKDAYS('RETAIL SALES DATA.'!K200,'RETAIL SALES DATA.'!L200)</f>
        <v>2</v>
      </c>
      <c r="I201" s="13">
        <v>1</v>
      </c>
      <c r="J201" s="10"/>
      <c r="K201" s="13">
        <v>19</v>
      </c>
      <c r="L201" s="13">
        <v>10</v>
      </c>
      <c r="M201" s="13">
        <v>11</v>
      </c>
      <c r="N201" s="13">
        <v>0</v>
      </c>
      <c r="O201" s="54">
        <f t="shared" si="6"/>
        <v>0.42430555555555555</v>
      </c>
      <c r="P201" s="55">
        <f t="shared" si="7"/>
        <v>0.7993055555555556</v>
      </c>
    </row>
    <row r="202" spans="1:16" x14ac:dyDescent="0.3">
      <c r="A202" s="25">
        <f>YEAR('RETAIL SALES DATA.'!K201)</f>
        <v>2025</v>
      </c>
      <c r="B202" s="13" t="str">
        <v>Nov</v>
      </c>
      <c r="C202" s="42">
        <f>DAY('RETAIL SALES DATA.'!K201)</f>
        <v>12</v>
      </c>
      <c r="D202" s="13">
        <v>2025</v>
      </c>
      <c r="E202" s="13" t="str">
        <v>Nov</v>
      </c>
      <c r="F202" s="13">
        <v>17</v>
      </c>
      <c r="G202" s="10"/>
      <c r="H202" s="13">
        <f>NETWORKDAYS('RETAIL SALES DATA.'!K201,'RETAIL SALES DATA.'!L201)</f>
        <v>4</v>
      </c>
      <c r="I202" s="13">
        <v>5</v>
      </c>
      <c r="J202" s="10"/>
      <c r="K202" s="13">
        <v>19</v>
      </c>
      <c r="L202" s="13">
        <v>8</v>
      </c>
      <c r="M202" s="13">
        <v>19</v>
      </c>
      <c r="N202" s="13">
        <v>0</v>
      </c>
      <c r="O202" s="54">
        <f t="shared" si="6"/>
        <v>0.34652777777777777</v>
      </c>
      <c r="P202" s="55">
        <f t="shared" si="7"/>
        <v>0.80486111111111114</v>
      </c>
    </row>
    <row r="203" spans="1:16" x14ac:dyDescent="0.3">
      <c r="A203" s="25">
        <f>YEAR('RETAIL SALES DATA.'!K202)</f>
        <v>2026</v>
      </c>
      <c r="B203" s="13" t="str">
        <v>Mar</v>
      </c>
      <c r="C203" s="42">
        <f>DAY('RETAIL SALES DATA.'!K202)</f>
        <v>19</v>
      </c>
      <c r="D203" s="13">
        <v>2026</v>
      </c>
      <c r="E203" s="13" t="str">
        <v>Mar</v>
      </c>
      <c r="F203" s="13">
        <v>24</v>
      </c>
      <c r="G203" s="10"/>
      <c r="H203" s="13">
        <f>NETWORKDAYS('RETAIL SALES DATA.'!K202,'RETAIL SALES DATA.'!L202)</f>
        <v>4</v>
      </c>
      <c r="I203" s="13">
        <v>5</v>
      </c>
      <c r="J203" s="10"/>
      <c r="K203" s="13">
        <v>0</v>
      </c>
      <c r="L203" s="13">
        <v>11</v>
      </c>
      <c r="M203" s="13">
        <v>11</v>
      </c>
      <c r="N203" s="13">
        <v>0</v>
      </c>
      <c r="O203" s="54">
        <f t="shared" si="6"/>
        <v>0.46597222222222223</v>
      </c>
      <c r="P203" s="55">
        <f t="shared" si="7"/>
        <v>7.6388888888888886E-3</v>
      </c>
    </row>
    <row r="204" spans="1:16" x14ac:dyDescent="0.3">
      <c r="A204" s="25">
        <f>YEAR('RETAIL SALES DATA.'!K203)</f>
        <v>2025</v>
      </c>
      <c r="B204" s="13" t="str">
        <v>Apr</v>
      </c>
      <c r="C204" s="42">
        <f>DAY('RETAIL SALES DATA.'!K203)</f>
        <v>5</v>
      </c>
      <c r="D204" s="13">
        <v>2025</v>
      </c>
      <c r="E204" s="13" t="str">
        <v>Apr</v>
      </c>
      <c r="F204" s="13">
        <v>9</v>
      </c>
      <c r="G204" s="10"/>
      <c r="H204" s="13">
        <f>NETWORKDAYS('RETAIL SALES DATA.'!K203,'RETAIL SALES DATA.'!L203)</f>
        <v>3</v>
      </c>
      <c r="I204" s="13">
        <v>4</v>
      </c>
      <c r="J204" s="10"/>
      <c r="K204" s="13">
        <v>0</v>
      </c>
      <c r="L204" s="13">
        <v>11</v>
      </c>
      <c r="M204" s="13">
        <v>1</v>
      </c>
      <c r="N204" s="13">
        <v>0</v>
      </c>
      <c r="O204" s="54">
        <f t="shared" si="6"/>
        <v>0.45902777777777776</v>
      </c>
      <c r="P204" s="55">
        <f t="shared" si="7"/>
        <v>6.9444444444444447E-4</v>
      </c>
    </row>
    <row r="205" spans="1:16" x14ac:dyDescent="0.3">
      <c r="A205" s="25">
        <f>YEAR('RETAIL SALES DATA.'!K204)</f>
        <v>2024</v>
      </c>
      <c r="B205" s="13" t="str">
        <v>Nov</v>
      </c>
      <c r="C205" s="42">
        <f>DAY('RETAIL SALES DATA.'!K204)</f>
        <v>7</v>
      </c>
      <c r="D205" s="13">
        <v>2024</v>
      </c>
      <c r="E205" s="13" t="str">
        <v>Nov</v>
      </c>
      <c r="F205" s="13">
        <v>15</v>
      </c>
      <c r="G205" s="10"/>
      <c r="H205" s="13">
        <f>NETWORKDAYS('RETAIL SALES DATA.'!K204,'RETAIL SALES DATA.'!L204)</f>
        <v>7</v>
      </c>
      <c r="I205" s="13">
        <v>8</v>
      </c>
      <c r="J205" s="10"/>
      <c r="K205" s="13">
        <v>21</v>
      </c>
      <c r="L205" s="13">
        <v>9</v>
      </c>
      <c r="M205" s="13">
        <v>2</v>
      </c>
      <c r="N205" s="13">
        <v>0</v>
      </c>
      <c r="O205" s="54">
        <f t="shared" si="6"/>
        <v>0.37638888888888888</v>
      </c>
      <c r="P205" s="55">
        <f t="shared" si="7"/>
        <v>0.87638888888888888</v>
      </c>
    </row>
    <row r="206" spans="1:16" x14ac:dyDescent="0.3">
      <c r="A206" s="25">
        <f>YEAR('RETAIL SALES DATA.'!K205)</f>
        <v>2025</v>
      </c>
      <c r="B206" s="13" t="str">
        <v>May</v>
      </c>
      <c r="C206" s="42">
        <f>DAY('RETAIL SALES DATA.'!K205)</f>
        <v>8</v>
      </c>
      <c r="D206" s="13">
        <v>2025</v>
      </c>
      <c r="E206" s="13" t="str">
        <v>May</v>
      </c>
      <c r="F206" s="13">
        <v>13</v>
      </c>
      <c r="G206" s="10"/>
      <c r="H206" s="13">
        <f>NETWORKDAYS('RETAIL SALES DATA.'!K205,'RETAIL SALES DATA.'!L205)</f>
        <v>4</v>
      </c>
      <c r="I206" s="13">
        <v>5</v>
      </c>
      <c r="J206" s="10"/>
      <c r="K206" s="13">
        <v>4</v>
      </c>
      <c r="L206" s="13">
        <v>8</v>
      </c>
      <c r="M206" s="13">
        <v>53</v>
      </c>
      <c r="N206" s="13">
        <v>0</v>
      </c>
      <c r="O206" s="54">
        <f t="shared" si="6"/>
        <v>0.37013888888888891</v>
      </c>
      <c r="P206" s="55">
        <f t="shared" si="7"/>
        <v>0.20347222222222222</v>
      </c>
    </row>
    <row r="207" spans="1:16" x14ac:dyDescent="0.3">
      <c r="A207" s="25">
        <f>YEAR('RETAIL SALES DATA.'!K206)</f>
        <v>2026</v>
      </c>
      <c r="B207" s="13" t="str">
        <v>May</v>
      </c>
      <c r="C207" s="42">
        <f>DAY('RETAIL SALES DATA.'!K206)</f>
        <v>18</v>
      </c>
      <c r="D207" s="13">
        <v>2026</v>
      </c>
      <c r="E207" s="13" t="str">
        <v>May</v>
      </c>
      <c r="F207" s="13">
        <v>19</v>
      </c>
      <c r="G207" s="10"/>
      <c r="H207" s="13">
        <f>NETWORKDAYS('RETAIL SALES DATA.'!K206,'RETAIL SALES DATA.'!L206)</f>
        <v>2</v>
      </c>
      <c r="I207" s="13">
        <v>1</v>
      </c>
      <c r="J207" s="10"/>
      <c r="K207" s="13">
        <v>0</v>
      </c>
      <c r="L207" s="13">
        <v>11</v>
      </c>
      <c r="M207" s="13">
        <v>19</v>
      </c>
      <c r="N207" s="13">
        <v>0</v>
      </c>
      <c r="O207" s="54">
        <f t="shared" si="6"/>
        <v>0.47152777777777777</v>
      </c>
      <c r="P207" s="55">
        <f t="shared" si="7"/>
        <v>1.3194444444444444E-2</v>
      </c>
    </row>
    <row r="208" spans="1:16" x14ac:dyDescent="0.3">
      <c r="A208" s="25">
        <f>YEAR('RETAIL SALES DATA.'!K207)</f>
        <v>2024</v>
      </c>
      <c r="B208" s="13" t="str">
        <v>Nov</v>
      </c>
      <c r="C208" s="42">
        <f>DAY('RETAIL SALES DATA.'!K207)</f>
        <v>16</v>
      </c>
      <c r="D208" s="13">
        <v>2024</v>
      </c>
      <c r="E208" s="13" t="str">
        <v>Nov</v>
      </c>
      <c r="F208" s="13">
        <v>26</v>
      </c>
      <c r="G208" s="10"/>
      <c r="H208" s="13">
        <f>NETWORKDAYS('RETAIL SALES DATA.'!K207,'RETAIL SALES DATA.'!L207)</f>
        <v>7</v>
      </c>
      <c r="I208" s="13">
        <v>10</v>
      </c>
      <c r="J208" s="10"/>
      <c r="K208" s="13">
        <v>21</v>
      </c>
      <c r="L208" s="13">
        <v>11</v>
      </c>
      <c r="M208" s="13">
        <v>16</v>
      </c>
      <c r="N208" s="13">
        <v>0</v>
      </c>
      <c r="O208" s="54">
        <f t="shared" si="6"/>
        <v>0.46944444444444444</v>
      </c>
      <c r="P208" s="55">
        <f t="shared" si="7"/>
        <v>0.88611111111111107</v>
      </c>
    </row>
    <row r="209" spans="1:16" x14ac:dyDescent="0.3">
      <c r="A209" s="25">
        <f>YEAR('RETAIL SALES DATA.'!K208)</f>
        <v>2026</v>
      </c>
      <c r="B209" s="13" t="str">
        <v>Jan</v>
      </c>
      <c r="C209" s="42">
        <f>DAY('RETAIL SALES DATA.'!K208)</f>
        <v>30</v>
      </c>
      <c r="D209" s="13">
        <v>2026</v>
      </c>
      <c r="E209" s="13" t="str">
        <v>Feb</v>
      </c>
      <c r="F209" s="13">
        <v>5</v>
      </c>
      <c r="G209" s="10"/>
      <c r="H209" s="13">
        <f>NETWORKDAYS('RETAIL SALES DATA.'!K208,'RETAIL SALES DATA.'!L208)</f>
        <v>5</v>
      </c>
      <c r="I209" s="13">
        <v>6</v>
      </c>
      <c r="J209" s="10"/>
      <c r="K209" s="13">
        <v>7</v>
      </c>
      <c r="L209" s="13">
        <v>11</v>
      </c>
      <c r="M209" s="13">
        <v>27</v>
      </c>
      <c r="N209" s="13">
        <v>0</v>
      </c>
      <c r="O209" s="54">
        <f t="shared" si="6"/>
        <v>0.47708333333333336</v>
      </c>
      <c r="P209" s="55">
        <f t="shared" si="7"/>
        <v>0.31041666666666667</v>
      </c>
    </row>
    <row r="210" spans="1:16" x14ac:dyDescent="0.3">
      <c r="A210" s="25">
        <f>YEAR('RETAIL SALES DATA.'!K209)</f>
        <v>2026</v>
      </c>
      <c r="B210" s="13" t="str">
        <v>Feb</v>
      </c>
      <c r="C210" s="42">
        <f>DAY('RETAIL SALES DATA.'!K209)</f>
        <v>18</v>
      </c>
      <c r="D210" s="13">
        <v>2026</v>
      </c>
      <c r="E210" s="13" t="str">
        <v>Feb</v>
      </c>
      <c r="F210" s="13">
        <v>22</v>
      </c>
      <c r="G210" s="10"/>
      <c r="H210" s="13">
        <f>NETWORKDAYS('RETAIL SALES DATA.'!K209,'RETAIL SALES DATA.'!L209)</f>
        <v>3</v>
      </c>
      <c r="I210" s="13">
        <v>4</v>
      </c>
      <c r="J210" s="10"/>
      <c r="K210" s="13">
        <v>7</v>
      </c>
      <c r="L210" s="13">
        <v>8</v>
      </c>
      <c r="M210" s="13">
        <v>29</v>
      </c>
      <c r="N210" s="13">
        <v>0</v>
      </c>
      <c r="O210" s="54">
        <f t="shared" si="6"/>
        <v>0.35347222222222224</v>
      </c>
      <c r="P210" s="55">
        <f t="shared" si="7"/>
        <v>0.31180555555555556</v>
      </c>
    </row>
    <row r="211" spans="1:16" x14ac:dyDescent="0.3">
      <c r="A211" s="25">
        <f>YEAR('RETAIL SALES DATA.'!K210)</f>
        <v>2026</v>
      </c>
      <c r="B211" s="13" t="str">
        <v>Apr</v>
      </c>
      <c r="C211" s="42">
        <f>DAY('RETAIL SALES DATA.'!K210)</f>
        <v>14</v>
      </c>
      <c r="D211" s="13">
        <v>2026</v>
      </c>
      <c r="E211" s="13" t="str">
        <v>Apr</v>
      </c>
      <c r="F211" s="13">
        <v>18</v>
      </c>
      <c r="G211" s="10"/>
      <c r="H211" s="13">
        <f>NETWORKDAYS('RETAIL SALES DATA.'!K210,'RETAIL SALES DATA.'!L210)</f>
        <v>4</v>
      </c>
      <c r="I211" s="13">
        <v>4</v>
      </c>
      <c r="J211" s="10"/>
      <c r="K211" s="13">
        <v>2</v>
      </c>
      <c r="L211" s="13">
        <v>8</v>
      </c>
      <c r="M211" s="13">
        <v>18</v>
      </c>
      <c r="N211" s="13">
        <v>0</v>
      </c>
      <c r="O211" s="54">
        <f t="shared" si="6"/>
        <v>0.34583333333333333</v>
      </c>
      <c r="P211" s="55">
        <f t="shared" si="7"/>
        <v>9.583333333333334E-2</v>
      </c>
    </row>
    <row r="212" spans="1:16" x14ac:dyDescent="0.3">
      <c r="A212" s="25">
        <f>YEAR('RETAIL SALES DATA.'!K211)</f>
        <v>2025</v>
      </c>
      <c r="B212" s="13" t="str">
        <v>Nov</v>
      </c>
      <c r="C212" s="42">
        <f>DAY('RETAIL SALES DATA.'!K211)</f>
        <v>17</v>
      </c>
      <c r="D212" s="13">
        <v>2025</v>
      </c>
      <c r="E212" s="13" t="str">
        <v>Nov</v>
      </c>
      <c r="F212" s="13">
        <v>24</v>
      </c>
      <c r="G212" s="10"/>
      <c r="H212" s="13">
        <f>NETWORKDAYS('RETAIL SALES DATA.'!K211,'RETAIL SALES DATA.'!L211)</f>
        <v>6</v>
      </c>
      <c r="I212" s="13">
        <v>7</v>
      </c>
      <c r="J212" s="10"/>
      <c r="K212" s="13">
        <v>12</v>
      </c>
      <c r="L212" s="13">
        <v>10</v>
      </c>
      <c r="M212" s="13">
        <v>27</v>
      </c>
      <c r="N212" s="13">
        <v>0</v>
      </c>
      <c r="O212" s="54">
        <f t="shared" si="6"/>
        <v>0.43541666666666667</v>
      </c>
      <c r="P212" s="55">
        <f t="shared" si="7"/>
        <v>0.51875000000000004</v>
      </c>
    </row>
    <row r="213" spans="1:16" x14ac:dyDescent="0.3">
      <c r="A213" s="25">
        <f>YEAR('RETAIL SALES DATA.'!K212)</f>
        <v>2026</v>
      </c>
      <c r="B213" s="13" t="str">
        <v>Mar</v>
      </c>
      <c r="C213" s="42">
        <f>DAY('RETAIL SALES DATA.'!K212)</f>
        <v>14</v>
      </c>
      <c r="D213" s="13">
        <v>2026</v>
      </c>
      <c r="E213" s="13" t="str">
        <v>Mar</v>
      </c>
      <c r="F213" s="13">
        <v>19</v>
      </c>
      <c r="G213" s="10"/>
      <c r="H213" s="13">
        <f>NETWORKDAYS('RETAIL SALES DATA.'!K212,'RETAIL SALES DATA.'!L212)</f>
        <v>4</v>
      </c>
      <c r="I213" s="13">
        <v>5</v>
      </c>
      <c r="J213" s="10"/>
      <c r="K213" s="13">
        <v>4</v>
      </c>
      <c r="L213" s="13">
        <v>10</v>
      </c>
      <c r="M213" s="13">
        <v>2</v>
      </c>
      <c r="N213" s="13">
        <v>0</v>
      </c>
      <c r="O213" s="54">
        <f t="shared" si="6"/>
        <v>0.41805555555555557</v>
      </c>
      <c r="P213" s="55">
        <f t="shared" si="7"/>
        <v>0.16805555555555557</v>
      </c>
    </row>
    <row r="214" spans="1:16" x14ac:dyDescent="0.3">
      <c r="A214" s="25">
        <f>YEAR('RETAIL SALES DATA.'!K213)</f>
        <v>2024</v>
      </c>
      <c r="B214" s="13" t="str">
        <v>Jul</v>
      </c>
      <c r="C214" s="42">
        <f>DAY('RETAIL SALES DATA.'!K213)</f>
        <v>1</v>
      </c>
      <c r="D214" s="13">
        <v>2024</v>
      </c>
      <c r="E214" s="13" t="str">
        <v>Jul</v>
      </c>
      <c r="F214" s="13">
        <v>10</v>
      </c>
      <c r="G214" s="10"/>
      <c r="H214" s="13">
        <f>NETWORKDAYS('RETAIL SALES DATA.'!K213,'RETAIL SALES DATA.'!L213)</f>
        <v>8</v>
      </c>
      <c r="I214" s="13">
        <v>9</v>
      </c>
      <c r="J214" s="10"/>
      <c r="K214" s="13">
        <v>7</v>
      </c>
      <c r="L214" s="13">
        <v>8</v>
      </c>
      <c r="M214" s="13">
        <v>10</v>
      </c>
      <c r="N214" s="13">
        <v>0</v>
      </c>
      <c r="O214" s="54">
        <f t="shared" si="6"/>
        <v>0.34027777777777779</v>
      </c>
      <c r="P214" s="55">
        <f t="shared" si="7"/>
        <v>0.2986111111111111</v>
      </c>
    </row>
    <row r="215" spans="1:16" x14ac:dyDescent="0.3">
      <c r="A215" s="25">
        <f>YEAR('RETAIL SALES DATA.'!K214)</f>
        <v>2025</v>
      </c>
      <c r="B215" s="13" t="str">
        <v>Nov</v>
      </c>
      <c r="C215" s="42">
        <f>DAY('RETAIL SALES DATA.'!K214)</f>
        <v>10</v>
      </c>
      <c r="D215" s="13">
        <v>2025</v>
      </c>
      <c r="E215" s="13" t="str">
        <v>Nov</v>
      </c>
      <c r="F215" s="13">
        <v>16</v>
      </c>
      <c r="G215" s="10"/>
      <c r="H215" s="13">
        <f>NETWORKDAYS('RETAIL SALES DATA.'!K214,'RETAIL SALES DATA.'!L214)</f>
        <v>5</v>
      </c>
      <c r="I215" s="13">
        <v>6</v>
      </c>
      <c r="J215" s="10"/>
      <c r="K215" s="13">
        <v>0</v>
      </c>
      <c r="L215" s="13">
        <v>10</v>
      </c>
      <c r="M215" s="13">
        <v>47</v>
      </c>
      <c r="N215" s="13">
        <v>0</v>
      </c>
      <c r="O215" s="54">
        <f t="shared" si="6"/>
        <v>0.44930555555555557</v>
      </c>
      <c r="P215" s="55">
        <f t="shared" si="7"/>
        <v>3.2638888888888891E-2</v>
      </c>
    </row>
    <row r="216" spans="1:16" x14ac:dyDescent="0.3">
      <c r="A216" s="25">
        <f>YEAR('RETAIL SALES DATA.'!K215)</f>
        <v>2026</v>
      </c>
      <c r="B216" s="13" t="str">
        <v>Feb</v>
      </c>
      <c r="C216" s="42">
        <f>DAY('RETAIL SALES DATA.'!K215)</f>
        <v>7</v>
      </c>
      <c r="D216" s="13">
        <v>2026</v>
      </c>
      <c r="E216" s="13" t="str">
        <v>Feb</v>
      </c>
      <c r="F216" s="13">
        <v>16</v>
      </c>
      <c r="G216" s="10"/>
      <c r="H216" s="13">
        <f>NETWORKDAYS('RETAIL SALES DATA.'!K215,'RETAIL SALES DATA.'!L215)</f>
        <v>6</v>
      </c>
      <c r="I216" s="13">
        <v>9</v>
      </c>
      <c r="J216" s="10"/>
      <c r="K216" s="13">
        <v>19</v>
      </c>
      <c r="L216" s="13">
        <v>9</v>
      </c>
      <c r="M216" s="13">
        <v>15</v>
      </c>
      <c r="N216" s="13">
        <v>0</v>
      </c>
      <c r="O216" s="54">
        <f t="shared" si="6"/>
        <v>0.38541666666666669</v>
      </c>
      <c r="P216" s="55">
        <f t="shared" si="7"/>
        <v>0.80208333333333337</v>
      </c>
    </row>
    <row r="217" spans="1:16" x14ac:dyDescent="0.3">
      <c r="A217" s="25">
        <f>YEAR('RETAIL SALES DATA.'!K216)</f>
        <v>2024</v>
      </c>
      <c r="B217" s="13" t="str">
        <v>Dec</v>
      </c>
      <c r="C217" s="42">
        <f>DAY('RETAIL SALES DATA.'!K216)</f>
        <v>30</v>
      </c>
      <c r="D217" s="13">
        <v>2025</v>
      </c>
      <c r="E217" s="13" t="str">
        <v>Jan</v>
      </c>
      <c r="F217" s="13">
        <v>7</v>
      </c>
      <c r="G217" s="10"/>
      <c r="H217" s="13">
        <f>NETWORKDAYS('RETAIL SALES DATA.'!K216,'RETAIL SALES DATA.'!L216)</f>
        <v>7</v>
      </c>
      <c r="I217" s="13">
        <v>8</v>
      </c>
      <c r="J217" s="10"/>
      <c r="K217" s="13">
        <v>7</v>
      </c>
      <c r="L217" s="13">
        <v>11</v>
      </c>
      <c r="M217" s="13">
        <v>3</v>
      </c>
      <c r="N217" s="13">
        <v>0</v>
      </c>
      <c r="O217" s="54">
        <f t="shared" si="6"/>
        <v>0.46041666666666664</v>
      </c>
      <c r="P217" s="55">
        <f t="shared" si="7"/>
        <v>0.29375000000000001</v>
      </c>
    </row>
    <row r="218" spans="1:16" x14ac:dyDescent="0.3">
      <c r="A218" s="25">
        <f>YEAR('RETAIL SALES DATA.'!K217)</f>
        <v>2024</v>
      </c>
      <c r="B218" s="13" t="str">
        <v>Nov</v>
      </c>
      <c r="C218" s="42">
        <f>DAY('RETAIL SALES DATA.'!K217)</f>
        <v>30</v>
      </c>
      <c r="D218" s="13">
        <v>2024</v>
      </c>
      <c r="E218" s="13" t="str">
        <v>Dec</v>
      </c>
      <c r="F218" s="13">
        <v>7</v>
      </c>
      <c r="G218" s="10"/>
      <c r="H218" s="13">
        <f>NETWORKDAYS('RETAIL SALES DATA.'!K217,'RETAIL SALES DATA.'!L217)</f>
        <v>5</v>
      </c>
      <c r="I218" s="13">
        <v>7</v>
      </c>
      <c r="J218" s="10"/>
      <c r="K218" s="13">
        <v>21</v>
      </c>
      <c r="L218" s="13">
        <v>10</v>
      </c>
      <c r="M218" s="13">
        <v>57</v>
      </c>
      <c r="N218" s="13">
        <v>0</v>
      </c>
      <c r="O218" s="54">
        <f t="shared" si="6"/>
        <v>0.45624999999999999</v>
      </c>
      <c r="P218" s="55">
        <f t="shared" si="7"/>
        <v>0.9145833333333333</v>
      </c>
    </row>
    <row r="219" spans="1:16" x14ac:dyDescent="0.3">
      <c r="A219" s="25">
        <f>YEAR('RETAIL SALES DATA.'!K218)</f>
        <v>2025</v>
      </c>
      <c r="B219" s="13" t="str">
        <v>Jun</v>
      </c>
      <c r="C219" s="42">
        <f>DAY('RETAIL SALES DATA.'!K218)</f>
        <v>17</v>
      </c>
      <c r="D219" s="13">
        <v>2025</v>
      </c>
      <c r="E219" s="13" t="str">
        <v>Jun</v>
      </c>
      <c r="F219" s="13">
        <v>24</v>
      </c>
      <c r="G219" s="10"/>
      <c r="H219" s="13">
        <f>NETWORKDAYS('RETAIL SALES DATA.'!K218,'RETAIL SALES DATA.'!L218)</f>
        <v>6</v>
      </c>
      <c r="I219" s="13">
        <v>7</v>
      </c>
      <c r="J219" s="10"/>
      <c r="K219" s="13">
        <v>21</v>
      </c>
      <c r="L219" s="13">
        <v>8</v>
      </c>
      <c r="M219" s="13">
        <v>50</v>
      </c>
      <c r="N219" s="13">
        <v>0</v>
      </c>
      <c r="O219" s="54">
        <f t="shared" si="6"/>
        <v>0.36805555555555558</v>
      </c>
      <c r="P219" s="55">
        <f t="shared" si="7"/>
        <v>0.90972222222222221</v>
      </c>
    </row>
    <row r="220" spans="1:16" x14ac:dyDescent="0.3">
      <c r="A220" s="25">
        <f>YEAR('RETAIL SALES DATA.'!K219)</f>
        <v>2026</v>
      </c>
      <c r="B220" s="13" t="str">
        <v>May</v>
      </c>
      <c r="C220" s="42">
        <f>DAY('RETAIL SALES DATA.'!K219)</f>
        <v>2</v>
      </c>
      <c r="D220" s="13">
        <v>2026</v>
      </c>
      <c r="E220" s="13" t="str">
        <v>May</v>
      </c>
      <c r="F220" s="13">
        <v>3</v>
      </c>
      <c r="G220" s="10"/>
      <c r="H220" s="13">
        <f>NETWORKDAYS('RETAIL SALES DATA.'!K219,'RETAIL SALES DATA.'!L219)</f>
        <v>0</v>
      </c>
      <c r="I220" s="13">
        <v>1</v>
      </c>
      <c r="J220" s="10"/>
      <c r="K220" s="13">
        <v>12</v>
      </c>
      <c r="L220" s="13">
        <v>11</v>
      </c>
      <c r="M220" s="13">
        <v>58</v>
      </c>
      <c r="N220" s="13">
        <v>0</v>
      </c>
      <c r="O220" s="54">
        <f t="shared" si="6"/>
        <v>0.49861111111111112</v>
      </c>
      <c r="P220" s="55">
        <f t="shared" si="7"/>
        <v>0.54027777777777775</v>
      </c>
    </row>
    <row r="221" spans="1:16" x14ac:dyDescent="0.3">
      <c r="A221" s="25">
        <f>YEAR('RETAIL SALES DATA.'!K220)</f>
        <v>2026</v>
      </c>
      <c r="B221" s="13" t="str">
        <v>Mar</v>
      </c>
      <c r="C221" s="42">
        <f>DAY('RETAIL SALES DATA.'!K220)</f>
        <v>21</v>
      </c>
      <c r="D221" s="13">
        <v>2026</v>
      </c>
      <c r="E221" s="13" t="str">
        <v>Mar</v>
      </c>
      <c r="F221" s="13">
        <v>31</v>
      </c>
      <c r="G221" s="10"/>
      <c r="H221" s="13">
        <f>NETWORKDAYS('RETAIL SALES DATA.'!K220,'RETAIL SALES DATA.'!L220)</f>
        <v>7</v>
      </c>
      <c r="I221" s="13">
        <v>10</v>
      </c>
      <c r="J221" s="10"/>
      <c r="K221" s="13">
        <v>7</v>
      </c>
      <c r="L221" s="13">
        <v>8</v>
      </c>
      <c r="M221" s="13">
        <v>0</v>
      </c>
      <c r="N221" s="13">
        <v>0</v>
      </c>
      <c r="O221" s="54">
        <f t="shared" si="6"/>
        <v>0.33333333333333331</v>
      </c>
      <c r="P221" s="55">
        <f t="shared" si="7"/>
        <v>0.29166666666666669</v>
      </c>
    </row>
    <row r="222" spans="1:16" x14ac:dyDescent="0.3">
      <c r="A222" s="25">
        <f>YEAR('RETAIL SALES DATA.'!K221)</f>
        <v>2024</v>
      </c>
      <c r="B222" s="13" t="str">
        <v>Aug</v>
      </c>
      <c r="C222" s="42">
        <f>DAY('RETAIL SALES DATA.'!K221)</f>
        <v>8</v>
      </c>
      <c r="D222" s="13">
        <v>2024</v>
      </c>
      <c r="E222" s="13" t="str">
        <v>Aug</v>
      </c>
      <c r="F222" s="13">
        <v>13</v>
      </c>
      <c r="G222" s="10"/>
      <c r="H222" s="13">
        <f>NETWORKDAYS('RETAIL SALES DATA.'!K221,'RETAIL SALES DATA.'!L221)</f>
        <v>4</v>
      </c>
      <c r="I222" s="13">
        <v>5</v>
      </c>
      <c r="J222" s="10"/>
      <c r="K222" s="13">
        <v>14</v>
      </c>
      <c r="L222" s="13">
        <v>11</v>
      </c>
      <c r="M222" s="13">
        <v>39</v>
      </c>
      <c r="N222" s="13">
        <v>0</v>
      </c>
      <c r="O222" s="54">
        <f t="shared" si="6"/>
        <v>0.48541666666666666</v>
      </c>
      <c r="P222" s="55">
        <f t="shared" si="7"/>
        <v>0.61041666666666672</v>
      </c>
    </row>
    <row r="223" spans="1:16" x14ac:dyDescent="0.3">
      <c r="A223" s="25">
        <f>YEAR('RETAIL SALES DATA.'!K222)</f>
        <v>2025</v>
      </c>
      <c r="B223" s="13" t="str">
        <v>Dec</v>
      </c>
      <c r="C223" s="42">
        <f>DAY('RETAIL SALES DATA.'!K222)</f>
        <v>27</v>
      </c>
      <c r="D223" s="13">
        <v>2025</v>
      </c>
      <c r="E223" s="13" t="str">
        <v>Dec</v>
      </c>
      <c r="F223" s="13">
        <v>30</v>
      </c>
      <c r="G223" s="10"/>
      <c r="H223" s="13">
        <f>NETWORKDAYS('RETAIL SALES DATA.'!K222,'RETAIL SALES DATA.'!L222)</f>
        <v>2</v>
      </c>
      <c r="I223" s="13">
        <v>3</v>
      </c>
      <c r="J223" s="10"/>
      <c r="K223" s="13">
        <v>0</v>
      </c>
      <c r="L223" s="13">
        <v>8</v>
      </c>
      <c r="M223" s="13">
        <v>38</v>
      </c>
      <c r="N223" s="13">
        <v>0</v>
      </c>
      <c r="O223" s="54">
        <f t="shared" si="6"/>
        <v>0.35972222222222222</v>
      </c>
      <c r="P223" s="55">
        <f t="shared" si="7"/>
        <v>2.6388888888888889E-2</v>
      </c>
    </row>
    <row r="224" spans="1:16" x14ac:dyDescent="0.3">
      <c r="A224" s="25">
        <f>YEAR('RETAIL SALES DATA.'!K223)</f>
        <v>2026</v>
      </c>
      <c r="B224" s="13" t="str">
        <v>Apr</v>
      </c>
      <c r="C224" s="42">
        <f>DAY('RETAIL SALES DATA.'!K223)</f>
        <v>9</v>
      </c>
      <c r="D224" s="13">
        <v>2026</v>
      </c>
      <c r="E224" s="13" t="str">
        <v>Apr</v>
      </c>
      <c r="F224" s="13">
        <v>13</v>
      </c>
      <c r="G224" s="10"/>
      <c r="H224" s="13">
        <f>NETWORKDAYS('RETAIL SALES DATA.'!K223,'RETAIL SALES DATA.'!L223)</f>
        <v>3</v>
      </c>
      <c r="I224" s="13">
        <v>4</v>
      </c>
      <c r="J224" s="10"/>
      <c r="K224" s="13">
        <v>21</v>
      </c>
      <c r="L224" s="13">
        <v>9</v>
      </c>
      <c r="M224" s="13">
        <v>3</v>
      </c>
      <c r="N224" s="13">
        <v>0</v>
      </c>
      <c r="O224" s="54">
        <f t="shared" si="6"/>
        <v>0.37708333333333333</v>
      </c>
      <c r="P224" s="55">
        <f t="shared" si="7"/>
        <v>0.87708333333333333</v>
      </c>
    </row>
    <row r="225" spans="1:16" x14ac:dyDescent="0.3">
      <c r="A225" s="25">
        <f>YEAR('RETAIL SALES DATA.'!K224)</f>
        <v>2025</v>
      </c>
      <c r="B225" s="13" t="str">
        <v>Jun</v>
      </c>
      <c r="C225" s="42">
        <f>DAY('RETAIL SALES DATA.'!K224)</f>
        <v>20</v>
      </c>
      <c r="D225" s="13">
        <v>2025</v>
      </c>
      <c r="E225" s="13" t="str">
        <v>Jun</v>
      </c>
      <c r="F225" s="13">
        <v>24</v>
      </c>
      <c r="G225" s="10"/>
      <c r="H225" s="13">
        <f>NETWORKDAYS('RETAIL SALES DATA.'!K224,'RETAIL SALES DATA.'!L224)</f>
        <v>3</v>
      </c>
      <c r="I225" s="13">
        <v>4</v>
      </c>
      <c r="J225" s="10"/>
      <c r="K225" s="13">
        <v>21</v>
      </c>
      <c r="L225" s="13">
        <v>8</v>
      </c>
      <c r="M225" s="13">
        <v>7</v>
      </c>
      <c r="N225" s="13">
        <v>0</v>
      </c>
      <c r="O225" s="54">
        <f t="shared" si="6"/>
        <v>0.33819444444444446</v>
      </c>
      <c r="P225" s="55">
        <f t="shared" si="7"/>
        <v>0.87986111111111109</v>
      </c>
    </row>
    <row r="226" spans="1:16" x14ac:dyDescent="0.3">
      <c r="A226" s="25">
        <f>YEAR('RETAIL SALES DATA.'!K225)</f>
        <v>2026</v>
      </c>
      <c r="B226" s="13" t="str">
        <v>Mar</v>
      </c>
      <c r="C226" s="42">
        <f>DAY('RETAIL SALES DATA.'!K225)</f>
        <v>30</v>
      </c>
      <c r="D226" s="13">
        <v>2026</v>
      </c>
      <c r="E226" s="13" t="str">
        <v>Apr</v>
      </c>
      <c r="F226" s="13">
        <v>9</v>
      </c>
      <c r="G226" s="10"/>
      <c r="H226" s="13">
        <f>NETWORKDAYS('RETAIL SALES DATA.'!K225,'RETAIL SALES DATA.'!L225)</f>
        <v>9</v>
      </c>
      <c r="I226" s="13">
        <v>10</v>
      </c>
      <c r="J226" s="10"/>
      <c r="K226" s="13">
        <v>2</v>
      </c>
      <c r="L226" s="13">
        <v>9</v>
      </c>
      <c r="M226" s="13">
        <v>31</v>
      </c>
      <c r="N226" s="13">
        <v>0</v>
      </c>
      <c r="O226" s="54">
        <f t="shared" si="6"/>
        <v>0.39652777777777776</v>
      </c>
      <c r="P226" s="55">
        <f t="shared" si="7"/>
        <v>0.10486111111111111</v>
      </c>
    </row>
    <row r="227" spans="1:16" x14ac:dyDescent="0.3">
      <c r="A227" s="25">
        <f>YEAR('RETAIL SALES DATA.'!K226)</f>
        <v>2024</v>
      </c>
      <c r="B227" s="13" t="str">
        <v>Oct</v>
      </c>
      <c r="C227" s="42">
        <f>DAY('RETAIL SALES DATA.'!K226)</f>
        <v>1</v>
      </c>
      <c r="D227" s="13">
        <v>2024</v>
      </c>
      <c r="E227" s="13" t="str">
        <v>Oct</v>
      </c>
      <c r="F227" s="13">
        <v>8</v>
      </c>
      <c r="G227" s="10"/>
      <c r="H227" s="13">
        <f>NETWORKDAYS('RETAIL SALES DATA.'!K226,'RETAIL SALES DATA.'!L226)</f>
        <v>6</v>
      </c>
      <c r="I227" s="13">
        <v>7</v>
      </c>
      <c r="J227" s="10"/>
      <c r="K227" s="13">
        <v>9</v>
      </c>
      <c r="L227" s="13">
        <v>10</v>
      </c>
      <c r="M227" s="13">
        <v>27</v>
      </c>
      <c r="N227" s="13">
        <v>0</v>
      </c>
      <c r="O227" s="54">
        <f t="shared" si="6"/>
        <v>0.43541666666666667</v>
      </c>
      <c r="P227" s="55">
        <f t="shared" si="7"/>
        <v>0.39374999999999999</v>
      </c>
    </row>
    <row r="228" spans="1:16" x14ac:dyDescent="0.3">
      <c r="A228" s="25">
        <f>YEAR('RETAIL SALES DATA.'!K227)</f>
        <v>2025</v>
      </c>
      <c r="B228" s="13" t="str">
        <v>Jun</v>
      </c>
      <c r="C228" s="42">
        <f>DAY('RETAIL SALES DATA.'!K227)</f>
        <v>21</v>
      </c>
      <c r="D228" s="13">
        <v>2025</v>
      </c>
      <c r="E228" s="13" t="str">
        <v>Jun</v>
      </c>
      <c r="F228" s="13">
        <v>22</v>
      </c>
      <c r="G228" s="10"/>
      <c r="H228" s="13">
        <f>NETWORKDAYS('RETAIL SALES DATA.'!K227,'RETAIL SALES DATA.'!L227)</f>
        <v>0</v>
      </c>
      <c r="I228" s="13">
        <v>1</v>
      </c>
      <c r="J228" s="10"/>
      <c r="K228" s="13">
        <v>7</v>
      </c>
      <c r="L228" s="13">
        <v>10</v>
      </c>
      <c r="M228" s="13">
        <v>25</v>
      </c>
      <c r="N228" s="13">
        <v>0</v>
      </c>
      <c r="O228" s="54">
        <f t="shared" si="6"/>
        <v>0.43402777777777779</v>
      </c>
      <c r="P228" s="55">
        <f t="shared" si="7"/>
        <v>0.30902777777777779</v>
      </c>
    </row>
    <row r="229" spans="1:16" x14ac:dyDescent="0.3">
      <c r="A229" s="25">
        <f>YEAR('RETAIL SALES DATA.'!K228)</f>
        <v>2024</v>
      </c>
      <c r="B229" s="13" t="str">
        <v>Aug</v>
      </c>
      <c r="C229" s="42">
        <f>DAY('RETAIL SALES DATA.'!K228)</f>
        <v>21</v>
      </c>
      <c r="D229" s="13">
        <v>2024</v>
      </c>
      <c r="E229" s="13" t="str">
        <v>Aug</v>
      </c>
      <c r="F229" s="13">
        <v>22</v>
      </c>
      <c r="G229" s="10"/>
      <c r="H229" s="13">
        <f>NETWORKDAYS('RETAIL SALES DATA.'!K228,'RETAIL SALES DATA.'!L228)</f>
        <v>2</v>
      </c>
      <c r="I229" s="13">
        <v>1</v>
      </c>
      <c r="J229" s="10"/>
      <c r="K229" s="13">
        <v>16</v>
      </c>
      <c r="L229" s="13">
        <v>10</v>
      </c>
      <c r="M229" s="13">
        <v>45</v>
      </c>
      <c r="N229" s="13">
        <v>0</v>
      </c>
      <c r="O229" s="54">
        <f t="shared" si="6"/>
        <v>0.44791666666666669</v>
      </c>
      <c r="P229" s="55">
        <f t="shared" si="7"/>
        <v>0.69791666666666663</v>
      </c>
    </row>
    <row r="230" spans="1:16" x14ac:dyDescent="0.3">
      <c r="A230" s="25">
        <f>YEAR('RETAIL SALES DATA.'!K229)</f>
        <v>2025</v>
      </c>
      <c r="B230" s="13" t="str">
        <v>Dec</v>
      </c>
      <c r="C230" s="42">
        <f>DAY('RETAIL SALES DATA.'!K229)</f>
        <v>9</v>
      </c>
      <c r="D230" s="13">
        <v>2025</v>
      </c>
      <c r="E230" s="13" t="str">
        <v>Dec</v>
      </c>
      <c r="F230" s="13">
        <v>13</v>
      </c>
      <c r="G230" s="10"/>
      <c r="H230" s="13">
        <f>NETWORKDAYS('RETAIL SALES DATA.'!K229,'RETAIL SALES DATA.'!L229)</f>
        <v>4</v>
      </c>
      <c r="I230" s="13">
        <v>4</v>
      </c>
      <c r="J230" s="10"/>
      <c r="K230" s="13">
        <v>7</v>
      </c>
      <c r="L230" s="13">
        <v>10</v>
      </c>
      <c r="M230" s="13">
        <v>50</v>
      </c>
      <c r="N230" s="13">
        <v>0</v>
      </c>
      <c r="O230" s="54">
        <f t="shared" si="6"/>
        <v>0.4513888888888889</v>
      </c>
      <c r="P230" s="55">
        <f t="shared" si="7"/>
        <v>0.3263888888888889</v>
      </c>
    </row>
    <row r="231" spans="1:16" x14ac:dyDescent="0.3">
      <c r="A231" s="25">
        <f>YEAR('RETAIL SALES DATA.'!K230)</f>
        <v>2025</v>
      </c>
      <c r="B231" s="13" t="str">
        <v>Sep</v>
      </c>
      <c r="C231" s="42">
        <f>DAY('RETAIL SALES DATA.'!K230)</f>
        <v>18</v>
      </c>
      <c r="D231" s="13">
        <v>2025</v>
      </c>
      <c r="E231" s="13" t="str">
        <v>Sep</v>
      </c>
      <c r="F231" s="13">
        <v>20</v>
      </c>
      <c r="G231" s="10"/>
      <c r="H231" s="13">
        <f>NETWORKDAYS('RETAIL SALES DATA.'!K230,'RETAIL SALES DATA.'!L230)</f>
        <v>2</v>
      </c>
      <c r="I231" s="13">
        <v>2</v>
      </c>
      <c r="J231" s="10"/>
      <c r="K231" s="13">
        <v>12</v>
      </c>
      <c r="L231" s="13">
        <v>10</v>
      </c>
      <c r="M231" s="13">
        <v>54</v>
      </c>
      <c r="N231" s="13">
        <v>0</v>
      </c>
      <c r="O231" s="54">
        <f t="shared" si="6"/>
        <v>0.45416666666666666</v>
      </c>
      <c r="P231" s="55">
        <f t="shared" si="7"/>
        <v>0.53749999999999998</v>
      </c>
    </row>
    <row r="232" spans="1:16" x14ac:dyDescent="0.3">
      <c r="A232" s="25">
        <f>YEAR('RETAIL SALES DATA.'!K231)</f>
        <v>2025</v>
      </c>
      <c r="B232" s="13" t="str">
        <v>Aug</v>
      </c>
      <c r="C232" s="42">
        <f>DAY('RETAIL SALES DATA.'!K231)</f>
        <v>2</v>
      </c>
      <c r="D232" s="13">
        <v>2025</v>
      </c>
      <c r="E232" s="13" t="str">
        <v>Aug</v>
      </c>
      <c r="F232" s="13">
        <v>7</v>
      </c>
      <c r="G232" s="10"/>
      <c r="H232" s="13">
        <f>NETWORKDAYS('RETAIL SALES DATA.'!K231,'RETAIL SALES DATA.'!L231)</f>
        <v>4</v>
      </c>
      <c r="I232" s="13">
        <v>5</v>
      </c>
      <c r="J232" s="10"/>
      <c r="K232" s="13">
        <v>2</v>
      </c>
      <c r="L232" s="13">
        <v>8</v>
      </c>
      <c r="M232" s="13">
        <v>15</v>
      </c>
      <c r="N232" s="13">
        <v>0</v>
      </c>
      <c r="O232" s="54">
        <f t="shared" si="6"/>
        <v>0.34375</v>
      </c>
      <c r="P232" s="55">
        <f t="shared" si="7"/>
        <v>9.375E-2</v>
      </c>
    </row>
    <row r="233" spans="1:16" x14ac:dyDescent="0.3">
      <c r="A233" s="25">
        <f>YEAR('RETAIL SALES DATA.'!K232)</f>
        <v>2025</v>
      </c>
      <c r="B233" s="13" t="str">
        <v>Feb</v>
      </c>
      <c r="C233" s="42">
        <f>DAY('RETAIL SALES DATA.'!K232)</f>
        <v>8</v>
      </c>
      <c r="D233" s="13">
        <v>2025</v>
      </c>
      <c r="E233" s="13" t="str">
        <v>Feb</v>
      </c>
      <c r="F233" s="13">
        <v>16</v>
      </c>
      <c r="G233" s="10"/>
      <c r="H233" s="13">
        <f>NETWORKDAYS('RETAIL SALES DATA.'!K232,'RETAIL SALES DATA.'!L232)</f>
        <v>5</v>
      </c>
      <c r="I233" s="13">
        <v>8</v>
      </c>
      <c r="J233" s="10"/>
      <c r="K233" s="13">
        <v>7</v>
      </c>
      <c r="L233" s="13">
        <v>9</v>
      </c>
      <c r="M233" s="13">
        <v>28</v>
      </c>
      <c r="N233" s="13">
        <v>0</v>
      </c>
      <c r="O233" s="54">
        <f t="shared" si="6"/>
        <v>0.39444444444444443</v>
      </c>
      <c r="P233" s="55">
        <f t="shared" si="7"/>
        <v>0.31111111111111112</v>
      </c>
    </row>
    <row r="234" spans="1:16" x14ac:dyDescent="0.3">
      <c r="A234" s="25">
        <f>YEAR('RETAIL SALES DATA.'!K233)</f>
        <v>2025</v>
      </c>
      <c r="B234" s="13" t="str">
        <v>Feb</v>
      </c>
      <c r="C234" s="42">
        <f>DAY('RETAIL SALES DATA.'!K233)</f>
        <v>3</v>
      </c>
      <c r="D234" s="13">
        <v>2025</v>
      </c>
      <c r="E234" s="13" t="str">
        <v>Feb</v>
      </c>
      <c r="F234" s="13">
        <v>12</v>
      </c>
      <c r="G234" s="10"/>
      <c r="H234" s="13">
        <f>NETWORKDAYS('RETAIL SALES DATA.'!K233,'RETAIL SALES DATA.'!L233)</f>
        <v>8</v>
      </c>
      <c r="I234" s="13">
        <v>9</v>
      </c>
      <c r="J234" s="10"/>
      <c r="K234" s="13">
        <v>9</v>
      </c>
      <c r="L234" s="13">
        <v>10</v>
      </c>
      <c r="M234" s="13">
        <v>31</v>
      </c>
      <c r="N234" s="13">
        <v>0</v>
      </c>
      <c r="O234" s="54">
        <f t="shared" si="6"/>
        <v>0.43819444444444444</v>
      </c>
      <c r="P234" s="55">
        <f t="shared" si="7"/>
        <v>0.39652777777777776</v>
      </c>
    </row>
    <row r="235" spans="1:16" x14ac:dyDescent="0.3">
      <c r="A235" s="25">
        <f>YEAR('RETAIL SALES DATA.'!K234)</f>
        <v>2026</v>
      </c>
      <c r="B235" s="13" t="str">
        <v>Apr</v>
      </c>
      <c r="C235" s="42">
        <f>DAY('RETAIL SALES DATA.'!K234)</f>
        <v>8</v>
      </c>
      <c r="D235" s="13">
        <v>2026</v>
      </c>
      <c r="E235" s="13" t="str">
        <v>Apr</v>
      </c>
      <c r="F235" s="13">
        <v>13</v>
      </c>
      <c r="G235" s="10"/>
      <c r="H235" s="13">
        <f>NETWORKDAYS('RETAIL SALES DATA.'!K234,'RETAIL SALES DATA.'!L234)</f>
        <v>4</v>
      </c>
      <c r="I235" s="13">
        <v>5</v>
      </c>
      <c r="J235" s="10"/>
      <c r="K235" s="13">
        <v>14</v>
      </c>
      <c r="L235" s="13">
        <v>11</v>
      </c>
      <c r="M235" s="13">
        <v>51</v>
      </c>
      <c r="N235" s="13">
        <v>0</v>
      </c>
      <c r="O235" s="54">
        <f t="shared" si="6"/>
        <v>0.49375000000000002</v>
      </c>
      <c r="P235" s="55">
        <f t="shared" si="7"/>
        <v>0.61875000000000002</v>
      </c>
    </row>
    <row r="236" spans="1:16" x14ac:dyDescent="0.3">
      <c r="A236" s="25">
        <f>YEAR('RETAIL SALES DATA.'!K235)</f>
        <v>2025</v>
      </c>
      <c r="B236" s="13" t="str">
        <v>Apr</v>
      </c>
      <c r="C236" s="42">
        <f>DAY('RETAIL SALES DATA.'!K235)</f>
        <v>20</v>
      </c>
      <c r="D236" s="13">
        <v>2025</v>
      </c>
      <c r="E236" s="13" t="str">
        <v>Apr</v>
      </c>
      <c r="F236" s="13">
        <v>28</v>
      </c>
      <c r="G236" s="10"/>
      <c r="H236" s="13">
        <f>NETWORKDAYS('RETAIL SALES DATA.'!K235,'RETAIL SALES DATA.'!L235)</f>
        <v>6</v>
      </c>
      <c r="I236" s="13">
        <v>8</v>
      </c>
      <c r="J236" s="10"/>
      <c r="K236" s="13">
        <v>19</v>
      </c>
      <c r="L236" s="13">
        <v>11</v>
      </c>
      <c r="M236" s="13">
        <v>40</v>
      </c>
      <c r="N236" s="13">
        <v>0</v>
      </c>
      <c r="O236" s="54">
        <f t="shared" si="6"/>
        <v>0.4861111111111111</v>
      </c>
      <c r="P236" s="55">
        <f t="shared" si="7"/>
        <v>0.81944444444444442</v>
      </c>
    </row>
    <row r="237" spans="1:16" x14ac:dyDescent="0.3">
      <c r="A237" s="25">
        <f>YEAR('RETAIL SALES DATA.'!K236)</f>
        <v>2025</v>
      </c>
      <c r="B237" s="13" t="str">
        <v>Oct</v>
      </c>
      <c r="C237" s="42">
        <f>DAY('RETAIL SALES DATA.'!K236)</f>
        <v>1</v>
      </c>
      <c r="D237" s="13">
        <v>2025</v>
      </c>
      <c r="E237" s="13" t="str">
        <v>Oct</v>
      </c>
      <c r="F237" s="13">
        <v>6</v>
      </c>
      <c r="G237" s="10"/>
      <c r="H237" s="13">
        <f>NETWORKDAYS('RETAIL SALES DATA.'!K236,'RETAIL SALES DATA.'!L236)</f>
        <v>4</v>
      </c>
      <c r="I237" s="13">
        <v>5</v>
      </c>
      <c r="J237" s="10"/>
      <c r="K237" s="13">
        <v>19</v>
      </c>
      <c r="L237" s="13">
        <v>11</v>
      </c>
      <c r="M237" s="13">
        <v>30</v>
      </c>
      <c r="N237" s="13">
        <v>0</v>
      </c>
      <c r="O237" s="54">
        <f t="shared" si="6"/>
        <v>0.47916666666666669</v>
      </c>
      <c r="P237" s="55">
        <f t="shared" si="7"/>
        <v>0.8125</v>
      </c>
    </row>
    <row r="238" spans="1:16" x14ac:dyDescent="0.3">
      <c r="A238" s="25">
        <f>YEAR('RETAIL SALES DATA.'!K237)</f>
        <v>2026</v>
      </c>
      <c r="B238" s="13" t="str">
        <v>Feb</v>
      </c>
      <c r="C238" s="42">
        <f>DAY('RETAIL SALES DATA.'!K237)</f>
        <v>23</v>
      </c>
      <c r="D238" s="13">
        <v>2026</v>
      </c>
      <c r="E238" s="13" t="str">
        <v>Mar</v>
      </c>
      <c r="F238" s="13">
        <v>5</v>
      </c>
      <c r="G238" s="10"/>
      <c r="H238" s="13">
        <f>NETWORKDAYS('RETAIL SALES DATA.'!K237,'RETAIL SALES DATA.'!L237)</f>
        <v>9</v>
      </c>
      <c r="I238" s="13">
        <v>10</v>
      </c>
      <c r="J238" s="10"/>
      <c r="K238" s="13">
        <v>14</v>
      </c>
      <c r="L238" s="13">
        <v>9</v>
      </c>
      <c r="M238" s="13">
        <v>26</v>
      </c>
      <c r="N238" s="13">
        <v>0</v>
      </c>
      <c r="O238" s="54">
        <f t="shared" si="6"/>
        <v>0.39305555555555555</v>
      </c>
      <c r="P238" s="55">
        <f t="shared" si="7"/>
        <v>0.60138888888888886</v>
      </c>
    </row>
    <row r="239" spans="1:16" x14ac:dyDescent="0.3">
      <c r="A239" s="25">
        <f>YEAR('RETAIL SALES DATA.'!K238)</f>
        <v>2024</v>
      </c>
      <c r="B239" s="13" t="str">
        <v>Oct</v>
      </c>
      <c r="C239" s="42">
        <f>DAY('RETAIL SALES DATA.'!K238)</f>
        <v>29</v>
      </c>
      <c r="D239" s="13">
        <v>2024</v>
      </c>
      <c r="E239" s="13" t="str">
        <v>Nov</v>
      </c>
      <c r="F239" s="13">
        <v>2</v>
      </c>
      <c r="G239" s="10"/>
      <c r="H239" s="13">
        <f>NETWORKDAYS('RETAIL SALES DATA.'!K238,'RETAIL SALES DATA.'!L238)</f>
        <v>4</v>
      </c>
      <c r="I239" s="13">
        <v>4</v>
      </c>
      <c r="J239" s="10"/>
      <c r="K239" s="13">
        <v>2</v>
      </c>
      <c r="L239" s="13">
        <v>9</v>
      </c>
      <c r="M239" s="13">
        <v>27</v>
      </c>
      <c r="N239" s="13">
        <v>0</v>
      </c>
      <c r="O239" s="54">
        <f t="shared" si="6"/>
        <v>0.39374999999999999</v>
      </c>
      <c r="P239" s="55">
        <f t="shared" si="7"/>
        <v>0.10208333333333333</v>
      </c>
    </row>
    <row r="240" spans="1:16" x14ac:dyDescent="0.3">
      <c r="A240" s="25">
        <f>YEAR('RETAIL SALES DATA.'!K239)</f>
        <v>2024</v>
      </c>
      <c r="B240" s="13" t="str">
        <v>May</v>
      </c>
      <c r="C240" s="42">
        <f>DAY('RETAIL SALES DATA.'!K239)</f>
        <v>25</v>
      </c>
      <c r="D240" s="13">
        <v>2024</v>
      </c>
      <c r="E240" s="13" t="str">
        <v>Jun</v>
      </c>
      <c r="F240" s="13">
        <v>2</v>
      </c>
      <c r="G240" s="10"/>
      <c r="H240" s="13">
        <f>NETWORKDAYS('RETAIL SALES DATA.'!K239,'RETAIL SALES DATA.'!L239)</f>
        <v>5</v>
      </c>
      <c r="I240" s="13">
        <v>8</v>
      </c>
      <c r="J240" s="10"/>
      <c r="K240" s="13">
        <v>14</v>
      </c>
      <c r="L240" s="13">
        <v>11</v>
      </c>
      <c r="M240" s="13">
        <v>4</v>
      </c>
      <c r="N240" s="13">
        <v>0</v>
      </c>
      <c r="O240" s="54">
        <f t="shared" si="6"/>
        <v>0.46111111111111114</v>
      </c>
      <c r="P240" s="55">
        <f t="shared" si="7"/>
        <v>0.58611111111111114</v>
      </c>
    </row>
    <row r="241" spans="1:16" x14ac:dyDescent="0.3">
      <c r="A241" s="25">
        <f>YEAR('RETAIL SALES DATA.'!K240)</f>
        <v>2025</v>
      </c>
      <c r="B241" s="13" t="str">
        <v>May</v>
      </c>
      <c r="C241" s="42">
        <f>DAY('RETAIL SALES DATA.'!K240)</f>
        <v>26</v>
      </c>
      <c r="D241" s="13">
        <v>2025</v>
      </c>
      <c r="E241" s="13" t="str">
        <v>Jun</v>
      </c>
      <c r="F241" s="13">
        <v>5</v>
      </c>
      <c r="G241" s="10"/>
      <c r="H241" s="13">
        <f>NETWORKDAYS('RETAIL SALES DATA.'!K240,'RETAIL SALES DATA.'!L240)</f>
        <v>9</v>
      </c>
      <c r="I241" s="13">
        <v>10</v>
      </c>
      <c r="J241" s="10"/>
      <c r="K241" s="13">
        <v>19</v>
      </c>
      <c r="L241" s="13">
        <v>11</v>
      </c>
      <c r="M241" s="13">
        <v>25</v>
      </c>
      <c r="N241" s="13">
        <v>0</v>
      </c>
      <c r="O241" s="54">
        <f t="shared" si="6"/>
        <v>0.47569444444444442</v>
      </c>
      <c r="P241" s="55">
        <f t="shared" si="7"/>
        <v>0.80902777777777779</v>
      </c>
    </row>
    <row r="242" spans="1:16" x14ac:dyDescent="0.3">
      <c r="A242" s="25">
        <f>YEAR('RETAIL SALES DATA.'!K241)</f>
        <v>2026</v>
      </c>
      <c r="B242" s="13" t="str">
        <v>May</v>
      </c>
      <c r="C242" s="42">
        <f>DAY('RETAIL SALES DATA.'!K241)</f>
        <v>11</v>
      </c>
      <c r="D242" s="13">
        <v>2026</v>
      </c>
      <c r="E242" s="13" t="str">
        <v>May</v>
      </c>
      <c r="F242" s="13">
        <v>13</v>
      </c>
      <c r="G242" s="10"/>
      <c r="H242" s="13">
        <f>NETWORKDAYS('RETAIL SALES DATA.'!K241,'RETAIL SALES DATA.'!L241)</f>
        <v>3</v>
      </c>
      <c r="I242" s="13">
        <v>2</v>
      </c>
      <c r="J242" s="10"/>
      <c r="K242" s="13">
        <v>0</v>
      </c>
      <c r="L242" s="13">
        <v>8</v>
      </c>
      <c r="M242" s="13">
        <v>0</v>
      </c>
      <c r="N242" s="13">
        <v>0</v>
      </c>
      <c r="O242" s="54">
        <f t="shared" si="6"/>
        <v>0.33333333333333331</v>
      </c>
      <c r="P242" s="55">
        <f t="shared" si="7"/>
        <v>0</v>
      </c>
    </row>
    <row r="243" spans="1:16" x14ac:dyDescent="0.3">
      <c r="A243" s="25">
        <f>YEAR('RETAIL SALES DATA.'!K242)</f>
        <v>2025</v>
      </c>
      <c r="B243" s="13" t="str">
        <v>Feb</v>
      </c>
      <c r="C243" s="42">
        <f>DAY('RETAIL SALES DATA.'!K242)</f>
        <v>8</v>
      </c>
      <c r="D243" s="13">
        <v>2025</v>
      </c>
      <c r="E243" s="13" t="str">
        <v>Feb</v>
      </c>
      <c r="F243" s="13">
        <v>14</v>
      </c>
      <c r="G243" s="10"/>
      <c r="H243" s="13">
        <f>NETWORKDAYS('RETAIL SALES DATA.'!K242,'RETAIL SALES DATA.'!L242)</f>
        <v>5</v>
      </c>
      <c r="I243" s="13">
        <v>6</v>
      </c>
      <c r="J243" s="10"/>
      <c r="K243" s="13">
        <v>2</v>
      </c>
      <c r="L243" s="13">
        <v>10</v>
      </c>
      <c r="M243" s="13">
        <v>39</v>
      </c>
      <c r="N243" s="13">
        <v>0</v>
      </c>
      <c r="O243" s="54">
        <f t="shared" si="6"/>
        <v>0.44374999999999998</v>
      </c>
      <c r="P243" s="55">
        <f t="shared" si="7"/>
        <v>0.11041666666666666</v>
      </c>
    </row>
    <row r="244" spans="1:16" x14ac:dyDescent="0.3">
      <c r="A244" s="25">
        <f>YEAR('RETAIL SALES DATA.'!K243)</f>
        <v>2025</v>
      </c>
      <c r="B244" s="13" t="str">
        <v>Sep</v>
      </c>
      <c r="C244" s="42">
        <f>DAY('RETAIL SALES DATA.'!K243)</f>
        <v>23</v>
      </c>
      <c r="D244" s="13">
        <v>2025</v>
      </c>
      <c r="E244" s="13" t="str">
        <v>Sep</v>
      </c>
      <c r="F244" s="13">
        <v>30</v>
      </c>
      <c r="G244" s="10"/>
      <c r="H244" s="13">
        <f>NETWORKDAYS('RETAIL SALES DATA.'!K243,'RETAIL SALES DATA.'!L243)</f>
        <v>6</v>
      </c>
      <c r="I244" s="13">
        <v>7</v>
      </c>
      <c r="J244" s="10"/>
      <c r="K244" s="13">
        <v>19</v>
      </c>
      <c r="L244" s="13">
        <v>11</v>
      </c>
      <c r="M244" s="13">
        <v>18</v>
      </c>
      <c r="N244" s="13">
        <v>0</v>
      </c>
      <c r="O244" s="54">
        <f t="shared" si="6"/>
        <v>0.47083333333333333</v>
      </c>
      <c r="P244" s="55">
        <f t="shared" si="7"/>
        <v>0.8041666666666667</v>
      </c>
    </row>
    <row r="245" spans="1:16" x14ac:dyDescent="0.3">
      <c r="A245" s="25">
        <f>YEAR('RETAIL SALES DATA.'!K244)</f>
        <v>2026</v>
      </c>
      <c r="B245" s="13" t="str">
        <v>Jan</v>
      </c>
      <c r="C245" s="42">
        <f>DAY('RETAIL SALES DATA.'!K244)</f>
        <v>1</v>
      </c>
      <c r="D245" s="13">
        <v>2026</v>
      </c>
      <c r="E245" s="13" t="str">
        <v>Jan</v>
      </c>
      <c r="F245" s="13">
        <v>9</v>
      </c>
      <c r="G245" s="10"/>
      <c r="H245" s="13">
        <f>NETWORKDAYS('RETAIL SALES DATA.'!K244,'RETAIL SALES DATA.'!L244)</f>
        <v>7</v>
      </c>
      <c r="I245" s="13">
        <v>8</v>
      </c>
      <c r="J245" s="10"/>
      <c r="K245" s="13">
        <v>12</v>
      </c>
      <c r="L245" s="13">
        <v>10</v>
      </c>
      <c r="M245" s="13">
        <v>43</v>
      </c>
      <c r="N245" s="13">
        <v>0</v>
      </c>
      <c r="O245" s="54">
        <f t="shared" si="6"/>
        <v>0.4465277777777778</v>
      </c>
      <c r="P245" s="55">
        <f t="shared" si="7"/>
        <v>0.52986111111111112</v>
      </c>
    </row>
    <row r="246" spans="1:16" x14ac:dyDescent="0.3">
      <c r="A246" s="25">
        <f>YEAR('RETAIL SALES DATA.'!K245)</f>
        <v>2025</v>
      </c>
      <c r="B246" s="13" t="str">
        <v>Dec</v>
      </c>
      <c r="C246" s="42">
        <f>DAY('RETAIL SALES DATA.'!K245)</f>
        <v>12</v>
      </c>
      <c r="D246" s="13">
        <v>2025</v>
      </c>
      <c r="E246" s="13" t="str">
        <v>Dec</v>
      </c>
      <c r="F246" s="13">
        <v>19</v>
      </c>
      <c r="G246" s="10"/>
      <c r="H246" s="13">
        <f>NETWORKDAYS('RETAIL SALES DATA.'!K245,'RETAIL SALES DATA.'!L245)</f>
        <v>6</v>
      </c>
      <c r="I246" s="13">
        <v>7</v>
      </c>
      <c r="J246" s="10"/>
      <c r="K246" s="13">
        <v>9</v>
      </c>
      <c r="L246" s="13">
        <v>8</v>
      </c>
      <c r="M246" s="13">
        <v>11</v>
      </c>
      <c r="N246" s="13">
        <v>0</v>
      </c>
      <c r="O246" s="54">
        <f t="shared" si="6"/>
        <v>0.34097222222222223</v>
      </c>
      <c r="P246" s="55">
        <f t="shared" si="7"/>
        <v>0.38263888888888886</v>
      </c>
    </row>
    <row r="247" spans="1:16" x14ac:dyDescent="0.3">
      <c r="A247" s="25">
        <f>YEAR('RETAIL SALES DATA.'!K246)</f>
        <v>2026</v>
      </c>
      <c r="B247" s="13" t="str">
        <v>May</v>
      </c>
      <c r="C247" s="42">
        <f>DAY('RETAIL SALES DATA.'!K246)</f>
        <v>18</v>
      </c>
      <c r="D247" s="13">
        <v>2026</v>
      </c>
      <c r="E247" s="13" t="str">
        <v>May</v>
      </c>
      <c r="F247" s="13">
        <v>19</v>
      </c>
      <c r="G247" s="10"/>
      <c r="H247" s="13">
        <f>NETWORKDAYS('RETAIL SALES DATA.'!K246,'RETAIL SALES DATA.'!L246)</f>
        <v>2</v>
      </c>
      <c r="I247" s="13">
        <v>1</v>
      </c>
      <c r="J247" s="10"/>
      <c r="K247" s="13">
        <v>4</v>
      </c>
      <c r="L247" s="13">
        <v>8</v>
      </c>
      <c r="M247" s="13">
        <v>5</v>
      </c>
      <c r="N247" s="13">
        <v>0</v>
      </c>
      <c r="O247" s="54">
        <f t="shared" si="6"/>
        <v>0.33680555555555558</v>
      </c>
      <c r="P247" s="55">
        <f t="shared" si="7"/>
        <v>0.1701388888888889</v>
      </c>
    </row>
    <row r="248" spans="1:16" x14ac:dyDescent="0.3">
      <c r="A248" s="25">
        <f>YEAR('RETAIL SALES DATA.'!K247)</f>
        <v>2025</v>
      </c>
      <c r="B248" s="13" t="str">
        <v>Aug</v>
      </c>
      <c r="C248" s="42">
        <f>DAY('RETAIL SALES DATA.'!K247)</f>
        <v>16</v>
      </c>
      <c r="D248" s="13">
        <v>2025</v>
      </c>
      <c r="E248" s="13" t="str">
        <v>Aug</v>
      </c>
      <c r="F248" s="13">
        <v>25</v>
      </c>
      <c r="G248" s="10"/>
      <c r="H248" s="13">
        <f>NETWORKDAYS('RETAIL SALES DATA.'!K247,'RETAIL SALES DATA.'!L247)</f>
        <v>6</v>
      </c>
      <c r="I248" s="13">
        <v>9</v>
      </c>
      <c r="J248" s="10"/>
      <c r="K248" s="13">
        <v>7</v>
      </c>
      <c r="L248" s="13">
        <v>10</v>
      </c>
      <c r="M248" s="13">
        <v>39</v>
      </c>
      <c r="N248" s="13">
        <v>0</v>
      </c>
      <c r="O248" s="54">
        <f t="shared" si="6"/>
        <v>0.44374999999999998</v>
      </c>
      <c r="P248" s="55">
        <f t="shared" si="7"/>
        <v>0.31874999999999998</v>
      </c>
    </row>
    <row r="249" spans="1:16" x14ac:dyDescent="0.3">
      <c r="A249" s="25">
        <f>YEAR('RETAIL SALES DATA.'!K248)</f>
        <v>2026</v>
      </c>
      <c r="B249" s="13" t="str">
        <v>May</v>
      </c>
      <c r="C249" s="42">
        <f>DAY('RETAIL SALES DATA.'!K248)</f>
        <v>10</v>
      </c>
      <c r="D249" s="13">
        <v>2026</v>
      </c>
      <c r="E249" s="13" t="str">
        <v>May</v>
      </c>
      <c r="F249" s="13">
        <v>16</v>
      </c>
      <c r="G249" s="10"/>
      <c r="H249" s="13">
        <f>NETWORKDAYS('RETAIL SALES DATA.'!K248,'RETAIL SALES DATA.'!L248)</f>
        <v>5</v>
      </c>
      <c r="I249" s="13">
        <v>6</v>
      </c>
      <c r="J249" s="10"/>
      <c r="K249" s="13">
        <v>4</v>
      </c>
      <c r="L249" s="13">
        <v>10</v>
      </c>
      <c r="M249" s="13">
        <v>54</v>
      </c>
      <c r="N249" s="13">
        <v>0</v>
      </c>
      <c r="O249" s="54">
        <f t="shared" si="6"/>
        <v>0.45416666666666666</v>
      </c>
      <c r="P249" s="55">
        <f t="shared" si="7"/>
        <v>0.20416666666666666</v>
      </c>
    </row>
    <row r="250" spans="1:16" x14ac:dyDescent="0.3">
      <c r="A250" s="25">
        <f>YEAR('RETAIL SALES DATA.'!K249)</f>
        <v>2025</v>
      </c>
      <c r="B250" s="13" t="str">
        <v>Jul</v>
      </c>
      <c r="C250" s="42">
        <f>DAY('RETAIL SALES DATA.'!K249)</f>
        <v>26</v>
      </c>
      <c r="D250" s="13">
        <v>2025</v>
      </c>
      <c r="E250" s="13" t="str">
        <v>Aug</v>
      </c>
      <c r="F250" s="13">
        <v>5</v>
      </c>
      <c r="G250" s="10"/>
      <c r="H250" s="13">
        <f>NETWORKDAYS('RETAIL SALES DATA.'!K249,'RETAIL SALES DATA.'!L249)</f>
        <v>7</v>
      </c>
      <c r="I250" s="13">
        <v>10</v>
      </c>
      <c r="J250" s="10"/>
      <c r="K250" s="13">
        <v>4</v>
      </c>
      <c r="L250" s="13">
        <v>11</v>
      </c>
      <c r="M250" s="13">
        <v>3</v>
      </c>
      <c r="N250" s="13">
        <v>0</v>
      </c>
      <c r="O250" s="54">
        <f t="shared" si="6"/>
        <v>0.46041666666666664</v>
      </c>
      <c r="P250" s="55">
        <f t="shared" si="7"/>
        <v>0.16875000000000001</v>
      </c>
    </row>
    <row r="251" spans="1:16" x14ac:dyDescent="0.3">
      <c r="A251" s="25">
        <f>YEAR('RETAIL SALES DATA.'!K250)</f>
        <v>2024</v>
      </c>
      <c r="B251" s="13" t="str">
        <v>Sep</v>
      </c>
      <c r="C251" s="42">
        <f>DAY('RETAIL SALES DATA.'!K250)</f>
        <v>17</v>
      </c>
      <c r="D251" s="13">
        <v>2024</v>
      </c>
      <c r="E251" s="13" t="str">
        <v>Sep</v>
      </c>
      <c r="F251" s="13">
        <v>21</v>
      </c>
      <c r="G251" s="10"/>
      <c r="H251" s="13">
        <f>NETWORKDAYS('RETAIL SALES DATA.'!K250,'RETAIL SALES DATA.'!L250)</f>
        <v>4</v>
      </c>
      <c r="I251" s="13">
        <v>4</v>
      </c>
      <c r="J251" s="10"/>
      <c r="K251" s="13">
        <v>14</v>
      </c>
      <c r="L251" s="13">
        <v>8</v>
      </c>
      <c r="M251" s="13">
        <v>51</v>
      </c>
      <c r="N251" s="13">
        <v>0</v>
      </c>
      <c r="O251" s="54">
        <f t="shared" si="6"/>
        <v>0.36875000000000002</v>
      </c>
      <c r="P251" s="55">
        <f t="shared" si="7"/>
        <v>0.61875000000000002</v>
      </c>
    </row>
    <row r="252" spans="1:16" x14ac:dyDescent="0.3">
      <c r="A252" s="25">
        <f>YEAR('RETAIL SALES DATA.'!K251)</f>
        <v>2024</v>
      </c>
      <c r="B252" s="13" t="str">
        <v>Nov</v>
      </c>
      <c r="C252" s="42">
        <f>DAY('RETAIL SALES DATA.'!K251)</f>
        <v>26</v>
      </c>
      <c r="D252" s="13">
        <v>2024</v>
      </c>
      <c r="E252" s="13" t="str">
        <v>Dec</v>
      </c>
      <c r="F252" s="13">
        <v>6</v>
      </c>
      <c r="G252" s="10"/>
      <c r="H252" s="13">
        <f>NETWORKDAYS('RETAIL SALES DATA.'!K251,'RETAIL SALES DATA.'!L251)</f>
        <v>9</v>
      </c>
      <c r="I252" s="13">
        <v>10</v>
      </c>
      <c r="J252" s="10"/>
      <c r="K252" s="13">
        <v>9</v>
      </c>
      <c r="L252" s="13">
        <v>10</v>
      </c>
      <c r="M252" s="13">
        <v>6</v>
      </c>
      <c r="N252" s="13">
        <v>0</v>
      </c>
      <c r="O252" s="54">
        <f t="shared" si="6"/>
        <v>0.42083333333333334</v>
      </c>
      <c r="P252" s="55">
        <f t="shared" si="7"/>
        <v>0.37916666666666665</v>
      </c>
    </row>
    <row r="253" spans="1:16" x14ac:dyDescent="0.3">
      <c r="A253" s="25">
        <f>YEAR('RETAIL SALES DATA.'!K252)</f>
        <v>2025</v>
      </c>
      <c r="B253" s="13" t="str">
        <v>Nov</v>
      </c>
      <c r="C253" s="42">
        <f>DAY('RETAIL SALES DATA.'!K252)</f>
        <v>25</v>
      </c>
      <c r="D253" s="13">
        <v>2025</v>
      </c>
      <c r="E253" s="13" t="str">
        <v>Dec</v>
      </c>
      <c r="F253" s="13">
        <v>4</v>
      </c>
      <c r="G253" s="10"/>
      <c r="H253" s="13">
        <f>NETWORKDAYS('RETAIL SALES DATA.'!K252,'RETAIL SALES DATA.'!L252)</f>
        <v>8</v>
      </c>
      <c r="I253" s="13">
        <v>9</v>
      </c>
      <c r="J253" s="10"/>
      <c r="K253" s="13">
        <v>7</v>
      </c>
      <c r="L253" s="13">
        <v>8</v>
      </c>
      <c r="M253" s="13">
        <v>14</v>
      </c>
      <c r="N253" s="13">
        <v>0</v>
      </c>
      <c r="O253" s="54">
        <f t="shared" si="6"/>
        <v>0.34305555555555556</v>
      </c>
      <c r="P253" s="55">
        <f t="shared" si="7"/>
        <v>0.30138888888888887</v>
      </c>
    </row>
    <row r="254" spans="1:16" x14ac:dyDescent="0.3">
      <c r="A254" s="25">
        <f>YEAR('RETAIL SALES DATA.'!K253)</f>
        <v>2025</v>
      </c>
      <c r="B254" s="13" t="str">
        <v>Feb</v>
      </c>
      <c r="C254" s="42">
        <f>DAY('RETAIL SALES DATA.'!K253)</f>
        <v>6</v>
      </c>
      <c r="D254" s="13">
        <v>2025</v>
      </c>
      <c r="E254" s="13" t="str">
        <v>Feb</v>
      </c>
      <c r="F254" s="13">
        <v>14</v>
      </c>
      <c r="G254" s="10"/>
      <c r="H254" s="13">
        <f>NETWORKDAYS('RETAIL SALES DATA.'!K253,'RETAIL SALES DATA.'!L253)</f>
        <v>7</v>
      </c>
      <c r="I254" s="13">
        <v>8</v>
      </c>
      <c r="J254" s="10"/>
      <c r="K254" s="13">
        <v>9</v>
      </c>
      <c r="L254" s="13">
        <v>11</v>
      </c>
      <c r="M254" s="13">
        <v>56</v>
      </c>
      <c r="N254" s="13">
        <v>0</v>
      </c>
      <c r="O254" s="54">
        <f t="shared" si="6"/>
        <v>0.49722222222222223</v>
      </c>
      <c r="P254" s="55">
        <f t="shared" si="7"/>
        <v>0.41388888888888886</v>
      </c>
    </row>
    <row r="255" spans="1:16" x14ac:dyDescent="0.3">
      <c r="A255" s="25">
        <f>YEAR('RETAIL SALES DATA.'!K254)</f>
        <v>2025</v>
      </c>
      <c r="B255" s="13" t="str">
        <v>Jul</v>
      </c>
      <c r="C255" s="42">
        <f>DAY('RETAIL SALES DATA.'!K254)</f>
        <v>11</v>
      </c>
      <c r="D255" s="13">
        <v>2025</v>
      </c>
      <c r="E255" s="13" t="str">
        <v>Jul</v>
      </c>
      <c r="F255" s="13">
        <v>16</v>
      </c>
      <c r="G255" s="10"/>
      <c r="H255" s="13">
        <f>NETWORKDAYS('RETAIL SALES DATA.'!K254,'RETAIL SALES DATA.'!L254)</f>
        <v>4</v>
      </c>
      <c r="I255" s="13">
        <v>5</v>
      </c>
      <c r="J255" s="10"/>
      <c r="K255" s="13">
        <v>19</v>
      </c>
      <c r="L255" s="13">
        <v>9</v>
      </c>
      <c r="M255" s="13">
        <v>32</v>
      </c>
      <c r="N255" s="13">
        <v>0</v>
      </c>
      <c r="O255" s="54">
        <f t="shared" si="6"/>
        <v>0.3972222222222222</v>
      </c>
      <c r="P255" s="55">
        <f t="shared" si="7"/>
        <v>0.81388888888888888</v>
      </c>
    </row>
    <row r="256" spans="1:16" x14ac:dyDescent="0.3">
      <c r="A256" s="25">
        <f>YEAR('RETAIL SALES DATA.'!K255)</f>
        <v>2025</v>
      </c>
      <c r="B256" s="13" t="str">
        <v>Nov</v>
      </c>
      <c r="C256" s="42">
        <f>DAY('RETAIL SALES DATA.'!K255)</f>
        <v>9</v>
      </c>
      <c r="D256" s="13">
        <v>2025</v>
      </c>
      <c r="E256" s="13" t="str">
        <v>Nov</v>
      </c>
      <c r="F256" s="13">
        <v>18</v>
      </c>
      <c r="G256" s="10"/>
      <c r="H256" s="13">
        <f>NETWORKDAYS('RETAIL SALES DATA.'!K255,'RETAIL SALES DATA.'!L255)</f>
        <v>7</v>
      </c>
      <c r="I256" s="13">
        <v>9</v>
      </c>
      <c r="J256" s="10"/>
      <c r="K256" s="13">
        <v>21</v>
      </c>
      <c r="L256" s="13">
        <v>9</v>
      </c>
      <c r="M256" s="13">
        <v>41</v>
      </c>
      <c r="N256" s="13">
        <v>0</v>
      </c>
      <c r="O256" s="54">
        <f t="shared" si="6"/>
        <v>0.40347222222222223</v>
      </c>
      <c r="P256" s="55">
        <f t="shared" si="7"/>
        <v>0.90347222222222223</v>
      </c>
    </row>
    <row r="257" spans="1:16" x14ac:dyDescent="0.3">
      <c r="A257" s="25">
        <f>YEAR('RETAIL SALES DATA.'!K256)</f>
        <v>2024</v>
      </c>
      <c r="B257" s="13" t="str">
        <v>Jun</v>
      </c>
      <c r="C257" s="42">
        <f>DAY('RETAIL SALES DATA.'!K256)</f>
        <v>30</v>
      </c>
      <c r="D257" s="13">
        <v>2024</v>
      </c>
      <c r="E257" s="13" t="str">
        <v>Jul</v>
      </c>
      <c r="F257" s="13">
        <v>2</v>
      </c>
      <c r="G257" s="10"/>
      <c r="H257" s="13">
        <f>NETWORKDAYS('RETAIL SALES DATA.'!K256,'RETAIL SALES DATA.'!L256)</f>
        <v>2</v>
      </c>
      <c r="I257" s="13">
        <v>2</v>
      </c>
      <c r="J257" s="10"/>
      <c r="K257" s="13">
        <v>12</v>
      </c>
      <c r="L257" s="13">
        <v>9</v>
      </c>
      <c r="M257" s="13">
        <v>29</v>
      </c>
      <c r="N257" s="13">
        <v>0</v>
      </c>
      <c r="O257" s="54">
        <f t="shared" si="6"/>
        <v>0.39513888888888887</v>
      </c>
      <c r="P257" s="55">
        <f t="shared" si="7"/>
        <v>0.52013888888888893</v>
      </c>
    </row>
    <row r="258" spans="1:16" x14ac:dyDescent="0.3">
      <c r="A258" s="25">
        <f>YEAR('RETAIL SALES DATA.'!K257)</f>
        <v>2024</v>
      </c>
      <c r="B258" s="13" t="str">
        <v>Jul</v>
      </c>
      <c r="C258" s="42">
        <f>DAY('RETAIL SALES DATA.'!K257)</f>
        <v>12</v>
      </c>
      <c r="D258" s="13">
        <v>2024</v>
      </c>
      <c r="E258" s="13" t="str">
        <v>Jul</v>
      </c>
      <c r="F258" s="13">
        <v>15</v>
      </c>
      <c r="G258" s="10"/>
      <c r="H258" s="13">
        <f>NETWORKDAYS('RETAIL SALES DATA.'!K257,'RETAIL SALES DATA.'!L257)</f>
        <v>2</v>
      </c>
      <c r="I258" s="13">
        <v>3</v>
      </c>
      <c r="J258" s="10"/>
      <c r="K258" s="13">
        <v>19</v>
      </c>
      <c r="L258" s="13">
        <v>11</v>
      </c>
      <c r="M258" s="13">
        <v>52</v>
      </c>
      <c r="N258" s="13">
        <v>0</v>
      </c>
      <c r="O258" s="54">
        <f t="shared" si="6"/>
        <v>0.49444444444444446</v>
      </c>
      <c r="P258" s="55">
        <f t="shared" si="7"/>
        <v>0.82777777777777772</v>
      </c>
    </row>
    <row r="259" spans="1:16" x14ac:dyDescent="0.3">
      <c r="A259" s="25">
        <f>YEAR('RETAIL SALES DATA.'!K258)</f>
        <v>2024</v>
      </c>
      <c r="B259" s="13" t="str">
        <v>Jun</v>
      </c>
      <c r="C259" s="42">
        <f>DAY('RETAIL SALES DATA.'!K258)</f>
        <v>1</v>
      </c>
      <c r="D259" s="13">
        <v>2024</v>
      </c>
      <c r="E259" s="13" t="str">
        <v>Jun</v>
      </c>
      <c r="F259" s="13">
        <v>3</v>
      </c>
      <c r="G259" s="10"/>
      <c r="H259" s="13">
        <f>NETWORKDAYS('RETAIL SALES DATA.'!K258,'RETAIL SALES DATA.'!L258)</f>
        <v>1</v>
      </c>
      <c r="I259" s="13">
        <v>2</v>
      </c>
      <c r="J259" s="10"/>
      <c r="K259" s="13">
        <v>14</v>
      </c>
      <c r="L259" s="13">
        <v>10</v>
      </c>
      <c r="M259" s="13">
        <v>25</v>
      </c>
      <c r="N259" s="13">
        <v>0</v>
      </c>
      <c r="O259" s="54">
        <f t="shared" si="6"/>
        <v>0.43402777777777779</v>
      </c>
      <c r="P259" s="55">
        <f t="shared" si="7"/>
        <v>0.60069444444444442</v>
      </c>
    </row>
    <row r="260" spans="1:16" x14ac:dyDescent="0.3">
      <c r="A260" s="25">
        <f>YEAR('RETAIL SALES DATA.'!K259)</f>
        <v>2025</v>
      </c>
      <c r="B260" s="13" t="str">
        <v>Oct</v>
      </c>
      <c r="C260" s="42">
        <f>DAY('RETAIL SALES DATA.'!K259)</f>
        <v>27</v>
      </c>
      <c r="D260" s="13">
        <v>2025</v>
      </c>
      <c r="E260" s="13" t="str">
        <v>Oct</v>
      </c>
      <c r="F260" s="13">
        <v>29</v>
      </c>
      <c r="G260" s="10"/>
      <c r="H260" s="13">
        <f>NETWORKDAYS('RETAIL SALES DATA.'!K259,'RETAIL SALES DATA.'!L259)</f>
        <v>3</v>
      </c>
      <c r="I260" s="13">
        <v>2</v>
      </c>
      <c r="J260" s="10"/>
      <c r="K260" s="13">
        <v>9</v>
      </c>
      <c r="L260" s="13">
        <v>10</v>
      </c>
      <c r="M260" s="13">
        <v>33</v>
      </c>
      <c r="N260" s="13">
        <v>0</v>
      </c>
      <c r="O260" s="54">
        <f t="shared" ref="O260:O323" si="8">TIME(L260,M260,N260)</f>
        <v>0.43958333333333333</v>
      </c>
      <c r="P260" s="55">
        <f t="shared" ref="P260:P323" si="9">TIME(K260,M260,N260)</f>
        <v>0.39791666666666664</v>
      </c>
    </row>
    <row r="261" spans="1:16" x14ac:dyDescent="0.3">
      <c r="A261" s="25">
        <f>YEAR('RETAIL SALES DATA.'!K260)</f>
        <v>2024</v>
      </c>
      <c r="B261" s="13" t="str">
        <v>Dec</v>
      </c>
      <c r="C261" s="42">
        <f>DAY('RETAIL SALES DATA.'!K260)</f>
        <v>21</v>
      </c>
      <c r="D261" s="13">
        <v>2024</v>
      </c>
      <c r="E261" s="13" t="str">
        <v>Dec</v>
      </c>
      <c r="F261" s="13">
        <v>27</v>
      </c>
      <c r="G261" s="10"/>
      <c r="H261" s="13">
        <f>NETWORKDAYS('RETAIL SALES DATA.'!K260,'RETAIL SALES DATA.'!L260)</f>
        <v>5</v>
      </c>
      <c r="I261" s="13">
        <v>6</v>
      </c>
      <c r="J261" s="10"/>
      <c r="K261" s="13">
        <v>7</v>
      </c>
      <c r="L261" s="13">
        <v>9</v>
      </c>
      <c r="M261" s="13">
        <v>45</v>
      </c>
      <c r="N261" s="13">
        <v>0</v>
      </c>
      <c r="O261" s="54">
        <f t="shared" si="8"/>
        <v>0.40625</v>
      </c>
      <c r="P261" s="55">
        <f t="shared" si="9"/>
        <v>0.32291666666666669</v>
      </c>
    </row>
    <row r="262" spans="1:16" x14ac:dyDescent="0.3">
      <c r="A262" s="25">
        <f>YEAR('RETAIL SALES DATA.'!K261)</f>
        <v>2025</v>
      </c>
      <c r="B262" s="13" t="str">
        <v>Apr</v>
      </c>
      <c r="C262" s="42">
        <f>DAY('RETAIL SALES DATA.'!K261)</f>
        <v>8</v>
      </c>
      <c r="D262" s="13">
        <v>2025</v>
      </c>
      <c r="E262" s="13" t="str">
        <v>Apr</v>
      </c>
      <c r="F262" s="13">
        <v>14</v>
      </c>
      <c r="G262" s="10"/>
      <c r="H262" s="13">
        <f>NETWORKDAYS('RETAIL SALES DATA.'!K261,'RETAIL SALES DATA.'!L261)</f>
        <v>5</v>
      </c>
      <c r="I262" s="13">
        <v>6</v>
      </c>
      <c r="J262" s="10"/>
      <c r="K262" s="13">
        <v>19</v>
      </c>
      <c r="L262" s="13">
        <v>10</v>
      </c>
      <c r="M262" s="13">
        <v>29</v>
      </c>
      <c r="N262" s="13">
        <v>0</v>
      </c>
      <c r="O262" s="54">
        <f t="shared" si="8"/>
        <v>0.43680555555555556</v>
      </c>
      <c r="P262" s="55">
        <f t="shared" si="9"/>
        <v>0.81180555555555556</v>
      </c>
    </row>
    <row r="263" spans="1:16" x14ac:dyDescent="0.3">
      <c r="A263" s="25">
        <f>YEAR('RETAIL SALES DATA.'!K262)</f>
        <v>2026</v>
      </c>
      <c r="B263" s="13" t="str">
        <v>May</v>
      </c>
      <c r="C263" s="42">
        <f>DAY('RETAIL SALES DATA.'!K262)</f>
        <v>9</v>
      </c>
      <c r="D263" s="13">
        <v>2026</v>
      </c>
      <c r="E263" s="13" t="str">
        <v>May</v>
      </c>
      <c r="F263" s="13">
        <v>14</v>
      </c>
      <c r="G263" s="10"/>
      <c r="H263" s="13">
        <f>NETWORKDAYS('RETAIL SALES DATA.'!K262,'RETAIL SALES DATA.'!L262)</f>
        <v>4</v>
      </c>
      <c r="I263" s="13">
        <v>5</v>
      </c>
      <c r="J263" s="10"/>
      <c r="K263" s="13">
        <v>19</v>
      </c>
      <c r="L263" s="13">
        <v>10</v>
      </c>
      <c r="M263" s="13">
        <v>39</v>
      </c>
      <c r="N263" s="13">
        <v>0</v>
      </c>
      <c r="O263" s="54">
        <f t="shared" si="8"/>
        <v>0.44374999999999998</v>
      </c>
      <c r="P263" s="55">
        <f t="shared" si="9"/>
        <v>0.81874999999999998</v>
      </c>
    </row>
    <row r="264" spans="1:16" x14ac:dyDescent="0.3">
      <c r="A264" s="25">
        <f>YEAR('RETAIL SALES DATA.'!K263)</f>
        <v>2025</v>
      </c>
      <c r="B264" s="13" t="str">
        <v>Aug</v>
      </c>
      <c r="C264" s="42">
        <f>DAY('RETAIL SALES DATA.'!K263)</f>
        <v>22</v>
      </c>
      <c r="D264" s="13">
        <v>2025</v>
      </c>
      <c r="E264" s="13" t="str">
        <v>Aug</v>
      </c>
      <c r="F264" s="13">
        <v>24</v>
      </c>
      <c r="G264" s="10"/>
      <c r="H264" s="13">
        <f>NETWORKDAYS('RETAIL SALES DATA.'!K263,'RETAIL SALES DATA.'!L263)</f>
        <v>1</v>
      </c>
      <c r="I264" s="13">
        <v>2</v>
      </c>
      <c r="J264" s="10"/>
      <c r="K264" s="13">
        <v>0</v>
      </c>
      <c r="L264" s="13">
        <v>10</v>
      </c>
      <c r="M264" s="13">
        <v>30</v>
      </c>
      <c r="N264" s="13">
        <v>0</v>
      </c>
      <c r="O264" s="54">
        <f t="shared" si="8"/>
        <v>0.4375</v>
      </c>
      <c r="P264" s="55">
        <f t="shared" si="9"/>
        <v>2.0833333333333332E-2</v>
      </c>
    </row>
    <row r="265" spans="1:16" x14ac:dyDescent="0.3">
      <c r="A265" s="25">
        <f>YEAR('RETAIL SALES DATA.'!K264)</f>
        <v>2026</v>
      </c>
      <c r="B265" s="13" t="str">
        <v>Apr</v>
      </c>
      <c r="C265" s="42">
        <f>DAY('RETAIL SALES DATA.'!K264)</f>
        <v>9</v>
      </c>
      <c r="D265" s="13">
        <v>2026</v>
      </c>
      <c r="E265" s="13" t="str">
        <v>Apr</v>
      </c>
      <c r="F265" s="13">
        <v>18</v>
      </c>
      <c r="G265" s="10"/>
      <c r="H265" s="13">
        <f>NETWORKDAYS('RETAIL SALES DATA.'!K264,'RETAIL SALES DATA.'!L264)</f>
        <v>7</v>
      </c>
      <c r="I265" s="13">
        <v>9</v>
      </c>
      <c r="J265" s="10"/>
      <c r="K265" s="13">
        <v>21</v>
      </c>
      <c r="L265" s="13">
        <v>9</v>
      </c>
      <c r="M265" s="13">
        <v>44</v>
      </c>
      <c r="N265" s="13">
        <v>0</v>
      </c>
      <c r="O265" s="54">
        <f t="shared" si="8"/>
        <v>0.40555555555555556</v>
      </c>
      <c r="P265" s="55">
        <f t="shared" si="9"/>
        <v>0.90555555555555556</v>
      </c>
    </row>
    <row r="266" spans="1:16" x14ac:dyDescent="0.3">
      <c r="A266" s="25">
        <f>YEAR('RETAIL SALES DATA.'!K265)</f>
        <v>2025</v>
      </c>
      <c r="B266" s="13" t="str">
        <v>Sep</v>
      </c>
      <c r="C266" s="42">
        <f>DAY('RETAIL SALES DATA.'!K265)</f>
        <v>8</v>
      </c>
      <c r="D266" s="13">
        <v>2025</v>
      </c>
      <c r="E266" s="13" t="str">
        <v>Sep</v>
      </c>
      <c r="F266" s="13">
        <v>18</v>
      </c>
      <c r="G266" s="10"/>
      <c r="H266" s="13">
        <f>NETWORKDAYS('RETAIL SALES DATA.'!K265,'RETAIL SALES DATA.'!L265)</f>
        <v>9</v>
      </c>
      <c r="I266" s="13">
        <v>10</v>
      </c>
      <c r="J266" s="10"/>
      <c r="K266" s="13">
        <v>21</v>
      </c>
      <c r="L266" s="13">
        <v>9</v>
      </c>
      <c r="M266" s="13">
        <v>34</v>
      </c>
      <c r="N266" s="13">
        <v>0</v>
      </c>
      <c r="O266" s="54">
        <f t="shared" si="8"/>
        <v>0.39861111111111114</v>
      </c>
      <c r="P266" s="55">
        <f t="shared" si="9"/>
        <v>0.89861111111111114</v>
      </c>
    </row>
    <row r="267" spans="1:16" x14ac:dyDescent="0.3">
      <c r="A267" s="25">
        <f>YEAR('RETAIL SALES DATA.'!K266)</f>
        <v>2025</v>
      </c>
      <c r="B267" s="13" t="str">
        <v>May</v>
      </c>
      <c r="C267" s="42">
        <f>DAY('RETAIL SALES DATA.'!K266)</f>
        <v>21</v>
      </c>
      <c r="D267" s="13">
        <v>2025</v>
      </c>
      <c r="E267" s="13" t="str">
        <v>May</v>
      </c>
      <c r="F267" s="13">
        <v>24</v>
      </c>
      <c r="G267" s="10"/>
      <c r="H267" s="13">
        <f>NETWORKDAYS('RETAIL SALES DATA.'!K266,'RETAIL SALES DATA.'!L266)</f>
        <v>3</v>
      </c>
      <c r="I267" s="13">
        <v>3</v>
      </c>
      <c r="J267" s="10"/>
      <c r="K267" s="13">
        <v>12</v>
      </c>
      <c r="L267" s="13">
        <v>9</v>
      </c>
      <c r="M267" s="13">
        <v>23</v>
      </c>
      <c r="N267" s="13">
        <v>0</v>
      </c>
      <c r="O267" s="54">
        <f t="shared" si="8"/>
        <v>0.39097222222222222</v>
      </c>
      <c r="P267" s="55">
        <f t="shared" si="9"/>
        <v>0.51597222222222228</v>
      </c>
    </row>
    <row r="268" spans="1:16" x14ac:dyDescent="0.3">
      <c r="A268" s="25">
        <f>YEAR('RETAIL SALES DATA.'!K267)</f>
        <v>2025</v>
      </c>
      <c r="B268" s="13" t="str">
        <v>Oct</v>
      </c>
      <c r="C268" s="42">
        <f>DAY('RETAIL SALES DATA.'!K267)</f>
        <v>5</v>
      </c>
      <c r="D268" s="13">
        <v>2025</v>
      </c>
      <c r="E268" s="13" t="str">
        <v>Oct</v>
      </c>
      <c r="F268" s="13">
        <v>8</v>
      </c>
      <c r="G268" s="10"/>
      <c r="H268" s="13">
        <f>NETWORKDAYS('RETAIL SALES DATA.'!K267,'RETAIL SALES DATA.'!L267)</f>
        <v>3</v>
      </c>
      <c r="I268" s="13">
        <v>3</v>
      </c>
      <c r="J268" s="10"/>
      <c r="K268" s="13">
        <v>19</v>
      </c>
      <c r="L268" s="13">
        <v>9</v>
      </c>
      <c r="M268" s="13">
        <v>19</v>
      </c>
      <c r="N268" s="13">
        <v>0</v>
      </c>
      <c r="O268" s="54">
        <f t="shared" si="8"/>
        <v>0.38819444444444445</v>
      </c>
      <c r="P268" s="55">
        <f t="shared" si="9"/>
        <v>0.80486111111111114</v>
      </c>
    </row>
    <row r="269" spans="1:16" x14ac:dyDescent="0.3">
      <c r="A269" s="25">
        <f>YEAR('RETAIL SALES DATA.'!K268)</f>
        <v>2026</v>
      </c>
      <c r="B269" s="13" t="str">
        <v>Feb</v>
      </c>
      <c r="C269" s="42">
        <f>DAY('RETAIL SALES DATA.'!K268)</f>
        <v>19</v>
      </c>
      <c r="D269" s="13">
        <v>2026</v>
      </c>
      <c r="E269" s="13" t="str">
        <v>Feb</v>
      </c>
      <c r="F269" s="13">
        <v>23</v>
      </c>
      <c r="G269" s="10"/>
      <c r="H269" s="13">
        <f>NETWORKDAYS('RETAIL SALES DATA.'!K268,'RETAIL SALES DATA.'!L268)</f>
        <v>3</v>
      </c>
      <c r="I269" s="13">
        <v>4</v>
      </c>
      <c r="J269" s="10"/>
      <c r="K269" s="13">
        <v>16</v>
      </c>
      <c r="L269" s="13">
        <v>8</v>
      </c>
      <c r="M269" s="13">
        <v>3</v>
      </c>
      <c r="N269" s="13">
        <v>0</v>
      </c>
      <c r="O269" s="54">
        <f t="shared" si="8"/>
        <v>0.33541666666666664</v>
      </c>
      <c r="P269" s="55">
        <f t="shared" si="9"/>
        <v>0.66874999999999996</v>
      </c>
    </row>
    <row r="270" spans="1:16" x14ac:dyDescent="0.3">
      <c r="A270" s="25">
        <f>YEAR('RETAIL SALES DATA.'!K269)</f>
        <v>2024</v>
      </c>
      <c r="B270" s="13" t="str">
        <v>Nov</v>
      </c>
      <c r="C270" s="42">
        <f>DAY('RETAIL SALES DATA.'!K269)</f>
        <v>27</v>
      </c>
      <c r="D270" s="13">
        <v>2024</v>
      </c>
      <c r="E270" s="13" t="str">
        <v>Dec</v>
      </c>
      <c r="F270" s="13">
        <v>1</v>
      </c>
      <c r="G270" s="10"/>
      <c r="H270" s="13">
        <f>NETWORKDAYS('RETAIL SALES DATA.'!K269,'RETAIL SALES DATA.'!L269)</f>
        <v>3</v>
      </c>
      <c r="I270" s="13">
        <v>4</v>
      </c>
      <c r="J270" s="10"/>
      <c r="K270" s="13">
        <v>12</v>
      </c>
      <c r="L270" s="13">
        <v>11</v>
      </c>
      <c r="M270" s="13">
        <v>23</v>
      </c>
      <c r="N270" s="13">
        <v>0</v>
      </c>
      <c r="O270" s="54">
        <f t="shared" si="8"/>
        <v>0.47430555555555554</v>
      </c>
      <c r="P270" s="55">
        <f t="shared" si="9"/>
        <v>0.51597222222222228</v>
      </c>
    </row>
    <row r="271" spans="1:16" x14ac:dyDescent="0.3">
      <c r="A271" s="25">
        <f>YEAR('RETAIL SALES DATA.'!K270)</f>
        <v>2025</v>
      </c>
      <c r="B271" s="13" t="str">
        <v>May</v>
      </c>
      <c r="C271" s="42">
        <f>DAY('RETAIL SALES DATA.'!K270)</f>
        <v>5</v>
      </c>
      <c r="D271" s="13">
        <v>2025</v>
      </c>
      <c r="E271" s="13" t="str">
        <v>May</v>
      </c>
      <c r="F271" s="13">
        <v>10</v>
      </c>
      <c r="G271" s="10"/>
      <c r="H271" s="13">
        <f>NETWORKDAYS('RETAIL SALES DATA.'!K270,'RETAIL SALES DATA.'!L270)</f>
        <v>5</v>
      </c>
      <c r="I271" s="13">
        <v>5</v>
      </c>
      <c r="J271" s="10"/>
      <c r="K271" s="13">
        <v>7</v>
      </c>
      <c r="L271" s="13">
        <v>10</v>
      </c>
      <c r="M271" s="13">
        <v>15</v>
      </c>
      <c r="N271" s="13">
        <v>0</v>
      </c>
      <c r="O271" s="54">
        <f t="shared" si="8"/>
        <v>0.42708333333333331</v>
      </c>
      <c r="P271" s="55">
        <f t="shared" si="9"/>
        <v>0.30208333333333331</v>
      </c>
    </row>
    <row r="272" spans="1:16" x14ac:dyDescent="0.3">
      <c r="A272" s="25">
        <f>YEAR('RETAIL SALES DATA.'!K271)</f>
        <v>2025</v>
      </c>
      <c r="B272" s="13" t="str">
        <v>Sep</v>
      </c>
      <c r="C272" s="42">
        <f>DAY('RETAIL SALES DATA.'!K271)</f>
        <v>12</v>
      </c>
      <c r="D272" s="13">
        <v>2025</v>
      </c>
      <c r="E272" s="13" t="str">
        <v>Sep</v>
      </c>
      <c r="F272" s="13">
        <v>20</v>
      </c>
      <c r="G272" s="10"/>
      <c r="H272" s="13">
        <f>NETWORKDAYS('RETAIL SALES DATA.'!K271,'RETAIL SALES DATA.'!L271)</f>
        <v>6</v>
      </c>
      <c r="I272" s="13">
        <v>8</v>
      </c>
      <c r="J272" s="10"/>
      <c r="K272" s="13">
        <v>21</v>
      </c>
      <c r="L272" s="13">
        <v>11</v>
      </c>
      <c r="M272" s="13">
        <v>2</v>
      </c>
      <c r="N272" s="13">
        <v>0</v>
      </c>
      <c r="O272" s="54">
        <f t="shared" si="8"/>
        <v>0.4597222222222222</v>
      </c>
      <c r="P272" s="55">
        <f t="shared" si="9"/>
        <v>0.87638888888888888</v>
      </c>
    </row>
    <row r="273" spans="1:16" x14ac:dyDescent="0.3">
      <c r="A273" s="25">
        <f>YEAR('RETAIL SALES DATA.'!K272)</f>
        <v>2024</v>
      </c>
      <c r="B273" s="13" t="str">
        <v>Jun</v>
      </c>
      <c r="C273" s="42">
        <f>DAY('RETAIL SALES DATA.'!K272)</f>
        <v>26</v>
      </c>
      <c r="D273" s="13">
        <v>2024</v>
      </c>
      <c r="E273" s="13" t="str">
        <v>Jul</v>
      </c>
      <c r="F273" s="13">
        <v>3</v>
      </c>
      <c r="G273" s="10"/>
      <c r="H273" s="13">
        <f>NETWORKDAYS('RETAIL SALES DATA.'!K272,'RETAIL SALES DATA.'!L272)</f>
        <v>6</v>
      </c>
      <c r="I273" s="13">
        <v>7</v>
      </c>
      <c r="J273" s="10"/>
      <c r="K273" s="13">
        <v>0</v>
      </c>
      <c r="L273" s="13">
        <v>9</v>
      </c>
      <c r="M273" s="13">
        <v>23</v>
      </c>
      <c r="N273" s="13">
        <v>0</v>
      </c>
      <c r="O273" s="54">
        <f t="shared" si="8"/>
        <v>0.39097222222222222</v>
      </c>
      <c r="P273" s="55">
        <f t="shared" si="9"/>
        <v>1.5972222222222221E-2</v>
      </c>
    </row>
    <row r="274" spans="1:16" x14ac:dyDescent="0.3">
      <c r="A274" s="25">
        <f>YEAR('RETAIL SALES DATA.'!K273)</f>
        <v>2025</v>
      </c>
      <c r="B274" s="13" t="str">
        <v>Oct</v>
      </c>
      <c r="C274" s="42">
        <f>DAY('RETAIL SALES DATA.'!K273)</f>
        <v>8</v>
      </c>
      <c r="D274" s="13">
        <v>2025</v>
      </c>
      <c r="E274" s="13" t="str">
        <v>Oct</v>
      </c>
      <c r="F274" s="13">
        <v>17</v>
      </c>
      <c r="G274" s="10"/>
      <c r="H274" s="13">
        <f>NETWORKDAYS('RETAIL SALES DATA.'!K273,'RETAIL SALES DATA.'!L273)</f>
        <v>8</v>
      </c>
      <c r="I274" s="13">
        <v>9</v>
      </c>
      <c r="J274" s="10"/>
      <c r="K274" s="13">
        <v>14</v>
      </c>
      <c r="L274" s="13">
        <v>11</v>
      </c>
      <c r="M274" s="13">
        <v>54</v>
      </c>
      <c r="N274" s="13">
        <v>0</v>
      </c>
      <c r="O274" s="54">
        <f t="shared" si="8"/>
        <v>0.49583333333333335</v>
      </c>
      <c r="P274" s="55">
        <f t="shared" si="9"/>
        <v>0.62083333333333335</v>
      </c>
    </row>
    <row r="275" spans="1:16" x14ac:dyDescent="0.3">
      <c r="A275" s="25">
        <f>YEAR('RETAIL SALES DATA.'!K274)</f>
        <v>2024</v>
      </c>
      <c r="B275" s="13" t="str">
        <v>Nov</v>
      </c>
      <c r="C275" s="42">
        <f>DAY('RETAIL SALES DATA.'!K274)</f>
        <v>29</v>
      </c>
      <c r="D275" s="13">
        <v>2024</v>
      </c>
      <c r="E275" s="13" t="str">
        <v>Nov</v>
      </c>
      <c r="F275" s="13">
        <v>30</v>
      </c>
      <c r="G275" s="10"/>
      <c r="H275" s="13">
        <f>NETWORKDAYS('RETAIL SALES DATA.'!K274,'RETAIL SALES DATA.'!L274)</f>
        <v>1</v>
      </c>
      <c r="I275" s="13">
        <v>1</v>
      </c>
      <c r="J275" s="10"/>
      <c r="K275" s="13">
        <v>12</v>
      </c>
      <c r="L275" s="13">
        <v>9</v>
      </c>
      <c r="M275" s="13">
        <v>43</v>
      </c>
      <c r="N275" s="13">
        <v>0</v>
      </c>
      <c r="O275" s="54">
        <f t="shared" si="8"/>
        <v>0.40486111111111112</v>
      </c>
      <c r="P275" s="55">
        <f t="shared" si="9"/>
        <v>0.52986111111111112</v>
      </c>
    </row>
    <row r="276" spans="1:16" x14ac:dyDescent="0.3">
      <c r="A276" s="25">
        <f>YEAR('RETAIL SALES DATA.'!K275)</f>
        <v>2026</v>
      </c>
      <c r="B276" s="13" t="str">
        <v>Apr</v>
      </c>
      <c r="C276" s="42">
        <f>DAY('RETAIL SALES DATA.'!K275)</f>
        <v>4</v>
      </c>
      <c r="D276" s="13">
        <v>2026</v>
      </c>
      <c r="E276" s="13" t="str">
        <v>Apr</v>
      </c>
      <c r="F276" s="13">
        <v>9</v>
      </c>
      <c r="G276" s="10"/>
      <c r="H276" s="13">
        <f>NETWORKDAYS('RETAIL SALES DATA.'!K275,'RETAIL SALES DATA.'!L275)</f>
        <v>4</v>
      </c>
      <c r="I276" s="13">
        <v>5</v>
      </c>
      <c r="J276" s="10"/>
      <c r="K276" s="13">
        <v>19</v>
      </c>
      <c r="L276" s="13">
        <v>9</v>
      </c>
      <c r="M276" s="13">
        <v>12</v>
      </c>
      <c r="N276" s="13">
        <v>0</v>
      </c>
      <c r="O276" s="54">
        <f t="shared" si="8"/>
        <v>0.38333333333333336</v>
      </c>
      <c r="P276" s="55">
        <f t="shared" si="9"/>
        <v>0.8</v>
      </c>
    </row>
    <row r="277" spans="1:16" x14ac:dyDescent="0.3">
      <c r="A277" s="25">
        <f>YEAR('RETAIL SALES DATA.'!K276)</f>
        <v>2026</v>
      </c>
      <c r="B277" s="13" t="str">
        <v>Apr</v>
      </c>
      <c r="C277" s="42">
        <f>DAY('RETAIL SALES DATA.'!K276)</f>
        <v>22</v>
      </c>
      <c r="D277" s="13">
        <v>2026</v>
      </c>
      <c r="E277" s="13" t="str">
        <v>Apr</v>
      </c>
      <c r="F277" s="13">
        <v>29</v>
      </c>
      <c r="G277" s="10"/>
      <c r="H277" s="13">
        <f>NETWORKDAYS('RETAIL SALES DATA.'!K276,'RETAIL SALES DATA.'!L276)</f>
        <v>6</v>
      </c>
      <c r="I277" s="13">
        <v>7</v>
      </c>
      <c r="J277" s="10"/>
      <c r="K277" s="13">
        <v>19</v>
      </c>
      <c r="L277" s="13">
        <v>10</v>
      </c>
      <c r="M277" s="13">
        <v>26</v>
      </c>
      <c r="N277" s="13">
        <v>0</v>
      </c>
      <c r="O277" s="54">
        <f t="shared" si="8"/>
        <v>0.43472222222222223</v>
      </c>
      <c r="P277" s="55">
        <f t="shared" si="9"/>
        <v>0.80972222222222223</v>
      </c>
    </row>
    <row r="278" spans="1:16" x14ac:dyDescent="0.3">
      <c r="A278" s="25">
        <f>YEAR('RETAIL SALES DATA.'!K277)</f>
        <v>2025</v>
      </c>
      <c r="B278" s="13" t="str">
        <v>Mar</v>
      </c>
      <c r="C278" s="42">
        <f>DAY('RETAIL SALES DATA.'!K277)</f>
        <v>3</v>
      </c>
      <c r="D278" s="13">
        <v>2025</v>
      </c>
      <c r="E278" s="13" t="str">
        <v>Mar</v>
      </c>
      <c r="F278" s="13">
        <v>6</v>
      </c>
      <c r="G278" s="10"/>
      <c r="H278" s="13">
        <f>NETWORKDAYS('RETAIL SALES DATA.'!K277,'RETAIL SALES DATA.'!L277)</f>
        <v>4</v>
      </c>
      <c r="I278" s="13">
        <v>3</v>
      </c>
      <c r="J278" s="10"/>
      <c r="K278" s="13">
        <v>16</v>
      </c>
      <c r="L278" s="13">
        <v>10</v>
      </c>
      <c r="M278" s="13">
        <v>16</v>
      </c>
      <c r="N278" s="13">
        <v>0</v>
      </c>
      <c r="O278" s="54">
        <f t="shared" si="8"/>
        <v>0.42777777777777776</v>
      </c>
      <c r="P278" s="55">
        <f t="shared" si="9"/>
        <v>0.67777777777777781</v>
      </c>
    </row>
    <row r="279" spans="1:16" x14ac:dyDescent="0.3">
      <c r="A279" s="25">
        <f>YEAR('RETAIL SALES DATA.'!K278)</f>
        <v>2025</v>
      </c>
      <c r="B279" s="13" t="str">
        <v>Nov</v>
      </c>
      <c r="C279" s="42">
        <f>DAY('RETAIL SALES DATA.'!K278)</f>
        <v>20</v>
      </c>
      <c r="D279" s="13">
        <v>2025</v>
      </c>
      <c r="E279" s="13" t="str">
        <v>Nov</v>
      </c>
      <c r="F279" s="13">
        <v>21</v>
      </c>
      <c r="G279" s="10"/>
      <c r="H279" s="13">
        <f>NETWORKDAYS('RETAIL SALES DATA.'!K278,'RETAIL SALES DATA.'!L278)</f>
        <v>2</v>
      </c>
      <c r="I279" s="13">
        <v>1</v>
      </c>
      <c r="J279" s="10"/>
      <c r="K279" s="13">
        <v>9</v>
      </c>
      <c r="L279" s="13">
        <v>11</v>
      </c>
      <c r="M279" s="13">
        <v>47</v>
      </c>
      <c r="N279" s="13">
        <v>0</v>
      </c>
      <c r="O279" s="54">
        <f t="shared" si="8"/>
        <v>0.4909722222222222</v>
      </c>
      <c r="P279" s="55">
        <f t="shared" si="9"/>
        <v>0.40763888888888888</v>
      </c>
    </row>
    <row r="280" spans="1:16" x14ac:dyDescent="0.3">
      <c r="A280" s="25">
        <f>YEAR('RETAIL SALES DATA.'!K279)</f>
        <v>2025</v>
      </c>
      <c r="B280" s="13" t="str">
        <v>Dec</v>
      </c>
      <c r="C280" s="42">
        <f>DAY('RETAIL SALES DATA.'!K279)</f>
        <v>7</v>
      </c>
      <c r="D280" s="13">
        <v>2025</v>
      </c>
      <c r="E280" s="13" t="str">
        <v>Dec</v>
      </c>
      <c r="F280" s="13">
        <v>15</v>
      </c>
      <c r="G280" s="10"/>
      <c r="H280" s="13">
        <f>NETWORKDAYS('RETAIL SALES DATA.'!K279,'RETAIL SALES DATA.'!L279)</f>
        <v>6</v>
      </c>
      <c r="I280" s="13">
        <v>8</v>
      </c>
      <c r="J280" s="10"/>
      <c r="K280" s="13">
        <v>4</v>
      </c>
      <c r="L280" s="13">
        <v>11</v>
      </c>
      <c r="M280" s="13">
        <v>2</v>
      </c>
      <c r="N280" s="13">
        <v>0</v>
      </c>
      <c r="O280" s="54">
        <f t="shared" si="8"/>
        <v>0.4597222222222222</v>
      </c>
      <c r="P280" s="55">
        <f t="shared" si="9"/>
        <v>0.16805555555555557</v>
      </c>
    </row>
    <row r="281" spans="1:16" x14ac:dyDescent="0.3">
      <c r="A281" s="25">
        <f>YEAR('RETAIL SALES DATA.'!K280)</f>
        <v>2024</v>
      </c>
      <c r="B281" s="13" t="str">
        <v>Sep</v>
      </c>
      <c r="C281" s="42">
        <f>DAY('RETAIL SALES DATA.'!K280)</f>
        <v>22</v>
      </c>
      <c r="D281" s="13">
        <v>2024</v>
      </c>
      <c r="E281" s="13" t="str">
        <v>Oct</v>
      </c>
      <c r="F281" s="13">
        <v>1</v>
      </c>
      <c r="G281" s="10"/>
      <c r="H281" s="13">
        <f>NETWORKDAYS('RETAIL SALES DATA.'!K280,'RETAIL SALES DATA.'!L280)</f>
        <v>7</v>
      </c>
      <c r="I281" s="13">
        <v>9</v>
      </c>
      <c r="J281" s="10"/>
      <c r="K281" s="13">
        <v>9</v>
      </c>
      <c r="L281" s="13">
        <v>9</v>
      </c>
      <c r="M281" s="13">
        <v>40</v>
      </c>
      <c r="N281" s="13">
        <v>0</v>
      </c>
      <c r="O281" s="54">
        <f t="shared" si="8"/>
        <v>0.40277777777777779</v>
      </c>
      <c r="P281" s="55">
        <f t="shared" si="9"/>
        <v>0.40277777777777779</v>
      </c>
    </row>
    <row r="282" spans="1:16" x14ac:dyDescent="0.3">
      <c r="A282" s="25">
        <f>YEAR('RETAIL SALES DATA.'!K281)</f>
        <v>2025</v>
      </c>
      <c r="B282" s="13" t="str">
        <v>Sep</v>
      </c>
      <c r="C282" s="42">
        <f>DAY('RETAIL SALES DATA.'!K281)</f>
        <v>14</v>
      </c>
      <c r="D282" s="13">
        <v>2025</v>
      </c>
      <c r="E282" s="13" t="str">
        <v>Sep</v>
      </c>
      <c r="F282" s="13">
        <v>22</v>
      </c>
      <c r="G282" s="10"/>
      <c r="H282" s="13">
        <f>NETWORKDAYS('RETAIL SALES DATA.'!K281,'RETAIL SALES DATA.'!L281)</f>
        <v>6</v>
      </c>
      <c r="I282" s="13">
        <v>8</v>
      </c>
      <c r="J282" s="10"/>
      <c r="K282" s="13">
        <v>2</v>
      </c>
      <c r="L282" s="13">
        <v>9</v>
      </c>
      <c r="M282" s="13">
        <v>50</v>
      </c>
      <c r="N282" s="13">
        <v>0</v>
      </c>
      <c r="O282" s="54">
        <f t="shared" si="8"/>
        <v>0.40972222222222221</v>
      </c>
      <c r="P282" s="55">
        <f t="shared" si="9"/>
        <v>0.11805555555555555</v>
      </c>
    </row>
    <row r="283" spans="1:16" x14ac:dyDescent="0.3">
      <c r="A283" s="25">
        <f>YEAR('RETAIL SALES DATA.'!K282)</f>
        <v>2025</v>
      </c>
      <c r="B283" s="13" t="str">
        <v>Mar</v>
      </c>
      <c r="C283" s="42">
        <f>DAY('RETAIL SALES DATA.'!K282)</f>
        <v>5</v>
      </c>
      <c r="D283" s="13">
        <v>2025</v>
      </c>
      <c r="E283" s="13" t="str">
        <v>Mar</v>
      </c>
      <c r="F283" s="13">
        <v>15</v>
      </c>
      <c r="G283" s="10"/>
      <c r="H283" s="13">
        <f>NETWORKDAYS('RETAIL SALES DATA.'!K282,'RETAIL SALES DATA.'!L282)</f>
        <v>8</v>
      </c>
      <c r="I283" s="13">
        <v>10</v>
      </c>
      <c r="J283" s="10"/>
      <c r="K283" s="13">
        <v>9</v>
      </c>
      <c r="L283" s="13">
        <v>8</v>
      </c>
      <c r="M283" s="13">
        <v>55</v>
      </c>
      <c r="N283" s="13">
        <v>0</v>
      </c>
      <c r="O283" s="54">
        <f t="shared" si="8"/>
        <v>0.37152777777777779</v>
      </c>
      <c r="P283" s="55">
        <f t="shared" si="9"/>
        <v>0.41319444444444442</v>
      </c>
    </row>
    <row r="284" spans="1:16" x14ac:dyDescent="0.3">
      <c r="A284" s="25">
        <f>YEAR('RETAIL SALES DATA.'!K283)</f>
        <v>2025</v>
      </c>
      <c r="B284" s="13" t="str">
        <v>Aug</v>
      </c>
      <c r="C284" s="42">
        <f>DAY('RETAIL SALES DATA.'!K283)</f>
        <v>11</v>
      </c>
      <c r="D284" s="13">
        <v>2025</v>
      </c>
      <c r="E284" s="13" t="str">
        <v>Aug</v>
      </c>
      <c r="F284" s="13">
        <v>15</v>
      </c>
      <c r="G284" s="10"/>
      <c r="H284" s="13">
        <f>NETWORKDAYS('RETAIL SALES DATA.'!K283,'RETAIL SALES DATA.'!L283)</f>
        <v>5</v>
      </c>
      <c r="I284" s="13">
        <v>4</v>
      </c>
      <c r="J284" s="10"/>
      <c r="K284" s="13">
        <v>12</v>
      </c>
      <c r="L284" s="13">
        <v>8</v>
      </c>
      <c r="M284" s="13">
        <v>24</v>
      </c>
      <c r="N284" s="13">
        <v>0</v>
      </c>
      <c r="O284" s="54">
        <f t="shared" si="8"/>
        <v>0.35</v>
      </c>
      <c r="P284" s="55">
        <f t="shared" si="9"/>
        <v>0.51666666666666672</v>
      </c>
    </row>
    <row r="285" spans="1:16" x14ac:dyDescent="0.3">
      <c r="A285" s="25">
        <f>YEAR('RETAIL SALES DATA.'!K284)</f>
        <v>2024</v>
      </c>
      <c r="B285" s="13" t="str">
        <v>Oct</v>
      </c>
      <c r="C285" s="42">
        <f>DAY('RETAIL SALES DATA.'!K284)</f>
        <v>21</v>
      </c>
      <c r="D285" s="13">
        <v>2024</v>
      </c>
      <c r="E285" s="13" t="str">
        <v>Oct</v>
      </c>
      <c r="F285" s="13">
        <v>23</v>
      </c>
      <c r="G285" s="10"/>
      <c r="H285" s="13">
        <f>NETWORKDAYS('RETAIL SALES DATA.'!K284,'RETAIL SALES DATA.'!L284)</f>
        <v>3</v>
      </c>
      <c r="I285" s="13">
        <v>2</v>
      </c>
      <c r="J285" s="10"/>
      <c r="K285" s="13">
        <v>0</v>
      </c>
      <c r="L285" s="13">
        <v>9</v>
      </c>
      <c r="M285" s="13">
        <v>52</v>
      </c>
      <c r="N285" s="13">
        <v>0</v>
      </c>
      <c r="O285" s="54">
        <f t="shared" si="8"/>
        <v>0.41111111111111109</v>
      </c>
      <c r="P285" s="55">
        <f t="shared" si="9"/>
        <v>3.6111111111111108E-2</v>
      </c>
    </row>
    <row r="286" spans="1:16" x14ac:dyDescent="0.3">
      <c r="A286" s="25">
        <f>YEAR('RETAIL SALES DATA.'!K285)</f>
        <v>2026</v>
      </c>
      <c r="B286" s="13" t="str">
        <v>Feb</v>
      </c>
      <c r="C286" s="42">
        <f>DAY('RETAIL SALES DATA.'!K285)</f>
        <v>8</v>
      </c>
      <c r="D286" s="13">
        <v>2026</v>
      </c>
      <c r="E286" s="13" t="str">
        <v>Feb</v>
      </c>
      <c r="F286" s="13">
        <v>14</v>
      </c>
      <c r="G286" s="10"/>
      <c r="H286" s="13">
        <f>NETWORKDAYS('RETAIL SALES DATA.'!K285,'RETAIL SALES DATA.'!L285)</f>
        <v>5</v>
      </c>
      <c r="I286" s="13">
        <v>6</v>
      </c>
      <c r="J286" s="10"/>
      <c r="K286" s="13">
        <v>2</v>
      </c>
      <c r="L286" s="13">
        <v>9</v>
      </c>
      <c r="M286" s="13">
        <v>18</v>
      </c>
      <c r="N286" s="13">
        <v>0</v>
      </c>
      <c r="O286" s="54">
        <f t="shared" si="8"/>
        <v>0.38750000000000001</v>
      </c>
      <c r="P286" s="55">
        <f t="shared" si="9"/>
        <v>9.583333333333334E-2</v>
      </c>
    </row>
    <row r="287" spans="1:16" x14ac:dyDescent="0.3">
      <c r="A287" s="25">
        <f>YEAR('RETAIL SALES DATA.'!K286)</f>
        <v>2025</v>
      </c>
      <c r="B287" s="13" t="str">
        <v>Jun</v>
      </c>
      <c r="C287" s="42">
        <f>DAY('RETAIL SALES DATA.'!K286)</f>
        <v>3</v>
      </c>
      <c r="D287" s="13">
        <v>2025</v>
      </c>
      <c r="E287" s="13" t="str">
        <v>Jun</v>
      </c>
      <c r="F287" s="13">
        <v>4</v>
      </c>
      <c r="G287" s="10"/>
      <c r="H287" s="13">
        <f>NETWORKDAYS('RETAIL SALES DATA.'!K286,'RETAIL SALES DATA.'!L286)</f>
        <v>2</v>
      </c>
      <c r="I287" s="13">
        <v>1</v>
      </c>
      <c r="J287" s="10"/>
      <c r="K287" s="13">
        <v>7</v>
      </c>
      <c r="L287" s="13">
        <v>11</v>
      </c>
      <c r="M287" s="13">
        <v>15</v>
      </c>
      <c r="N287" s="13">
        <v>0</v>
      </c>
      <c r="O287" s="54">
        <f t="shared" si="8"/>
        <v>0.46875</v>
      </c>
      <c r="P287" s="55">
        <f t="shared" si="9"/>
        <v>0.30208333333333331</v>
      </c>
    </row>
    <row r="288" spans="1:16" x14ac:dyDescent="0.3">
      <c r="A288" s="25">
        <f>YEAR('RETAIL SALES DATA.'!K287)</f>
        <v>2025</v>
      </c>
      <c r="B288" s="13" t="str">
        <v>Aug</v>
      </c>
      <c r="C288" s="42">
        <f>DAY('RETAIL SALES DATA.'!K287)</f>
        <v>25</v>
      </c>
      <c r="D288" s="13">
        <v>2025</v>
      </c>
      <c r="E288" s="13" t="str">
        <v>Aug</v>
      </c>
      <c r="F288" s="13">
        <v>28</v>
      </c>
      <c r="G288" s="10"/>
      <c r="H288" s="13">
        <f>NETWORKDAYS('RETAIL SALES DATA.'!K287,'RETAIL SALES DATA.'!L287)</f>
        <v>4</v>
      </c>
      <c r="I288" s="13">
        <v>3</v>
      </c>
      <c r="J288" s="10"/>
      <c r="K288" s="13">
        <v>14</v>
      </c>
      <c r="L288" s="13">
        <v>9</v>
      </c>
      <c r="M288" s="13">
        <v>18</v>
      </c>
      <c r="N288" s="13">
        <v>0</v>
      </c>
      <c r="O288" s="54">
        <f t="shared" si="8"/>
        <v>0.38750000000000001</v>
      </c>
      <c r="P288" s="55">
        <f t="shared" si="9"/>
        <v>0.59583333333333333</v>
      </c>
    </row>
    <row r="289" spans="1:16" x14ac:dyDescent="0.3">
      <c r="A289" s="25">
        <f>YEAR('RETAIL SALES DATA.'!K288)</f>
        <v>2025</v>
      </c>
      <c r="B289" s="13" t="str">
        <v>Jul</v>
      </c>
      <c r="C289" s="42">
        <f>DAY('RETAIL SALES DATA.'!K288)</f>
        <v>31</v>
      </c>
      <c r="D289" s="13">
        <v>2025</v>
      </c>
      <c r="E289" s="13" t="str">
        <v>Aug</v>
      </c>
      <c r="F289" s="13">
        <v>9</v>
      </c>
      <c r="G289" s="10"/>
      <c r="H289" s="13">
        <f>NETWORKDAYS('RETAIL SALES DATA.'!K288,'RETAIL SALES DATA.'!L288)</f>
        <v>7</v>
      </c>
      <c r="I289" s="13">
        <v>9</v>
      </c>
      <c r="J289" s="10"/>
      <c r="K289" s="13">
        <v>7</v>
      </c>
      <c r="L289" s="13">
        <v>11</v>
      </c>
      <c r="M289" s="13">
        <v>57</v>
      </c>
      <c r="N289" s="13">
        <v>0</v>
      </c>
      <c r="O289" s="54">
        <f t="shared" si="8"/>
        <v>0.49791666666666667</v>
      </c>
      <c r="P289" s="55">
        <f t="shared" si="9"/>
        <v>0.33124999999999999</v>
      </c>
    </row>
    <row r="290" spans="1:16" x14ac:dyDescent="0.3">
      <c r="A290" s="25">
        <f>YEAR('RETAIL SALES DATA.'!K289)</f>
        <v>2024</v>
      </c>
      <c r="B290" s="13" t="str">
        <v>Nov</v>
      </c>
      <c r="C290" s="42">
        <f>DAY('RETAIL SALES DATA.'!K289)</f>
        <v>3</v>
      </c>
      <c r="D290" s="13">
        <v>2024</v>
      </c>
      <c r="E290" s="13" t="str">
        <v>Nov</v>
      </c>
      <c r="F290" s="13">
        <v>8</v>
      </c>
      <c r="G290" s="10"/>
      <c r="H290" s="13">
        <f>NETWORKDAYS('RETAIL SALES DATA.'!K289,'RETAIL SALES DATA.'!L289)</f>
        <v>5</v>
      </c>
      <c r="I290" s="13">
        <v>5</v>
      </c>
      <c r="J290" s="10"/>
      <c r="K290" s="13">
        <v>9</v>
      </c>
      <c r="L290" s="13">
        <v>10</v>
      </c>
      <c r="M290" s="13">
        <v>19</v>
      </c>
      <c r="N290" s="13">
        <v>0</v>
      </c>
      <c r="O290" s="54">
        <f t="shared" si="8"/>
        <v>0.42986111111111114</v>
      </c>
      <c r="P290" s="55">
        <f t="shared" si="9"/>
        <v>0.38819444444444445</v>
      </c>
    </row>
    <row r="291" spans="1:16" x14ac:dyDescent="0.3">
      <c r="A291" s="25">
        <f>YEAR('RETAIL SALES DATA.'!K290)</f>
        <v>2025</v>
      </c>
      <c r="B291" s="13" t="str">
        <v>Jul</v>
      </c>
      <c r="C291" s="42">
        <f>DAY('RETAIL SALES DATA.'!K290)</f>
        <v>23</v>
      </c>
      <c r="D291" s="13">
        <v>2025</v>
      </c>
      <c r="E291" s="13" t="str">
        <v>Aug</v>
      </c>
      <c r="F291" s="13">
        <v>1</v>
      </c>
      <c r="G291" s="10"/>
      <c r="H291" s="13">
        <f>NETWORKDAYS('RETAIL SALES DATA.'!K290,'RETAIL SALES DATA.'!L290)</f>
        <v>8</v>
      </c>
      <c r="I291" s="13">
        <v>9</v>
      </c>
      <c r="J291" s="10"/>
      <c r="K291" s="13">
        <v>9</v>
      </c>
      <c r="L291" s="13">
        <v>10</v>
      </c>
      <c r="M291" s="13">
        <v>38</v>
      </c>
      <c r="N291" s="13">
        <v>0</v>
      </c>
      <c r="O291" s="54">
        <f t="shared" si="8"/>
        <v>0.44305555555555554</v>
      </c>
      <c r="P291" s="55">
        <f t="shared" si="9"/>
        <v>0.40138888888888891</v>
      </c>
    </row>
    <row r="292" spans="1:16" x14ac:dyDescent="0.3">
      <c r="A292" s="25">
        <f>YEAR('RETAIL SALES DATA.'!K291)</f>
        <v>2025</v>
      </c>
      <c r="B292" s="13" t="str">
        <v>Feb</v>
      </c>
      <c r="C292" s="42">
        <f>DAY('RETAIL SALES DATA.'!K291)</f>
        <v>17</v>
      </c>
      <c r="D292" s="13">
        <v>2025</v>
      </c>
      <c r="E292" s="13" t="str">
        <v>Feb</v>
      </c>
      <c r="F292" s="13">
        <v>27</v>
      </c>
      <c r="G292" s="10"/>
      <c r="H292" s="13">
        <f>NETWORKDAYS('RETAIL SALES DATA.'!K291,'RETAIL SALES DATA.'!L291)</f>
        <v>9</v>
      </c>
      <c r="I292" s="13">
        <v>10</v>
      </c>
      <c r="J292" s="10"/>
      <c r="K292" s="13">
        <v>7</v>
      </c>
      <c r="L292" s="13">
        <v>10</v>
      </c>
      <c r="M292" s="13">
        <v>45</v>
      </c>
      <c r="N292" s="13">
        <v>0</v>
      </c>
      <c r="O292" s="54">
        <f t="shared" si="8"/>
        <v>0.44791666666666669</v>
      </c>
      <c r="P292" s="55">
        <f t="shared" si="9"/>
        <v>0.32291666666666669</v>
      </c>
    </row>
    <row r="293" spans="1:16" x14ac:dyDescent="0.3">
      <c r="A293" s="25">
        <f>YEAR('RETAIL SALES DATA.'!K292)</f>
        <v>2025</v>
      </c>
      <c r="B293" s="13" t="str">
        <v>Jun</v>
      </c>
      <c r="C293" s="42">
        <f>DAY('RETAIL SALES DATA.'!K292)</f>
        <v>29</v>
      </c>
      <c r="D293" s="13">
        <v>2025</v>
      </c>
      <c r="E293" s="13" t="str">
        <v>Jul</v>
      </c>
      <c r="F293" s="13">
        <v>7</v>
      </c>
      <c r="G293" s="10"/>
      <c r="H293" s="13">
        <f>NETWORKDAYS('RETAIL SALES DATA.'!K292,'RETAIL SALES DATA.'!L292)</f>
        <v>6</v>
      </c>
      <c r="I293" s="13">
        <v>8</v>
      </c>
      <c r="J293" s="10"/>
      <c r="K293" s="13">
        <v>14</v>
      </c>
      <c r="L293" s="13">
        <v>9</v>
      </c>
      <c r="M293" s="13">
        <v>53</v>
      </c>
      <c r="N293" s="13">
        <v>0</v>
      </c>
      <c r="O293" s="54">
        <f t="shared" si="8"/>
        <v>0.41180555555555554</v>
      </c>
      <c r="P293" s="55">
        <f t="shared" si="9"/>
        <v>0.62013888888888891</v>
      </c>
    </row>
    <row r="294" spans="1:16" x14ac:dyDescent="0.3">
      <c r="A294" s="25">
        <f>YEAR('RETAIL SALES DATA.'!K293)</f>
        <v>2025</v>
      </c>
      <c r="B294" s="13" t="str">
        <v>Feb</v>
      </c>
      <c r="C294" s="42">
        <f>DAY('RETAIL SALES DATA.'!K293)</f>
        <v>5</v>
      </c>
      <c r="D294" s="13">
        <v>2025</v>
      </c>
      <c r="E294" s="13" t="str">
        <v>Feb</v>
      </c>
      <c r="F294" s="13">
        <v>6</v>
      </c>
      <c r="G294" s="10"/>
      <c r="H294" s="13">
        <f>NETWORKDAYS('RETAIL SALES DATA.'!K293,'RETAIL SALES DATA.'!L293)</f>
        <v>2</v>
      </c>
      <c r="I294" s="13">
        <v>1</v>
      </c>
      <c r="J294" s="10"/>
      <c r="K294" s="13">
        <v>7</v>
      </c>
      <c r="L294" s="13">
        <v>9</v>
      </c>
      <c r="M294" s="13">
        <v>36</v>
      </c>
      <c r="N294" s="13">
        <v>0</v>
      </c>
      <c r="O294" s="54">
        <f t="shared" si="8"/>
        <v>0.4</v>
      </c>
      <c r="P294" s="55">
        <f t="shared" si="9"/>
        <v>0.31666666666666665</v>
      </c>
    </row>
    <row r="295" spans="1:16" x14ac:dyDescent="0.3">
      <c r="A295" s="25">
        <f>YEAR('RETAIL SALES DATA.'!K294)</f>
        <v>2024</v>
      </c>
      <c r="B295" s="13" t="str">
        <v>Oct</v>
      </c>
      <c r="C295" s="42">
        <f>DAY('RETAIL SALES DATA.'!K294)</f>
        <v>15</v>
      </c>
      <c r="D295" s="13">
        <v>2024</v>
      </c>
      <c r="E295" s="13" t="str">
        <v>Oct</v>
      </c>
      <c r="F295" s="13">
        <v>21</v>
      </c>
      <c r="G295" s="10"/>
      <c r="H295" s="13">
        <f>NETWORKDAYS('RETAIL SALES DATA.'!K294,'RETAIL SALES DATA.'!L294)</f>
        <v>5</v>
      </c>
      <c r="I295" s="13">
        <v>6</v>
      </c>
      <c r="J295" s="10"/>
      <c r="K295" s="13">
        <v>0</v>
      </c>
      <c r="L295" s="13">
        <v>8</v>
      </c>
      <c r="M295" s="13">
        <v>9</v>
      </c>
      <c r="N295" s="13">
        <v>0</v>
      </c>
      <c r="O295" s="54">
        <f t="shared" si="8"/>
        <v>0.33958333333333335</v>
      </c>
      <c r="P295" s="55">
        <f t="shared" si="9"/>
        <v>6.2500000000000003E-3</v>
      </c>
    </row>
    <row r="296" spans="1:16" x14ac:dyDescent="0.3">
      <c r="A296" s="25">
        <f>YEAR('RETAIL SALES DATA.'!K295)</f>
        <v>2026</v>
      </c>
      <c r="B296" s="13" t="str">
        <v>May</v>
      </c>
      <c r="C296" s="42">
        <f>DAY('RETAIL SALES DATA.'!K295)</f>
        <v>7</v>
      </c>
      <c r="D296" s="13">
        <v>2026</v>
      </c>
      <c r="E296" s="13" t="str">
        <v>May</v>
      </c>
      <c r="F296" s="13">
        <v>15</v>
      </c>
      <c r="G296" s="10"/>
      <c r="H296" s="13">
        <f>NETWORKDAYS('RETAIL SALES DATA.'!K295,'RETAIL SALES DATA.'!L295)</f>
        <v>7</v>
      </c>
      <c r="I296" s="13">
        <v>8</v>
      </c>
      <c r="J296" s="10"/>
      <c r="K296" s="13">
        <v>19</v>
      </c>
      <c r="L296" s="13">
        <v>8</v>
      </c>
      <c r="M296" s="13">
        <v>53</v>
      </c>
      <c r="N296" s="13">
        <v>0</v>
      </c>
      <c r="O296" s="54">
        <f t="shared" si="8"/>
        <v>0.37013888888888891</v>
      </c>
      <c r="P296" s="55">
        <f t="shared" si="9"/>
        <v>0.82847222222222228</v>
      </c>
    </row>
    <row r="297" spans="1:16" x14ac:dyDescent="0.3">
      <c r="A297" s="25">
        <f>YEAR('RETAIL SALES DATA.'!K296)</f>
        <v>2024</v>
      </c>
      <c r="B297" s="13" t="str">
        <v>May</v>
      </c>
      <c r="C297" s="42">
        <f>DAY('RETAIL SALES DATA.'!K296)</f>
        <v>21</v>
      </c>
      <c r="D297" s="13">
        <v>2024</v>
      </c>
      <c r="E297" s="13" t="str">
        <v>May</v>
      </c>
      <c r="F297" s="13">
        <v>27</v>
      </c>
      <c r="G297" s="10"/>
      <c r="H297" s="13">
        <f>NETWORKDAYS('RETAIL SALES DATA.'!K296,'RETAIL SALES DATA.'!L296)</f>
        <v>5</v>
      </c>
      <c r="I297" s="13">
        <v>6</v>
      </c>
      <c r="J297" s="10"/>
      <c r="K297" s="13">
        <v>7</v>
      </c>
      <c r="L297" s="13">
        <v>10</v>
      </c>
      <c r="M297" s="13">
        <v>52</v>
      </c>
      <c r="N297" s="13">
        <v>0</v>
      </c>
      <c r="O297" s="54">
        <f t="shared" si="8"/>
        <v>0.45277777777777778</v>
      </c>
      <c r="P297" s="55">
        <f t="shared" si="9"/>
        <v>0.32777777777777778</v>
      </c>
    </row>
    <row r="298" spans="1:16" x14ac:dyDescent="0.3">
      <c r="A298" s="25">
        <f>YEAR('RETAIL SALES DATA.'!K297)</f>
        <v>2024</v>
      </c>
      <c r="B298" s="13" t="str">
        <v>Aug</v>
      </c>
      <c r="C298" s="42">
        <f>DAY('RETAIL SALES DATA.'!K297)</f>
        <v>24</v>
      </c>
      <c r="D298" s="13">
        <v>2024</v>
      </c>
      <c r="E298" s="13" t="str">
        <v>Sep</v>
      </c>
      <c r="F298" s="13">
        <v>3</v>
      </c>
      <c r="G298" s="10"/>
      <c r="H298" s="13">
        <f>NETWORKDAYS('RETAIL SALES DATA.'!K297,'RETAIL SALES DATA.'!L297)</f>
        <v>7</v>
      </c>
      <c r="I298" s="13">
        <v>10</v>
      </c>
      <c r="J298" s="10"/>
      <c r="K298" s="13">
        <v>14</v>
      </c>
      <c r="L298" s="13">
        <v>9</v>
      </c>
      <c r="M298" s="13">
        <v>39</v>
      </c>
      <c r="N298" s="13">
        <v>0</v>
      </c>
      <c r="O298" s="54">
        <f t="shared" si="8"/>
        <v>0.40208333333333335</v>
      </c>
      <c r="P298" s="55">
        <f t="shared" si="9"/>
        <v>0.61041666666666672</v>
      </c>
    </row>
    <row r="299" spans="1:16" x14ac:dyDescent="0.3">
      <c r="A299" s="25">
        <f>YEAR('RETAIL SALES DATA.'!K298)</f>
        <v>2025</v>
      </c>
      <c r="B299" s="13" t="str">
        <v>Mar</v>
      </c>
      <c r="C299" s="42">
        <f>DAY('RETAIL SALES DATA.'!K298)</f>
        <v>1</v>
      </c>
      <c r="D299" s="13">
        <v>2025</v>
      </c>
      <c r="E299" s="13" t="str">
        <v>Mar</v>
      </c>
      <c r="F299" s="13">
        <v>8</v>
      </c>
      <c r="G299" s="10"/>
      <c r="H299" s="13">
        <f>NETWORKDAYS('RETAIL SALES DATA.'!K298,'RETAIL SALES DATA.'!L298)</f>
        <v>5</v>
      </c>
      <c r="I299" s="13">
        <v>7</v>
      </c>
      <c r="J299" s="10"/>
      <c r="K299" s="13">
        <v>7</v>
      </c>
      <c r="L299" s="13">
        <v>9</v>
      </c>
      <c r="M299" s="13">
        <v>23</v>
      </c>
      <c r="N299" s="13">
        <v>0</v>
      </c>
      <c r="O299" s="54">
        <f t="shared" si="8"/>
        <v>0.39097222222222222</v>
      </c>
      <c r="P299" s="55">
        <f t="shared" si="9"/>
        <v>0.30763888888888891</v>
      </c>
    </row>
    <row r="300" spans="1:16" x14ac:dyDescent="0.3">
      <c r="A300" s="25">
        <f>YEAR('RETAIL SALES DATA.'!K299)</f>
        <v>2026</v>
      </c>
      <c r="B300" s="13" t="str">
        <v>Jan</v>
      </c>
      <c r="C300" s="42">
        <f>DAY('RETAIL SALES DATA.'!K299)</f>
        <v>28</v>
      </c>
      <c r="D300" s="13">
        <v>2026</v>
      </c>
      <c r="E300" s="13" t="str">
        <v>Feb</v>
      </c>
      <c r="F300" s="13">
        <v>5</v>
      </c>
      <c r="G300" s="10"/>
      <c r="H300" s="13">
        <f>NETWORKDAYS('RETAIL SALES DATA.'!K299,'RETAIL SALES DATA.'!L299)</f>
        <v>7</v>
      </c>
      <c r="I300" s="13">
        <v>8</v>
      </c>
      <c r="J300" s="10"/>
      <c r="K300" s="13">
        <v>9</v>
      </c>
      <c r="L300" s="13">
        <v>11</v>
      </c>
      <c r="M300" s="13">
        <v>12</v>
      </c>
      <c r="N300" s="13">
        <v>0</v>
      </c>
      <c r="O300" s="54">
        <f t="shared" si="8"/>
        <v>0.46666666666666667</v>
      </c>
      <c r="P300" s="55">
        <f t="shared" si="9"/>
        <v>0.38333333333333336</v>
      </c>
    </row>
    <row r="301" spans="1:16" x14ac:dyDescent="0.3">
      <c r="A301" s="25">
        <f>YEAR('RETAIL SALES DATA.'!K300)</f>
        <v>2024</v>
      </c>
      <c r="B301" s="13" t="str">
        <v>Jun</v>
      </c>
      <c r="C301" s="42">
        <f>DAY('RETAIL SALES DATA.'!K300)</f>
        <v>16</v>
      </c>
      <c r="D301" s="13">
        <v>2024</v>
      </c>
      <c r="E301" s="13" t="str">
        <v>Jun</v>
      </c>
      <c r="F301" s="13">
        <v>22</v>
      </c>
      <c r="G301" s="10"/>
      <c r="H301" s="13">
        <f>NETWORKDAYS('RETAIL SALES DATA.'!K300,'RETAIL SALES DATA.'!L300)</f>
        <v>5</v>
      </c>
      <c r="I301" s="13">
        <v>6</v>
      </c>
      <c r="J301" s="10"/>
      <c r="K301" s="13">
        <v>0</v>
      </c>
      <c r="L301" s="13">
        <v>9</v>
      </c>
      <c r="M301" s="13">
        <v>38</v>
      </c>
      <c r="N301" s="13">
        <v>0</v>
      </c>
      <c r="O301" s="54">
        <f t="shared" si="8"/>
        <v>0.40138888888888891</v>
      </c>
      <c r="P301" s="55">
        <f t="shared" si="9"/>
        <v>2.6388888888888889E-2</v>
      </c>
    </row>
    <row r="302" spans="1:16" x14ac:dyDescent="0.3">
      <c r="A302" s="25">
        <f>YEAR('RETAIL SALES DATA.'!K301)</f>
        <v>2024</v>
      </c>
      <c r="B302" s="13" t="str">
        <v>Dec</v>
      </c>
      <c r="C302" s="42">
        <f>DAY('RETAIL SALES DATA.'!K301)</f>
        <v>11</v>
      </c>
      <c r="D302" s="13">
        <v>2024</v>
      </c>
      <c r="E302" s="13" t="str">
        <v>Dec</v>
      </c>
      <c r="F302" s="13">
        <v>21</v>
      </c>
      <c r="G302" s="10"/>
      <c r="H302" s="13">
        <f>NETWORKDAYS('RETAIL SALES DATA.'!K301,'RETAIL SALES DATA.'!L301)</f>
        <v>8</v>
      </c>
      <c r="I302" s="13">
        <v>10</v>
      </c>
      <c r="J302" s="10"/>
      <c r="K302" s="13">
        <v>21</v>
      </c>
      <c r="L302" s="13">
        <v>8</v>
      </c>
      <c r="M302" s="13">
        <v>33</v>
      </c>
      <c r="N302" s="13">
        <v>0</v>
      </c>
      <c r="O302" s="54">
        <f t="shared" si="8"/>
        <v>0.35625000000000001</v>
      </c>
      <c r="P302" s="55">
        <f t="shared" si="9"/>
        <v>0.8979166666666667</v>
      </c>
    </row>
    <row r="303" spans="1:16" x14ac:dyDescent="0.3">
      <c r="A303" s="25">
        <f>YEAR('RETAIL SALES DATA.'!K302)</f>
        <v>2024</v>
      </c>
      <c r="B303" s="13" t="str">
        <v>Oct</v>
      </c>
      <c r="C303" s="42">
        <f>DAY('RETAIL SALES DATA.'!K302)</f>
        <v>10</v>
      </c>
      <c r="D303" s="13">
        <v>2024</v>
      </c>
      <c r="E303" s="13" t="str">
        <v>Oct</v>
      </c>
      <c r="F303" s="13">
        <v>16</v>
      </c>
      <c r="G303" s="10"/>
      <c r="H303" s="13">
        <f>NETWORKDAYS('RETAIL SALES DATA.'!K302,'RETAIL SALES DATA.'!L302)</f>
        <v>5</v>
      </c>
      <c r="I303" s="13">
        <v>6</v>
      </c>
      <c r="J303" s="10"/>
      <c r="K303" s="13">
        <v>16</v>
      </c>
      <c r="L303" s="13">
        <v>10</v>
      </c>
      <c r="M303" s="13">
        <v>56</v>
      </c>
      <c r="N303" s="13">
        <v>0</v>
      </c>
      <c r="O303" s="54">
        <f t="shared" si="8"/>
        <v>0.45555555555555555</v>
      </c>
      <c r="P303" s="55">
        <f t="shared" si="9"/>
        <v>0.7055555555555556</v>
      </c>
    </row>
    <row r="304" spans="1:16" x14ac:dyDescent="0.3">
      <c r="A304" s="25">
        <f>YEAR('RETAIL SALES DATA.'!K303)</f>
        <v>2024</v>
      </c>
      <c r="B304" s="13" t="str">
        <v>Jul</v>
      </c>
      <c r="C304" s="42">
        <f>DAY('RETAIL SALES DATA.'!K303)</f>
        <v>30</v>
      </c>
      <c r="D304" s="13">
        <v>2024</v>
      </c>
      <c r="E304" s="13" t="str">
        <v>Jul</v>
      </c>
      <c r="F304" s="13">
        <v>31</v>
      </c>
      <c r="G304" s="10"/>
      <c r="H304" s="13">
        <f>NETWORKDAYS('RETAIL SALES DATA.'!K303,'RETAIL SALES DATA.'!L303)</f>
        <v>2</v>
      </c>
      <c r="I304" s="13">
        <v>1</v>
      </c>
      <c r="J304" s="10"/>
      <c r="K304" s="13">
        <v>2</v>
      </c>
      <c r="L304" s="13">
        <v>11</v>
      </c>
      <c r="M304" s="13">
        <v>42</v>
      </c>
      <c r="N304" s="13">
        <v>0</v>
      </c>
      <c r="O304" s="54">
        <f t="shared" si="8"/>
        <v>0.48749999999999999</v>
      </c>
      <c r="P304" s="55">
        <f t="shared" si="9"/>
        <v>0.1125</v>
      </c>
    </row>
    <row r="305" spans="1:16" x14ac:dyDescent="0.3">
      <c r="A305" s="25">
        <f>YEAR('RETAIL SALES DATA.'!K304)</f>
        <v>2025</v>
      </c>
      <c r="B305" s="13" t="str">
        <v>May</v>
      </c>
      <c r="C305" s="42">
        <f>DAY('RETAIL SALES DATA.'!K304)</f>
        <v>29</v>
      </c>
      <c r="D305" s="13">
        <v>2025</v>
      </c>
      <c r="E305" s="13" t="str">
        <v>May</v>
      </c>
      <c r="F305" s="13">
        <v>30</v>
      </c>
      <c r="G305" s="10"/>
      <c r="H305" s="13">
        <f>NETWORKDAYS('RETAIL SALES DATA.'!K304,'RETAIL SALES DATA.'!L304)</f>
        <v>2</v>
      </c>
      <c r="I305" s="13">
        <v>1</v>
      </c>
      <c r="J305" s="10"/>
      <c r="K305" s="13">
        <v>2</v>
      </c>
      <c r="L305" s="13">
        <v>9</v>
      </c>
      <c r="M305" s="13">
        <v>34</v>
      </c>
      <c r="N305" s="13">
        <v>0</v>
      </c>
      <c r="O305" s="54">
        <f t="shared" si="8"/>
        <v>0.39861111111111114</v>
      </c>
      <c r="P305" s="55">
        <f t="shared" si="9"/>
        <v>0.10694444444444444</v>
      </c>
    </row>
    <row r="306" spans="1:16" x14ac:dyDescent="0.3">
      <c r="A306" s="25">
        <f>YEAR('RETAIL SALES DATA.'!K305)</f>
        <v>2024</v>
      </c>
      <c r="B306" s="13" t="str">
        <v>May</v>
      </c>
      <c r="C306" s="42">
        <f>DAY('RETAIL SALES DATA.'!K305)</f>
        <v>21</v>
      </c>
      <c r="D306" s="13">
        <v>2024</v>
      </c>
      <c r="E306" s="13" t="str">
        <v>May</v>
      </c>
      <c r="F306" s="13">
        <v>30</v>
      </c>
      <c r="G306" s="10"/>
      <c r="H306" s="13">
        <f>NETWORKDAYS('RETAIL SALES DATA.'!K305,'RETAIL SALES DATA.'!L305)</f>
        <v>8</v>
      </c>
      <c r="I306" s="13">
        <v>9</v>
      </c>
      <c r="J306" s="10"/>
      <c r="K306" s="13">
        <v>16</v>
      </c>
      <c r="L306" s="13">
        <v>8</v>
      </c>
      <c r="M306" s="13">
        <v>7</v>
      </c>
      <c r="N306" s="13">
        <v>0</v>
      </c>
      <c r="O306" s="54">
        <f t="shared" si="8"/>
        <v>0.33819444444444446</v>
      </c>
      <c r="P306" s="55">
        <f t="shared" si="9"/>
        <v>0.67152777777777772</v>
      </c>
    </row>
    <row r="307" spans="1:16" x14ac:dyDescent="0.3">
      <c r="A307" s="25">
        <f>YEAR('RETAIL SALES DATA.'!K306)</f>
        <v>2025</v>
      </c>
      <c r="B307" s="13" t="str">
        <v>Oct</v>
      </c>
      <c r="C307" s="42">
        <f>DAY('RETAIL SALES DATA.'!K306)</f>
        <v>7</v>
      </c>
      <c r="D307" s="13">
        <v>2025</v>
      </c>
      <c r="E307" s="13" t="str">
        <v>Oct</v>
      </c>
      <c r="F307" s="13">
        <v>10</v>
      </c>
      <c r="G307" s="10"/>
      <c r="H307" s="13">
        <f>NETWORKDAYS('RETAIL SALES DATA.'!K306,'RETAIL SALES DATA.'!L306)</f>
        <v>4</v>
      </c>
      <c r="I307" s="13">
        <v>3</v>
      </c>
      <c r="J307" s="10"/>
      <c r="K307" s="13">
        <v>9</v>
      </c>
      <c r="L307" s="13">
        <v>8</v>
      </c>
      <c r="M307" s="13">
        <v>6</v>
      </c>
      <c r="N307" s="13">
        <v>0</v>
      </c>
      <c r="O307" s="54">
        <f t="shared" si="8"/>
        <v>0.33750000000000002</v>
      </c>
      <c r="P307" s="55">
        <f t="shared" si="9"/>
        <v>0.37916666666666665</v>
      </c>
    </row>
    <row r="308" spans="1:16" x14ac:dyDescent="0.3">
      <c r="A308" s="25">
        <f>YEAR('RETAIL SALES DATA.'!K307)</f>
        <v>2024</v>
      </c>
      <c r="B308" s="13" t="str">
        <v>Jun</v>
      </c>
      <c r="C308" s="42">
        <f>DAY('RETAIL SALES DATA.'!K307)</f>
        <v>12</v>
      </c>
      <c r="D308" s="13">
        <v>2024</v>
      </c>
      <c r="E308" s="13" t="str">
        <v>Jun</v>
      </c>
      <c r="F308" s="13">
        <v>13</v>
      </c>
      <c r="G308" s="10"/>
      <c r="H308" s="13">
        <f>NETWORKDAYS('RETAIL SALES DATA.'!K307,'RETAIL SALES DATA.'!L307)</f>
        <v>2</v>
      </c>
      <c r="I308" s="13">
        <v>1</v>
      </c>
      <c r="J308" s="10"/>
      <c r="K308" s="13">
        <v>9</v>
      </c>
      <c r="L308" s="13">
        <v>8</v>
      </c>
      <c r="M308" s="13">
        <v>3</v>
      </c>
      <c r="N308" s="13">
        <v>0</v>
      </c>
      <c r="O308" s="54">
        <f t="shared" si="8"/>
        <v>0.33541666666666664</v>
      </c>
      <c r="P308" s="55">
        <f t="shared" si="9"/>
        <v>0.37708333333333333</v>
      </c>
    </row>
    <row r="309" spans="1:16" x14ac:dyDescent="0.3">
      <c r="A309" s="25">
        <f>YEAR('RETAIL SALES DATA.'!K308)</f>
        <v>2025</v>
      </c>
      <c r="B309" s="13" t="str">
        <v>Aug</v>
      </c>
      <c r="C309" s="42">
        <f>DAY('RETAIL SALES DATA.'!K308)</f>
        <v>1</v>
      </c>
      <c r="D309" s="13">
        <v>2025</v>
      </c>
      <c r="E309" s="13" t="str">
        <v>Aug</v>
      </c>
      <c r="F309" s="13">
        <v>4</v>
      </c>
      <c r="G309" s="10"/>
      <c r="H309" s="13">
        <f>NETWORKDAYS('RETAIL SALES DATA.'!K308,'RETAIL SALES DATA.'!L308)</f>
        <v>2</v>
      </c>
      <c r="I309" s="13">
        <v>3</v>
      </c>
      <c r="J309" s="10"/>
      <c r="K309" s="13">
        <v>19</v>
      </c>
      <c r="L309" s="13">
        <v>8</v>
      </c>
      <c r="M309" s="13">
        <v>24</v>
      </c>
      <c r="N309" s="13">
        <v>0</v>
      </c>
      <c r="O309" s="54">
        <f t="shared" si="8"/>
        <v>0.35</v>
      </c>
      <c r="P309" s="55">
        <f t="shared" si="9"/>
        <v>0.80833333333333335</v>
      </c>
    </row>
    <row r="310" spans="1:16" x14ac:dyDescent="0.3">
      <c r="A310" s="25">
        <f>YEAR('RETAIL SALES DATA.'!K309)</f>
        <v>2025</v>
      </c>
      <c r="B310" s="13" t="str">
        <v>Jan</v>
      </c>
      <c r="C310" s="42">
        <f>DAY('RETAIL SALES DATA.'!K309)</f>
        <v>28</v>
      </c>
      <c r="D310" s="13">
        <v>2025</v>
      </c>
      <c r="E310" s="13" t="str">
        <v>Feb</v>
      </c>
      <c r="F310" s="13">
        <v>6</v>
      </c>
      <c r="G310" s="10"/>
      <c r="H310" s="13">
        <f>NETWORKDAYS('RETAIL SALES DATA.'!K309,'RETAIL SALES DATA.'!L309)</f>
        <v>8</v>
      </c>
      <c r="I310" s="13">
        <v>9</v>
      </c>
      <c r="J310" s="10"/>
      <c r="K310" s="13">
        <v>0</v>
      </c>
      <c r="L310" s="13">
        <v>10</v>
      </c>
      <c r="M310" s="13">
        <v>16</v>
      </c>
      <c r="N310" s="13">
        <v>0</v>
      </c>
      <c r="O310" s="54">
        <f t="shared" si="8"/>
        <v>0.42777777777777776</v>
      </c>
      <c r="P310" s="55">
        <f t="shared" si="9"/>
        <v>1.1111111111111112E-2</v>
      </c>
    </row>
    <row r="311" spans="1:16" x14ac:dyDescent="0.3">
      <c r="A311" s="25">
        <f>YEAR('RETAIL SALES DATA.'!K310)</f>
        <v>2025</v>
      </c>
      <c r="B311" s="13" t="str">
        <v>Apr</v>
      </c>
      <c r="C311" s="42">
        <f>DAY('RETAIL SALES DATA.'!K310)</f>
        <v>29</v>
      </c>
      <c r="D311" s="13">
        <v>2025</v>
      </c>
      <c r="E311" s="13" t="str">
        <v>May</v>
      </c>
      <c r="F311" s="13">
        <v>1</v>
      </c>
      <c r="G311" s="10"/>
      <c r="H311" s="13">
        <f>NETWORKDAYS('RETAIL SALES DATA.'!K310,'RETAIL SALES DATA.'!L310)</f>
        <v>3</v>
      </c>
      <c r="I311" s="13">
        <v>2</v>
      </c>
      <c r="J311" s="10"/>
      <c r="K311" s="13">
        <v>14</v>
      </c>
      <c r="L311" s="13">
        <v>11</v>
      </c>
      <c r="M311" s="13">
        <v>51</v>
      </c>
      <c r="N311" s="13">
        <v>0</v>
      </c>
      <c r="O311" s="54">
        <f t="shared" si="8"/>
        <v>0.49375000000000002</v>
      </c>
      <c r="P311" s="55">
        <f t="shared" si="9"/>
        <v>0.61875000000000002</v>
      </c>
    </row>
    <row r="312" spans="1:16" x14ac:dyDescent="0.3">
      <c r="A312" s="25">
        <f>YEAR('RETAIL SALES DATA.'!K311)</f>
        <v>2024</v>
      </c>
      <c r="B312" s="13" t="str">
        <v>Dec</v>
      </c>
      <c r="C312" s="42">
        <f>DAY('RETAIL SALES DATA.'!K311)</f>
        <v>28</v>
      </c>
      <c r="D312" s="13">
        <v>2024</v>
      </c>
      <c r="E312" s="13" t="str">
        <v>Dec</v>
      </c>
      <c r="F312" s="13">
        <v>31</v>
      </c>
      <c r="G312" s="10"/>
      <c r="H312" s="13">
        <f>NETWORKDAYS('RETAIL SALES DATA.'!K311,'RETAIL SALES DATA.'!L311)</f>
        <v>2</v>
      </c>
      <c r="I312" s="13">
        <v>3</v>
      </c>
      <c r="J312" s="10"/>
      <c r="K312" s="13">
        <v>9</v>
      </c>
      <c r="L312" s="13">
        <v>11</v>
      </c>
      <c r="M312" s="13">
        <v>48</v>
      </c>
      <c r="N312" s="13">
        <v>0</v>
      </c>
      <c r="O312" s="54">
        <f t="shared" si="8"/>
        <v>0.49166666666666664</v>
      </c>
      <c r="P312" s="55">
        <f t="shared" si="9"/>
        <v>0.40833333333333333</v>
      </c>
    </row>
    <row r="313" spans="1:16" x14ac:dyDescent="0.3">
      <c r="A313" s="25">
        <f>YEAR('RETAIL SALES DATA.'!K312)</f>
        <v>2025</v>
      </c>
      <c r="B313" s="13" t="str">
        <v>Dec</v>
      </c>
      <c r="C313" s="42">
        <f>DAY('RETAIL SALES DATA.'!K312)</f>
        <v>13</v>
      </c>
      <c r="D313" s="13">
        <v>2025</v>
      </c>
      <c r="E313" s="13" t="str">
        <v>Dec</v>
      </c>
      <c r="F313" s="13">
        <v>21</v>
      </c>
      <c r="G313" s="10"/>
      <c r="H313" s="13">
        <f>NETWORKDAYS('RETAIL SALES DATA.'!K312,'RETAIL SALES DATA.'!L312)</f>
        <v>5</v>
      </c>
      <c r="I313" s="13">
        <v>8</v>
      </c>
      <c r="J313" s="10"/>
      <c r="K313" s="13">
        <v>21</v>
      </c>
      <c r="L313" s="13">
        <v>8</v>
      </c>
      <c r="M313" s="13">
        <v>31</v>
      </c>
      <c r="N313" s="13">
        <v>0</v>
      </c>
      <c r="O313" s="54">
        <f t="shared" si="8"/>
        <v>0.35486111111111113</v>
      </c>
      <c r="P313" s="55">
        <f t="shared" si="9"/>
        <v>0.89652777777777781</v>
      </c>
    </row>
    <row r="314" spans="1:16" x14ac:dyDescent="0.3">
      <c r="A314" s="25">
        <f>YEAR('RETAIL SALES DATA.'!K313)</f>
        <v>2024</v>
      </c>
      <c r="B314" s="13" t="str">
        <v>Jul</v>
      </c>
      <c r="C314" s="42">
        <f>DAY('RETAIL SALES DATA.'!K313)</f>
        <v>27</v>
      </c>
      <c r="D314" s="13">
        <v>2024</v>
      </c>
      <c r="E314" s="13" t="str">
        <v>Aug</v>
      </c>
      <c r="F314" s="13">
        <v>2</v>
      </c>
      <c r="G314" s="10"/>
      <c r="H314" s="13">
        <f>NETWORKDAYS('RETAIL SALES DATA.'!K313,'RETAIL SALES DATA.'!L313)</f>
        <v>5</v>
      </c>
      <c r="I314" s="13">
        <v>6</v>
      </c>
      <c r="J314" s="10"/>
      <c r="K314" s="13">
        <v>2</v>
      </c>
      <c r="L314" s="13">
        <v>8</v>
      </c>
      <c r="M314" s="13">
        <v>14</v>
      </c>
      <c r="N314" s="13">
        <v>0</v>
      </c>
      <c r="O314" s="54">
        <f t="shared" si="8"/>
        <v>0.34305555555555556</v>
      </c>
      <c r="P314" s="55">
        <f t="shared" si="9"/>
        <v>9.3055555555555558E-2</v>
      </c>
    </row>
    <row r="315" spans="1:16" x14ac:dyDescent="0.3">
      <c r="A315" s="25">
        <f>YEAR('RETAIL SALES DATA.'!K314)</f>
        <v>2025</v>
      </c>
      <c r="B315" s="13" t="str">
        <v>Mar</v>
      </c>
      <c r="C315" s="42">
        <f>DAY('RETAIL SALES DATA.'!K314)</f>
        <v>16</v>
      </c>
      <c r="D315" s="13">
        <v>2025</v>
      </c>
      <c r="E315" s="13" t="str">
        <v>Mar</v>
      </c>
      <c r="F315" s="13">
        <v>18</v>
      </c>
      <c r="G315" s="10"/>
      <c r="H315" s="13">
        <f>NETWORKDAYS('RETAIL SALES DATA.'!K314,'RETAIL SALES DATA.'!L314)</f>
        <v>2</v>
      </c>
      <c r="I315" s="13">
        <v>2</v>
      </c>
      <c r="J315" s="10"/>
      <c r="K315" s="13">
        <v>19</v>
      </c>
      <c r="L315" s="13">
        <v>9</v>
      </c>
      <c r="M315" s="13">
        <v>39</v>
      </c>
      <c r="N315" s="13">
        <v>0</v>
      </c>
      <c r="O315" s="54">
        <f t="shared" si="8"/>
        <v>0.40208333333333335</v>
      </c>
      <c r="P315" s="55">
        <f t="shared" si="9"/>
        <v>0.81874999999999998</v>
      </c>
    </row>
    <row r="316" spans="1:16" x14ac:dyDescent="0.3">
      <c r="A316" s="25">
        <f>YEAR('RETAIL SALES DATA.'!K315)</f>
        <v>2024</v>
      </c>
      <c r="B316" s="13" t="str">
        <v>Nov</v>
      </c>
      <c r="C316" s="42">
        <f>DAY('RETAIL SALES DATA.'!K315)</f>
        <v>23</v>
      </c>
      <c r="D316" s="13">
        <v>2024</v>
      </c>
      <c r="E316" s="13" t="str">
        <v>Nov</v>
      </c>
      <c r="F316" s="13">
        <v>30</v>
      </c>
      <c r="G316" s="10"/>
      <c r="H316" s="13">
        <f>NETWORKDAYS('RETAIL SALES DATA.'!K315,'RETAIL SALES DATA.'!L315)</f>
        <v>5</v>
      </c>
      <c r="I316" s="13">
        <v>7</v>
      </c>
      <c r="J316" s="10"/>
      <c r="K316" s="13">
        <v>2</v>
      </c>
      <c r="L316" s="13">
        <v>9</v>
      </c>
      <c r="M316" s="13">
        <v>42</v>
      </c>
      <c r="N316" s="13">
        <v>0</v>
      </c>
      <c r="O316" s="54">
        <f t="shared" si="8"/>
        <v>0.40416666666666667</v>
      </c>
      <c r="P316" s="55">
        <f t="shared" si="9"/>
        <v>0.1125</v>
      </c>
    </row>
    <row r="317" spans="1:16" x14ac:dyDescent="0.3">
      <c r="A317" s="25">
        <f>YEAR('RETAIL SALES DATA.'!K316)</f>
        <v>2024</v>
      </c>
      <c r="B317" s="13" t="str">
        <v>Aug</v>
      </c>
      <c r="C317" s="42">
        <f>DAY('RETAIL SALES DATA.'!K316)</f>
        <v>10</v>
      </c>
      <c r="D317" s="13">
        <v>2024</v>
      </c>
      <c r="E317" s="13" t="str">
        <v>Aug</v>
      </c>
      <c r="F317" s="13">
        <v>15</v>
      </c>
      <c r="G317" s="10"/>
      <c r="H317" s="13">
        <f>NETWORKDAYS('RETAIL SALES DATA.'!K316,'RETAIL SALES DATA.'!L316)</f>
        <v>4</v>
      </c>
      <c r="I317" s="13">
        <v>5</v>
      </c>
      <c r="J317" s="10"/>
      <c r="K317" s="13">
        <v>12</v>
      </c>
      <c r="L317" s="13">
        <v>10</v>
      </c>
      <c r="M317" s="13">
        <v>54</v>
      </c>
      <c r="N317" s="13">
        <v>0</v>
      </c>
      <c r="O317" s="54">
        <f t="shared" si="8"/>
        <v>0.45416666666666666</v>
      </c>
      <c r="P317" s="55">
        <f t="shared" si="9"/>
        <v>0.53749999999999998</v>
      </c>
    </row>
    <row r="318" spans="1:16" x14ac:dyDescent="0.3">
      <c r="A318" s="25">
        <f>YEAR('RETAIL SALES DATA.'!K317)</f>
        <v>2025</v>
      </c>
      <c r="B318" s="13" t="str">
        <v>Aug</v>
      </c>
      <c r="C318" s="42">
        <f>DAY('RETAIL SALES DATA.'!K317)</f>
        <v>24</v>
      </c>
      <c r="D318" s="13">
        <v>2025</v>
      </c>
      <c r="E318" s="13" t="str">
        <v>Aug</v>
      </c>
      <c r="F318" s="13">
        <v>27</v>
      </c>
      <c r="G318" s="10"/>
      <c r="H318" s="13">
        <f>NETWORKDAYS('RETAIL SALES DATA.'!K317,'RETAIL SALES DATA.'!L317)</f>
        <v>3</v>
      </c>
      <c r="I318" s="13">
        <v>3</v>
      </c>
      <c r="J318" s="10"/>
      <c r="K318" s="13">
        <v>14</v>
      </c>
      <c r="L318" s="13">
        <v>11</v>
      </c>
      <c r="M318" s="13">
        <v>34</v>
      </c>
      <c r="N318" s="13">
        <v>0</v>
      </c>
      <c r="O318" s="54">
        <f t="shared" si="8"/>
        <v>0.48194444444444445</v>
      </c>
      <c r="P318" s="55">
        <f t="shared" si="9"/>
        <v>0.6069444444444444</v>
      </c>
    </row>
    <row r="319" spans="1:16" x14ac:dyDescent="0.3">
      <c r="A319" s="25">
        <f>YEAR('RETAIL SALES DATA.'!K318)</f>
        <v>2024</v>
      </c>
      <c r="B319" s="13" t="str">
        <v>Dec</v>
      </c>
      <c r="C319" s="42">
        <f>DAY('RETAIL SALES DATA.'!K318)</f>
        <v>1</v>
      </c>
      <c r="D319" s="13">
        <v>2024</v>
      </c>
      <c r="E319" s="13" t="str">
        <v>Dec</v>
      </c>
      <c r="F319" s="13">
        <v>11</v>
      </c>
      <c r="G319" s="10"/>
      <c r="H319" s="13">
        <f>NETWORKDAYS('RETAIL SALES DATA.'!K318,'RETAIL SALES DATA.'!L318)</f>
        <v>8</v>
      </c>
      <c r="I319" s="13">
        <v>10</v>
      </c>
      <c r="J319" s="10"/>
      <c r="K319" s="13">
        <v>7</v>
      </c>
      <c r="L319" s="13">
        <v>10</v>
      </c>
      <c r="M319" s="13">
        <v>43</v>
      </c>
      <c r="N319" s="13">
        <v>0</v>
      </c>
      <c r="O319" s="54">
        <f t="shared" si="8"/>
        <v>0.4465277777777778</v>
      </c>
      <c r="P319" s="55">
        <f t="shared" si="9"/>
        <v>0.3215277777777778</v>
      </c>
    </row>
    <row r="320" spans="1:16" x14ac:dyDescent="0.3">
      <c r="A320" s="25">
        <f>YEAR('RETAIL SALES DATA.'!K319)</f>
        <v>2024</v>
      </c>
      <c r="B320" s="13" t="str">
        <v>Sep</v>
      </c>
      <c r="C320" s="42">
        <f>DAY('RETAIL SALES DATA.'!K319)</f>
        <v>14</v>
      </c>
      <c r="D320" s="13">
        <v>2024</v>
      </c>
      <c r="E320" s="13" t="str">
        <v>Sep</v>
      </c>
      <c r="F320" s="13">
        <v>19</v>
      </c>
      <c r="G320" s="10"/>
      <c r="H320" s="13">
        <f>NETWORKDAYS('RETAIL SALES DATA.'!K319,'RETAIL SALES DATA.'!L319)</f>
        <v>4</v>
      </c>
      <c r="I320" s="13">
        <v>5</v>
      </c>
      <c r="J320" s="10"/>
      <c r="K320" s="13">
        <v>16</v>
      </c>
      <c r="L320" s="13">
        <v>11</v>
      </c>
      <c r="M320" s="13">
        <v>8</v>
      </c>
      <c r="N320" s="13">
        <v>0</v>
      </c>
      <c r="O320" s="54">
        <f t="shared" si="8"/>
        <v>0.46388888888888891</v>
      </c>
      <c r="P320" s="55">
        <f t="shared" si="9"/>
        <v>0.67222222222222228</v>
      </c>
    </row>
    <row r="321" spans="1:16" x14ac:dyDescent="0.3">
      <c r="A321" s="25">
        <f>YEAR('RETAIL SALES DATA.'!K320)</f>
        <v>2025</v>
      </c>
      <c r="B321" s="13" t="str">
        <v>Sep</v>
      </c>
      <c r="C321" s="42">
        <f>DAY('RETAIL SALES DATA.'!K320)</f>
        <v>3</v>
      </c>
      <c r="D321" s="13">
        <v>2025</v>
      </c>
      <c r="E321" s="13" t="str">
        <v>Sep</v>
      </c>
      <c r="F321" s="13">
        <v>4</v>
      </c>
      <c r="G321" s="10"/>
      <c r="H321" s="13">
        <f>NETWORKDAYS('RETAIL SALES DATA.'!K320,'RETAIL SALES DATA.'!L320)</f>
        <v>2</v>
      </c>
      <c r="I321" s="13">
        <v>1</v>
      </c>
      <c r="J321" s="10"/>
      <c r="K321" s="13">
        <v>12</v>
      </c>
      <c r="L321" s="13">
        <v>11</v>
      </c>
      <c r="M321" s="13">
        <v>48</v>
      </c>
      <c r="N321" s="13">
        <v>0</v>
      </c>
      <c r="O321" s="54">
        <f t="shared" si="8"/>
        <v>0.49166666666666664</v>
      </c>
      <c r="P321" s="55">
        <f t="shared" si="9"/>
        <v>0.53333333333333333</v>
      </c>
    </row>
    <row r="322" spans="1:16" x14ac:dyDescent="0.3">
      <c r="A322" s="25">
        <f>YEAR('RETAIL SALES DATA.'!K321)</f>
        <v>2025</v>
      </c>
      <c r="B322" s="13" t="str">
        <v>Jan</v>
      </c>
      <c r="C322" s="42">
        <f>DAY('RETAIL SALES DATA.'!K321)</f>
        <v>23</v>
      </c>
      <c r="D322" s="13">
        <v>2025</v>
      </c>
      <c r="E322" s="13" t="str">
        <v>Jan</v>
      </c>
      <c r="F322" s="13">
        <v>30</v>
      </c>
      <c r="G322" s="10"/>
      <c r="H322" s="13">
        <f>NETWORKDAYS('RETAIL SALES DATA.'!K321,'RETAIL SALES DATA.'!L321)</f>
        <v>6</v>
      </c>
      <c r="I322" s="13">
        <v>7</v>
      </c>
      <c r="J322" s="10"/>
      <c r="K322" s="13">
        <v>7</v>
      </c>
      <c r="L322" s="13">
        <v>10</v>
      </c>
      <c r="M322" s="13">
        <v>38</v>
      </c>
      <c r="N322" s="13">
        <v>0</v>
      </c>
      <c r="O322" s="54">
        <f t="shared" si="8"/>
        <v>0.44305555555555554</v>
      </c>
      <c r="P322" s="55">
        <f t="shared" si="9"/>
        <v>0.31805555555555554</v>
      </c>
    </row>
    <row r="323" spans="1:16" x14ac:dyDescent="0.3">
      <c r="A323" s="25">
        <f>YEAR('RETAIL SALES DATA.'!K322)</f>
        <v>2025</v>
      </c>
      <c r="B323" s="13" t="str">
        <v>Jul</v>
      </c>
      <c r="C323" s="42">
        <f>DAY('RETAIL SALES DATA.'!K322)</f>
        <v>22</v>
      </c>
      <c r="D323" s="13">
        <v>2025</v>
      </c>
      <c r="E323" s="13" t="str">
        <v>Jul</v>
      </c>
      <c r="F323" s="13">
        <v>23</v>
      </c>
      <c r="G323" s="10"/>
      <c r="H323" s="13">
        <f>NETWORKDAYS('RETAIL SALES DATA.'!K322,'RETAIL SALES DATA.'!L322)</f>
        <v>2</v>
      </c>
      <c r="I323" s="13">
        <v>1</v>
      </c>
      <c r="J323" s="10"/>
      <c r="K323" s="13">
        <v>0</v>
      </c>
      <c r="L323" s="13">
        <v>9</v>
      </c>
      <c r="M323" s="13">
        <v>8</v>
      </c>
      <c r="N323" s="13">
        <v>0</v>
      </c>
      <c r="O323" s="54">
        <f t="shared" si="8"/>
        <v>0.38055555555555554</v>
      </c>
      <c r="P323" s="55">
        <f t="shared" si="9"/>
        <v>5.5555555555555558E-3</v>
      </c>
    </row>
    <row r="324" spans="1:16" x14ac:dyDescent="0.3">
      <c r="A324" s="25">
        <f>YEAR('RETAIL SALES DATA.'!K323)</f>
        <v>2025</v>
      </c>
      <c r="B324" s="13" t="str">
        <v>Mar</v>
      </c>
      <c r="C324" s="42">
        <f>DAY('RETAIL SALES DATA.'!K323)</f>
        <v>19</v>
      </c>
      <c r="D324" s="13">
        <v>2025</v>
      </c>
      <c r="E324" s="13" t="str">
        <v>Mar</v>
      </c>
      <c r="F324" s="13">
        <v>25</v>
      </c>
      <c r="G324" s="10"/>
      <c r="H324" s="13">
        <f>NETWORKDAYS('RETAIL SALES DATA.'!K323,'RETAIL SALES DATA.'!L323)</f>
        <v>5</v>
      </c>
      <c r="I324" s="13">
        <v>6</v>
      </c>
      <c r="J324" s="10"/>
      <c r="K324" s="13">
        <v>0</v>
      </c>
      <c r="L324" s="13">
        <v>10</v>
      </c>
      <c r="M324" s="13">
        <v>20</v>
      </c>
      <c r="N324" s="13">
        <v>0</v>
      </c>
      <c r="O324" s="54">
        <f t="shared" ref="O324:O387" si="10">TIME(L324,M324,N324)</f>
        <v>0.43055555555555558</v>
      </c>
      <c r="P324" s="55">
        <f t="shared" ref="P324:P387" si="11">TIME(K324,M324,N324)</f>
        <v>1.3888888888888888E-2</v>
      </c>
    </row>
    <row r="325" spans="1:16" x14ac:dyDescent="0.3">
      <c r="A325" s="25">
        <f>YEAR('RETAIL SALES DATA.'!K324)</f>
        <v>2025</v>
      </c>
      <c r="B325" s="13" t="str">
        <v>Jul</v>
      </c>
      <c r="C325" s="42">
        <f>DAY('RETAIL SALES DATA.'!K324)</f>
        <v>7</v>
      </c>
      <c r="D325" s="13">
        <v>2025</v>
      </c>
      <c r="E325" s="13" t="str">
        <v>Jul</v>
      </c>
      <c r="F325" s="13">
        <v>12</v>
      </c>
      <c r="G325" s="10"/>
      <c r="H325" s="13">
        <f>NETWORKDAYS('RETAIL SALES DATA.'!K324,'RETAIL SALES DATA.'!L324)</f>
        <v>5</v>
      </c>
      <c r="I325" s="13">
        <v>5</v>
      </c>
      <c r="J325" s="10"/>
      <c r="K325" s="13">
        <v>4</v>
      </c>
      <c r="L325" s="13">
        <v>11</v>
      </c>
      <c r="M325" s="13">
        <v>53</v>
      </c>
      <c r="N325" s="13">
        <v>0</v>
      </c>
      <c r="O325" s="54">
        <f t="shared" si="10"/>
        <v>0.49513888888888891</v>
      </c>
      <c r="P325" s="55">
        <f t="shared" si="11"/>
        <v>0.20347222222222222</v>
      </c>
    </row>
    <row r="326" spans="1:16" x14ac:dyDescent="0.3">
      <c r="A326" s="25">
        <f>YEAR('RETAIL SALES DATA.'!K325)</f>
        <v>2024</v>
      </c>
      <c r="B326" s="13" t="str">
        <v>Nov</v>
      </c>
      <c r="C326" s="42">
        <f>DAY('RETAIL SALES DATA.'!K325)</f>
        <v>12</v>
      </c>
      <c r="D326" s="13">
        <v>2024</v>
      </c>
      <c r="E326" s="13" t="str">
        <v>Nov</v>
      </c>
      <c r="F326" s="13">
        <v>20</v>
      </c>
      <c r="G326" s="10"/>
      <c r="H326" s="13">
        <f>NETWORKDAYS('RETAIL SALES DATA.'!K325,'RETAIL SALES DATA.'!L325)</f>
        <v>7</v>
      </c>
      <c r="I326" s="13">
        <v>8</v>
      </c>
      <c r="J326" s="10"/>
      <c r="K326" s="13">
        <v>0</v>
      </c>
      <c r="L326" s="13">
        <v>11</v>
      </c>
      <c r="M326" s="13">
        <v>38</v>
      </c>
      <c r="N326" s="13">
        <v>0</v>
      </c>
      <c r="O326" s="54">
        <f t="shared" si="10"/>
        <v>0.48472222222222222</v>
      </c>
      <c r="P326" s="55">
        <f t="shared" si="11"/>
        <v>2.6388888888888889E-2</v>
      </c>
    </row>
    <row r="327" spans="1:16" x14ac:dyDescent="0.3">
      <c r="A327" s="25">
        <f>YEAR('RETAIL SALES DATA.'!K326)</f>
        <v>2025</v>
      </c>
      <c r="B327" s="13" t="str">
        <v>Jun</v>
      </c>
      <c r="C327" s="42">
        <f>DAY('RETAIL SALES DATA.'!K326)</f>
        <v>14</v>
      </c>
      <c r="D327" s="13">
        <v>2025</v>
      </c>
      <c r="E327" s="13" t="str">
        <v>Jun</v>
      </c>
      <c r="F327" s="13">
        <v>24</v>
      </c>
      <c r="G327" s="10"/>
      <c r="H327" s="13">
        <f>NETWORKDAYS('RETAIL SALES DATA.'!K326,'RETAIL SALES DATA.'!L326)</f>
        <v>7</v>
      </c>
      <c r="I327" s="13">
        <v>10</v>
      </c>
      <c r="J327" s="10"/>
      <c r="K327" s="13">
        <v>4</v>
      </c>
      <c r="L327" s="13">
        <v>8</v>
      </c>
      <c r="M327" s="13">
        <v>25</v>
      </c>
      <c r="N327" s="13">
        <v>0</v>
      </c>
      <c r="O327" s="54">
        <f t="shared" si="10"/>
        <v>0.35069444444444442</v>
      </c>
      <c r="P327" s="55">
        <f t="shared" si="11"/>
        <v>0.18402777777777779</v>
      </c>
    </row>
    <row r="328" spans="1:16" x14ac:dyDescent="0.3">
      <c r="A328" s="25">
        <f>YEAR('RETAIL SALES DATA.'!K327)</f>
        <v>2026</v>
      </c>
      <c r="B328" s="13" t="str">
        <v>Mar</v>
      </c>
      <c r="C328" s="42">
        <f>DAY('RETAIL SALES DATA.'!K327)</f>
        <v>9</v>
      </c>
      <c r="D328" s="13">
        <v>2026</v>
      </c>
      <c r="E328" s="13" t="str">
        <v>Mar</v>
      </c>
      <c r="F328" s="13">
        <v>19</v>
      </c>
      <c r="G328" s="10"/>
      <c r="H328" s="13">
        <f>NETWORKDAYS('RETAIL SALES DATA.'!K327,'RETAIL SALES DATA.'!L327)</f>
        <v>9</v>
      </c>
      <c r="I328" s="13">
        <v>10</v>
      </c>
      <c r="J328" s="10"/>
      <c r="K328" s="13">
        <v>4</v>
      </c>
      <c r="L328" s="13">
        <v>8</v>
      </c>
      <c r="M328" s="13">
        <v>52</v>
      </c>
      <c r="N328" s="13">
        <v>0</v>
      </c>
      <c r="O328" s="54">
        <f t="shared" si="10"/>
        <v>0.36944444444444446</v>
      </c>
      <c r="P328" s="55">
        <f t="shared" si="11"/>
        <v>0.20277777777777778</v>
      </c>
    </row>
    <row r="329" spans="1:16" x14ac:dyDescent="0.3">
      <c r="A329" s="25">
        <f>YEAR('RETAIL SALES DATA.'!K328)</f>
        <v>2025</v>
      </c>
      <c r="B329" s="13" t="str">
        <v>Jul</v>
      </c>
      <c r="C329" s="42">
        <f>DAY('RETAIL SALES DATA.'!K328)</f>
        <v>4</v>
      </c>
      <c r="D329" s="13">
        <v>2025</v>
      </c>
      <c r="E329" s="13" t="str">
        <v>Jul</v>
      </c>
      <c r="F329" s="13">
        <v>7</v>
      </c>
      <c r="G329" s="10"/>
      <c r="H329" s="13">
        <f>NETWORKDAYS('RETAIL SALES DATA.'!K328,'RETAIL SALES DATA.'!L328)</f>
        <v>2</v>
      </c>
      <c r="I329" s="13">
        <v>3</v>
      </c>
      <c r="J329" s="10"/>
      <c r="K329" s="13">
        <v>4</v>
      </c>
      <c r="L329" s="13">
        <v>8</v>
      </c>
      <c r="M329" s="13">
        <v>31</v>
      </c>
      <c r="N329" s="13">
        <v>0</v>
      </c>
      <c r="O329" s="54">
        <f t="shared" si="10"/>
        <v>0.35486111111111113</v>
      </c>
      <c r="P329" s="55">
        <f t="shared" si="11"/>
        <v>0.18819444444444444</v>
      </c>
    </row>
    <row r="330" spans="1:16" x14ac:dyDescent="0.3">
      <c r="A330" s="25">
        <f>YEAR('RETAIL SALES DATA.'!K329)</f>
        <v>2024</v>
      </c>
      <c r="B330" s="13" t="str">
        <v>Aug</v>
      </c>
      <c r="C330" s="42">
        <f>DAY('RETAIL SALES DATA.'!K329)</f>
        <v>1</v>
      </c>
      <c r="D330" s="13">
        <v>2024</v>
      </c>
      <c r="E330" s="13" t="str">
        <v>Aug</v>
      </c>
      <c r="F330" s="13">
        <v>7</v>
      </c>
      <c r="G330" s="10"/>
      <c r="H330" s="13">
        <f>NETWORKDAYS('RETAIL SALES DATA.'!K329,'RETAIL SALES DATA.'!L329)</f>
        <v>5</v>
      </c>
      <c r="I330" s="13">
        <v>6</v>
      </c>
      <c r="J330" s="10"/>
      <c r="K330" s="13">
        <v>21</v>
      </c>
      <c r="L330" s="13">
        <v>11</v>
      </c>
      <c r="M330" s="13">
        <v>35</v>
      </c>
      <c r="N330" s="13">
        <v>0</v>
      </c>
      <c r="O330" s="54">
        <f t="shared" si="10"/>
        <v>0.4826388888888889</v>
      </c>
      <c r="P330" s="55">
        <f t="shared" si="11"/>
        <v>0.89930555555555558</v>
      </c>
    </row>
    <row r="331" spans="1:16" x14ac:dyDescent="0.3">
      <c r="A331" s="25">
        <f>YEAR('RETAIL SALES DATA.'!K330)</f>
        <v>2025</v>
      </c>
      <c r="B331" s="13" t="str">
        <v>Jul</v>
      </c>
      <c r="C331" s="42">
        <f>DAY('RETAIL SALES DATA.'!K330)</f>
        <v>15</v>
      </c>
      <c r="D331" s="13">
        <v>2025</v>
      </c>
      <c r="E331" s="13" t="str">
        <v>Jul</v>
      </c>
      <c r="F331" s="13">
        <v>21</v>
      </c>
      <c r="G331" s="10"/>
      <c r="H331" s="13">
        <f>NETWORKDAYS('RETAIL SALES DATA.'!K330,'RETAIL SALES DATA.'!L330)</f>
        <v>5</v>
      </c>
      <c r="I331" s="13">
        <v>6</v>
      </c>
      <c r="J331" s="10"/>
      <c r="K331" s="13">
        <v>4</v>
      </c>
      <c r="L331" s="13">
        <v>8</v>
      </c>
      <c r="M331" s="13">
        <v>17</v>
      </c>
      <c r="N331" s="13">
        <v>0</v>
      </c>
      <c r="O331" s="54">
        <f t="shared" si="10"/>
        <v>0.34513888888888888</v>
      </c>
      <c r="P331" s="55">
        <f t="shared" si="11"/>
        <v>0.17847222222222223</v>
      </c>
    </row>
    <row r="332" spans="1:16" x14ac:dyDescent="0.3">
      <c r="A332" s="25">
        <f>YEAR('RETAIL SALES DATA.'!K331)</f>
        <v>2024</v>
      </c>
      <c r="B332" s="13" t="str">
        <v>May</v>
      </c>
      <c r="C332" s="42">
        <f>DAY('RETAIL SALES DATA.'!K331)</f>
        <v>29</v>
      </c>
      <c r="D332" s="13">
        <v>2024</v>
      </c>
      <c r="E332" s="13" t="str">
        <v>Jun</v>
      </c>
      <c r="F332" s="13">
        <v>1</v>
      </c>
      <c r="G332" s="10"/>
      <c r="H332" s="13">
        <f>NETWORKDAYS('RETAIL SALES DATA.'!K331,'RETAIL SALES DATA.'!L331)</f>
        <v>3</v>
      </c>
      <c r="I332" s="13">
        <v>3</v>
      </c>
      <c r="J332" s="10"/>
      <c r="K332" s="13">
        <v>14</v>
      </c>
      <c r="L332" s="13">
        <v>10</v>
      </c>
      <c r="M332" s="13">
        <v>37</v>
      </c>
      <c r="N332" s="13">
        <v>0</v>
      </c>
      <c r="O332" s="54">
        <f t="shared" si="10"/>
        <v>0.44236111111111109</v>
      </c>
      <c r="P332" s="55">
        <f t="shared" si="11"/>
        <v>0.60902777777777772</v>
      </c>
    </row>
    <row r="333" spans="1:16" x14ac:dyDescent="0.3">
      <c r="A333" s="25">
        <f>YEAR('RETAIL SALES DATA.'!K332)</f>
        <v>2024</v>
      </c>
      <c r="B333" s="13" t="str">
        <v>Jun</v>
      </c>
      <c r="C333" s="42">
        <f>DAY('RETAIL SALES DATA.'!K332)</f>
        <v>3</v>
      </c>
      <c r="D333" s="13">
        <v>2024</v>
      </c>
      <c r="E333" s="13" t="str">
        <v>Jun</v>
      </c>
      <c r="F333" s="13">
        <v>8</v>
      </c>
      <c r="G333" s="10"/>
      <c r="H333" s="13">
        <f>NETWORKDAYS('RETAIL SALES DATA.'!K332,'RETAIL SALES DATA.'!L332)</f>
        <v>5</v>
      </c>
      <c r="I333" s="13">
        <v>5</v>
      </c>
      <c r="J333" s="10"/>
      <c r="K333" s="13">
        <v>9</v>
      </c>
      <c r="L333" s="13">
        <v>11</v>
      </c>
      <c r="M333" s="13">
        <v>50</v>
      </c>
      <c r="N333" s="13">
        <v>0</v>
      </c>
      <c r="O333" s="54">
        <f t="shared" si="10"/>
        <v>0.49305555555555558</v>
      </c>
      <c r="P333" s="55">
        <f t="shared" si="11"/>
        <v>0.40972222222222221</v>
      </c>
    </row>
    <row r="334" spans="1:16" x14ac:dyDescent="0.3">
      <c r="A334" s="25">
        <f>YEAR('RETAIL SALES DATA.'!K333)</f>
        <v>2025</v>
      </c>
      <c r="B334" s="13" t="str">
        <v>Dec</v>
      </c>
      <c r="C334" s="42">
        <f>DAY('RETAIL SALES DATA.'!K333)</f>
        <v>5</v>
      </c>
      <c r="D334" s="13">
        <v>2025</v>
      </c>
      <c r="E334" s="13" t="str">
        <v>Dec</v>
      </c>
      <c r="F334" s="13">
        <v>14</v>
      </c>
      <c r="G334" s="10"/>
      <c r="H334" s="13">
        <f>NETWORKDAYS('RETAIL SALES DATA.'!K333,'RETAIL SALES DATA.'!L333)</f>
        <v>6</v>
      </c>
      <c r="I334" s="13">
        <v>9</v>
      </c>
      <c r="J334" s="10"/>
      <c r="K334" s="13">
        <v>14</v>
      </c>
      <c r="L334" s="13">
        <v>10</v>
      </c>
      <c r="M334" s="13">
        <v>44</v>
      </c>
      <c r="N334" s="13">
        <v>0</v>
      </c>
      <c r="O334" s="54">
        <f t="shared" si="10"/>
        <v>0.44722222222222224</v>
      </c>
      <c r="P334" s="55">
        <f t="shared" si="11"/>
        <v>0.61388888888888893</v>
      </c>
    </row>
    <row r="335" spans="1:16" x14ac:dyDescent="0.3">
      <c r="A335" s="25">
        <f>YEAR('RETAIL SALES DATA.'!K334)</f>
        <v>2026</v>
      </c>
      <c r="B335" s="13" t="str">
        <v>Feb</v>
      </c>
      <c r="C335" s="42">
        <f>DAY('RETAIL SALES DATA.'!K334)</f>
        <v>27</v>
      </c>
      <c r="D335" s="13">
        <v>2026</v>
      </c>
      <c r="E335" s="13" t="str">
        <v>Mar</v>
      </c>
      <c r="F335" s="13">
        <v>8</v>
      </c>
      <c r="G335" s="10"/>
      <c r="H335" s="13">
        <f>NETWORKDAYS('RETAIL SALES DATA.'!K334,'RETAIL SALES DATA.'!L334)</f>
        <v>6</v>
      </c>
      <c r="I335" s="13">
        <v>9</v>
      </c>
      <c r="J335" s="10"/>
      <c r="K335" s="13">
        <v>12</v>
      </c>
      <c r="L335" s="13">
        <v>11</v>
      </c>
      <c r="M335" s="13">
        <v>32</v>
      </c>
      <c r="N335" s="13">
        <v>0</v>
      </c>
      <c r="O335" s="54">
        <f t="shared" si="10"/>
        <v>0.48055555555555557</v>
      </c>
      <c r="P335" s="55">
        <f t="shared" si="11"/>
        <v>0.52222222222222225</v>
      </c>
    </row>
    <row r="336" spans="1:16" x14ac:dyDescent="0.3">
      <c r="A336" s="25">
        <f>YEAR('RETAIL SALES DATA.'!K335)</f>
        <v>2026</v>
      </c>
      <c r="B336" s="13" t="str">
        <v>Feb</v>
      </c>
      <c r="C336" s="42">
        <f>DAY('RETAIL SALES DATA.'!K335)</f>
        <v>18</v>
      </c>
      <c r="D336" s="13">
        <v>2026</v>
      </c>
      <c r="E336" s="13" t="str">
        <v>Feb</v>
      </c>
      <c r="F336" s="13">
        <v>23</v>
      </c>
      <c r="G336" s="10"/>
      <c r="H336" s="13">
        <f>NETWORKDAYS('RETAIL SALES DATA.'!K335,'RETAIL SALES DATA.'!L335)</f>
        <v>4</v>
      </c>
      <c r="I336" s="13">
        <v>5</v>
      </c>
      <c r="J336" s="10"/>
      <c r="K336" s="13">
        <v>0</v>
      </c>
      <c r="L336" s="13">
        <v>9</v>
      </c>
      <c r="M336" s="13">
        <v>58</v>
      </c>
      <c r="N336" s="13">
        <v>0</v>
      </c>
      <c r="O336" s="54">
        <f t="shared" si="10"/>
        <v>0.4152777777777778</v>
      </c>
      <c r="P336" s="55">
        <f t="shared" si="11"/>
        <v>4.027777777777778E-2</v>
      </c>
    </row>
    <row r="337" spans="1:16" x14ac:dyDescent="0.3">
      <c r="A337" s="25">
        <f>YEAR('RETAIL SALES DATA.'!K336)</f>
        <v>2025</v>
      </c>
      <c r="B337" s="13" t="str">
        <v>Mar</v>
      </c>
      <c r="C337" s="42">
        <f>DAY('RETAIL SALES DATA.'!K336)</f>
        <v>28</v>
      </c>
      <c r="D337" s="13">
        <v>2025</v>
      </c>
      <c r="E337" s="13" t="str">
        <v>Mar</v>
      </c>
      <c r="F337" s="13">
        <v>29</v>
      </c>
      <c r="G337" s="10"/>
      <c r="H337" s="13">
        <f>NETWORKDAYS('RETAIL SALES DATA.'!K336,'RETAIL SALES DATA.'!L336)</f>
        <v>1</v>
      </c>
      <c r="I337" s="13">
        <v>1</v>
      </c>
      <c r="J337" s="10"/>
      <c r="K337" s="13">
        <v>4</v>
      </c>
      <c r="L337" s="13">
        <v>10</v>
      </c>
      <c r="M337" s="13">
        <v>32</v>
      </c>
      <c r="N337" s="13">
        <v>0</v>
      </c>
      <c r="O337" s="54">
        <f t="shared" si="10"/>
        <v>0.43888888888888888</v>
      </c>
      <c r="P337" s="55">
        <f t="shared" si="11"/>
        <v>0.18888888888888888</v>
      </c>
    </row>
    <row r="338" spans="1:16" x14ac:dyDescent="0.3">
      <c r="A338" s="25">
        <f>YEAR('RETAIL SALES DATA.'!K337)</f>
        <v>2025</v>
      </c>
      <c r="B338" s="13" t="str">
        <v>Jan</v>
      </c>
      <c r="C338" s="42">
        <f>DAY('RETAIL SALES DATA.'!K337)</f>
        <v>1</v>
      </c>
      <c r="D338" s="13">
        <v>2025</v>
      </c>
      <c r="E338" s="13" t="str">
        <v>Jan</v>
      </c>
      <c r="F338" s="13">
        <v>4</v>
      </c>
      <c r="G338" s="10"/>
      <c r="H338" s="13">
        <f>NETWORKDAYS('RETAIL SALES DATA.'!K337,'RETAIL SALES DATA.'!L337)</f>
        <v>3</v>
      </c>
      <c r="I338" s="13">
        <v>3</v>
      </c>
      <c r="J338" s="10"/>
      <c r="K338" s="13">
        <v>4</v>
      </c>
      <c r="L338" s="13">
        <v>9</v>
      </c>
      <c r="M338" s="13">
        <v>17</v>
      </c>
      <c r="N338" s="13">
        <v>0</v>
      </c>
      <c r="O338" s="54">
        <f t="shared" si="10"/>
        <v>0.38680555555555557</v>
      </c>
      <c r="P338" s="55">
        <f t="shared" si="11"/>
        <v>0.17847222222222223</v>
      </c>
    </row>
    <row r="339" spans="1:16" x14ac:dyDescent="0.3">
      <c r="A339" s="25">
        <f>YEAR('RETAIL SALES DATA.'!K338)</f>
        <v>2024</v>
      </c>
      <c r="B339" s="13" t="str">
        <v>Aug</v>
      </c>
      <c r="C339" s="42">
        <f>DAY('RETAIL SALES DATA.'!K338)</f>
        <v>24</v>
      </c>
      <c r="D339" s="13">
        <v>2024</v>
      </c>
      <c r="E339" s="13" t="str">
        <v>Sep</v>
      </c>
      <c r="F339" s="13">
        <v>2</v>
      </c>
      <c r="G339" s="10"/>
      <c r="H339" s="13">
        <f>NETWORKDAYS('RETAIL SALES DATA.'!K338,'RETAIL SALES DATA.'!L338)</f>
        <v>6</v>
      </c>
      <c r="I339" s="13">
        <v>9</v>
      </c>
      <c r="J339" s="10"/>
      <c r="K339" s="13">
        <v>19</v>
      </c>
      <c r="L339" s="13">
        <v>10</v>
      </c>
      <c r="M339" s="13">
        <v>8</v>
      </c>
      <c r="N339" s="13">
        <v>0</v>
      </c>
      <c r="O339" s="54">
        <f t="shared" si="10"/>
        <v>0.42222222222222222</v>
      </c>
      <c r="P339" s="55">
        <f t="shared" si="11"/>
        <v>0.79722222222222228</v>
      </c>
    </row>
    <row r="340" spans="1:16" x14ac:dyDescent="0.3">
      <c r="A340" s="25">
        <f>YEAR('RETAIL SALES DATA.'!K339)</f>
        <v>2025</v>
      </c>
      <c r="B340" s="13" t="str">
        <v>May</v>
      </c>
      <c r="C340" s="42">
        <f>DAY('RETAIL SALES DATA.'!K339)</f>
        <v>26</v>
      </c>
      <c r="D340" s="13">
        <v>2025</v>
      </c>
      <c r="E340" s="13" t="str">
        <v>May</v>
      </c>
      <c r="F340" s="13">
        <v>27</v>
      </c>
      <c r="G340" s="10"/>
      <c r="H340" s="13">
        <f>NETWORKDAYS('RETAIL SALES DATA.'!K339,'RETAIL SALES DATA.'!L339)</f>
        <v>2</v>
      </c>
      <c r="I340" s="13">
        <v>1</v>
      </c>
      <c r="J340" s="10"/>
      <c r="K340" s="13">
        <v>0</v>
      </c>
      <c r="L340" s="13">
        <v>10</v>
      </c>
      <c r="M340" s="13">
        <v>17</v>
      </c>
      <c r="N340" s="13">
        <v>0</v>
      </c>
      <c r="O340" s="54">
        <f t="shared" si="10"/>
        <v>0.4284722222222222</v>
      </c>
      <c r="P340" s="55">
        <f t="shared" si="11"/>
        <v>1.1805555555555555E-2</v>
      </c>
    </row>
    <row r="341" spans="1:16" x14ac:dyDescent="0.3">
      <c r="A341" s="25">
        <f>YEAR('RETAIL SALES DATA.'!K340)</f>
        <v>2025</v>
      </c>
      <c r="B341" s="13" t="str">
        <v>Feb</v>
      </c>
      <c r="C341" s="42">
        <f>DAY('RETAIL SALES DATA.'!K340)</f>
        <v>19</v>
      </c>
      <c r="D341" s="13">
        <v>2025</v>
      </c>
      <c r="E341" s="13" t="str">
        <v>Feb</v>
      </c>
      <c r="F341" s="13">
        <v>27</v>
      </c>
      <c r="G341" s="10"/>
      <c r="H341" s="13">
        <f>NETWORKDAYS('RETAIL SALES DATA.'!K340,'RETAIL SALES DATA.'!L340)</f>
        <v>7</v>
      </c>
      <c r="I341" s="13">
        <v>8</v>
      </c>
      <c r="J341" s="10"/>
      <c r="K341" s="13">
        <v>16</v>
      </c>
      <c r="L341" s="13">
        <v>9</v>
      </c>
      <c r="M341" s="13">
        <v>34</v>
      </c>
      <c r="N341" s="13">
        <v>0</v>
      </c>
      <c r="O341" s="54">
        <f t="shared" si="10"/>
        <v>0.39861111111111114</v>
      </c>
      <c r="P341" s="55">
        <f t="shared" si="11"/>
        <v>0.69027777777777777</v>
      </c>
    </row>
    <row r="342" spans="1:16" x14ac:dyDescent="0.3">
      <c r="A342" s="25">
        <f>YEAR('RETAIL SALES DATA.'!K341)</f>
        <v>2026</v>
      </c>
      <c r="B342" s="13" t="str">
        <v>May</v>
      </c>
      <c r="C342" s="42">
        <f>DAY('RETAIL SALES DATA.'!K341)</f>
        <v>10</v>
      </c>
      <c r="D342" s="13">
        <v>2026</v>
      </c>
      <c r="E342" s="13" t="str">
        <v>May</v>
      </c>
      <c r="F342" s="13">
        <v>20</v>
      </c>
      <c r="G342" s="10"/>
      <c r="H342" s="13">
        <f>NETWORKDAYS('RETAIL SALES DATA.'!K341,'RETAIL SALES DATA.'!L341)</f>
        <v>8</v>
      </c>
      <c r="I342" s="13">
        <v>10</v>
      </c>
      <c r="J342" s="10"/>
      <c r="K342" s="13">
        <v>16</v>
      </c>
      <c r="L342" s="13">
        <v>8</v>
      </c>
      <c r="M342" s="13">
        <v>4</v>
      </c>
      <c r="N342" s="13">
        <v>0</v>
      </c>
      <c r="O342" s="54">
        <f t="shared" si="10"/>
        <v>0.33611111111111114</v>
      </c>
      <c r="P342" s="55">
        <f t="shared" si="11"/>
        <v>0.6694444444444444</v>
      </c>
    </row>
    <row r="343" spans="1:16" x14ac:dyDescent="0.3">
      <c r="A343" s="25">
        <f>YEAR('RETAIL SALES DATA.'!K342)</f>
        <v>2025</v>
      </c>
      <c r="B343" s="13" t="str">
        <v>Oct</v>
      </c>
      <c r="C343" s="42">
        <f>DAY('RETAIL SALES DATA.'!K342)</f>
        <v>28</v>
      </c>
      <c r="D343" s="13">
        <v>2025</v>
      </c>
      <c r="E343" s="13" t="str">
        <v>Oct</v>
      </c>
      <c r="F343" s="13">
        <v>31</v>
      </c>
      <c r="G343" s="10"/>
      <c r="H343" s="13">
        <f>NETWORKDAYS('RETAIL SALES DATA.'!K342,'RETAIL SALES DATA.'!L342)</f>
        <v>4</v>
      </c>
      <c r="I343" s="13">
        <v>3</v>
      </c>
      <c r="J343" s="10"/>
      <c r="K343" s="13">
        <v>16</v>
      </c>
      <c r="L343" s="13">
        <v>9</v>
      </c>
      <c r="M343" s="13">
        <v>3</v>
      </c>
      <c r="N343" s="13">
        <v>0</v>
      </c>
      <c r="O343" s="54">
        <f t="shared" si="10"/>
        <v>0.37708333333333333</v>
      </c>
      <c r="P343" s="55">
        <f t="shared" si="11"/>
        <v>0.66874999999999996</v>
      </c>
    </row>
    <row r="344" spans="1:16" x14ac:dyDescent="0.3">
      <c r="A344" s="25">
        <f>YEAR('RETAIL SALES DATA.'!K343)</f>
        <v>2025</v>
      </c>
      <c r="B344" s="13" t="str">
        <v>Apr</v>
      </c>
      <c r="C344" s="42">
        <f>DAY('RETAIL SALES DATA.'!K343)</f>
        <v>20</v>
      </c>
      <c r="D344" s="13">
        <v>2025</v>
      </c>
      <c r="E344" s="13" t="str">
        <v>Apr</v>
      </c>
      <c r="F344" s="13">
        <v>22</v>
      </c>
      <c r="G344" s="10"/>
      <c r="H344" s="13">
        <f>NETWORKDAYS('RETAIL SALES DATA.'!K343,'RETAIL SALES DATA.'!L343)</f>
        <v>2</v>
      </c>
      <c r="I344" s="13">
        <v>2</v>
      </c>
      <c r="J344" s="10"/>
      <c r="K344" s="13">
        <v>19</v>
      </c>
      <c r="L344" s="13">
        <v>11</v>
      </c>
      <c r="M344" s="13">
        <v>41</v>
      </c>
      <c r="N344" s="13">
        <v>0</v>
      </c>
      <c r="O344" s="54">
        <f t="shared" si="10"/>
        <v>0.48680555555555555</v>
      </c>
      <c r="P344" s="55">
        <f t="shared" si="11"/>
        <v>0.82013888888888886</v>
      </c>
    </row>
    <row r="345" spans="1:16" x14ac:dyDescent="0.3">
      <c r="A345" s="25">
        <f>YEAR('RETAIL SALES DATA.'!K344)</f>
        <v>2025</v>
      </c>
      <c r="B345" s="13" t="str">
        <v>Jul</v>
      </c>
      <c r="C345" s="42">
        <f>DAY('RETAIL SALES DATA.'!K344)</f>
        <v>20</v>
      </c>
      <c r="D345" s="13">
        <v>2025</v>
      </c>
      <c r="E345" s="13" t="str">
        <v>Jul</v>
      </c>
      <c r="F345" s="13">
        <v>29</v>
      </c>
      <c r="G345" s="10"/>
      <c r="H345" s="13">
        <f>NETWORKDAYS('RETAIL SALES DATA.'!K344,'RETAIL SALES DATA.'!L344)</f>
        <v>7</v>
      </c>
      <c r="I345" s="13">
        <v>9</v>
      </c>
      <c r="J345" s="10"/>
      <c r="K345" s="13">
        <v>7</v>
      </c>
      <c r="L345" s="13">
        <v>9</v>
      </c>
      <c r="M345" s="13">
        <v>16</v>
      </c>
      <c r="N345" s="13">
        <v>0</v>
      </c>
      <c r="O345" s="54">
        <f t="shared" si="10"/>
        <v>0.38611111111111113</v>
      </c>
      <c r="P345" s="55">
        <f t="shared" si="11"/>
        <v>0.30277777777777776</v>
      </c>
    </row>
    <row r="346" spans="1:16" x14ac:dyDescent="0.3">
      <c r="A346" s="25">
        <f>YEAR('RETAIL SALES DATA.'!K345)</f>
        <v>2024</v>
      </c>
      <c r="B346" s="13" t="str">
        <v>Dec</v>
      </c>
      <c r="C346" s="42">
        <f>DAY('RETAIL SALES DATA.'!K345)</f>
        <v>19</v>
      </c>
      <c r="D346" s="13">
        <v>2024</v>
      </c>
      <c r="E346" s="13" t="str">
        <v>Dec</v>
      </c>
      <c r="F346" s="13">
        <v>26</v>
      </c>
      <c r="G346" s="10"/>
      <c r="H346" s="13">
        <f>NETWORKDAYS('RETAIL SALES DATA.'!K345,'RETAIL SALES DATA.'!L345)</f>
        <v>6</v>
      </c>
      <c r="I346" s="13">
        <v>7</v>
      </c>
      <c r="J346" s="10"/>
      <c r="K346" s="13">
        <v>14</v>
      </c>
      <c r="L346" s="13">
        <v>11</v>
      </c>
      <c r="M346" s="13">
        <v>42</v>
      </c>
      <c r="N346" s="13">
        <v>0</v>
      </c>
      <c r="O346" s="54">
        <f t="shared" si="10"/>
        <v>0.48749999999999999</v>
      </c>
      <c r="P346" s="55">
        <f t="shared" si="11"/>
        <v>0.61250000000000004</v>
      </c>
    </row>
    <row r="347" spans="1:16" x14ac:dyDescent="0.3">
      <c r="A347" s="25">
        <f>YEAR('RETAIL SALES DATA.'!K346)</f>
        <v>2025</v>
      </c>
      <c r="B347" s="13" t="str">
        <v>Jan</v>
      </c>
      <c r="C347" s="42">
        <f>DAY('RETAIL SALES DATA.'!K346)</f>
        <v>11</v>
      </c>
      <c r="D347" s="13">
        <v>2025</v>
      </c>
      <c r="E347" s="13" t="str">
        <v>Jan</v>
      </c>
      <c r="F347" s="13">
        <v>12</v>
      </c>
      <c r="G347" s="10"/>
      <c r="H347" s="13">
        <f>NETWORKDAYS('RETAIL SALES DATA.'!K346,'RETAIL SALES DATA.'!L346)</f>
        <v>0</v>
      </c>
      <c r="I347" s="13">
        <v>1</v>
      </c>
      <c r="J347" s="10"/>
      <c r="K347" s="13">
        <v>12</v>
      </c>
      <c r="L347" s="13">
        <v>8</v>
      </c>
      <c r="M347" s="13">
        <v>55</v>
      </c>
      <c r="N347" s="13">
        <v>0</v>
      </c>
      <c r="O347" s="54">
        <f t="shared" si="10"/>
        <v>0.37152777777777779</v>
      </c>
      <c r="P347" s="55">
        <f t="shared" si="11"/>
        <v>0.53819444444444442</v>
      </c>
    </row>
    <row r="348" spans="1:16" x14ac:dyDescent="0.3">
      <c r="A348" s="25">
        <f>YEAR('RETAIL SALES DATA.'!K347)</f>
        <v>2026</v>
      </c>
      <c r="B348" s="13" t="str">
        <v>May</v>
      </c>
      <c r="C348" s="42">
        <f>DAY('RETAIL SALES DATA.'!K347)</f>
        <v>2</v>
      </c>
      <c r="D348" s="13">
        <v>2026</v>
      </c>
      <c r="E348" s="13" t="str">
        <v>May</v>
      </c>
      <c r="F348" s="13">
        <v>10</v>
      </c>
      <c r="G348" s="10"/>
      <c r="H348" s="13">
        <f>NETWORKDAYS('RETAIL SALES DATA.'!K347,'RETAIL SALES DATA.'!L347)</f>
        <v>5</v>
      </c>
      <c r="I348" s="13">
        <v>8</v>
      </c>
      <c r="J348" s="10"/>
      <c r="K348" s="13">
        <v>7</v>
      </c>
      <c r="L348" s="13">
        <v>9</v>
      </c>
      <c r="M348" s="13">
        <v>40</v>
      </c>
      <c r="N348" s="13">
        <v>0</v>
      </c>
      <c r="O348" s="54">
        <f t="shared" si="10"/>
        <v>0.40277777777777779</v>
      </c>
      <c r="P348" s="55">
        <f t="shared" si="11"/>
        <v>0.31944444444444442</v>
      </c>
    </row>
    <row r="349" spans="1:16" x14ac:dyDescent="0.3">
      <c r="A349" s="25">
        <f>YEAR('RETAIL SALES DATA.'!K348)</f>
        <v>2026</v>
      </c>
      <c r="B349" s="13" t="str">
        <v>Mar</v>
      </c>
      <c r="C349" s="42">
        <f>DAY('RETAIL SALES DATA.'!K348)</f>
        <v>16</v>
      </c>
      <c r="D349" s="13">
        <v>2026</v>
      </c>
      <c r="E349" s="13" t="str">
        <v>Mar</v>
      </c>
      <c r="F349" s="13">
        <v>23</v>
      </c>
      <c r="G349" s="10"/>
      <c r="H349" s="13">
        <f>NETWORKDAYS('RETAIL SALES DATA.'!K348,'RETAIL SALES DATA.'!L348)</f>
        <v>6</v>
      </c>
      <c r="I349" s="13">
        <v>7</v>
      </c>
      <c r="J349" s="10"/>
      <c r="K349" s="13">
        <v>0</v>
      </c>
      <c r="L349" s="13">
        <v>10</v>
      </c>
      <c r="M349" s="13">
        <v>11</v>
      </c>
      <c r="N349" s="13">
        <v>0</v>
      </c>
      <c r="O349" s="54">
        <f t="shared" si="10"/>
        <v>0.42430555555555555</v>
      </c>
      <c r="P349" s="55">
        <f t="shared" si="11"/>
        <v>7.6388888888888886E-3</v>
      </c>
    </row>
    <row r="350" spans="1:16" x14ac:dyDescent="0.3">
      <c r="A350" s="25">
        <f>YEAR('RETAIL SALES DATA.'!K349)</f>
        <v>2024</v>
      </c>
      <c r="B350" s="13" t="str">
        <v>Oct</v>
      </c>
      <c r="C350" s="42">
        <f>DAY('RETAIL SALES DATA.'!K349)</f>
        <v>26</v>
      </c>
      <c r="D350" s="13">
        <v>2024</v>
      </c>
      <c r="E350" s="13" t="str">
        <v>Nov</v>
      </c>
      <c r="F350" s="13">
        <v>3</v>
      </c>
      <c r="G350" s="10"/>
      <c r="H350" s="13">
        <f>NETWORKDAYS('RETAIL SALES DATA.'!K349,'RETAIL SALES DATA.'!L349)</f>
        <v>5</v>
      </c>
      <c r="I350" s="13">
        <v>8</v>
      </c>
      <c r="J350" s="10"/>
      <c r="K350" s="13">
        <v>9</v>
      </c>
      <c r="L350" s="13">
        <v>11</v>
      </c>
      <c r="M350" s="13">
        <v>24</v>
      </c>
      <c r="N350" s="13">
        <v>0</v>
      </c>
      <c r="O350" s="54">
        <f t="shared" si="10"/>
        <v>0.47499999999999998</v>
      </c>
      <c r="P350" s="55">
        <f t="shared" si="11"/>
        <v>0.39166666666666666</v>
      </c>
    </row>
    <row r="351" spans="1:16" x14ac:dyDescent="0.3">
      <c r="A351" s="25">
        <f>YEAR('RETAIL SALES DATA.'!K350)</f>
        <v>2024</v>
      </c>
      <c r="B351" s="13" t="str">
        <v>Nov</v>
      </c>
      <c r="C351" s="42">
        <f>DAY('RETAIL SALES DATA.'!K350)</f>
        <v>24</v>
      </c>
      <c r="D351" s="13">
        <v>2024</v>
      </c>
      <c r="E351" s="13" t="str">
        <v>Nov</v>
      </c>
      <c r="F351" s="13">
        <v>27</v>
      </c>
      <c r="G351" s="10"/>
      <c r="H351" s="13">
        <f>NETWORKDAYS('RETAIL SALES DATA.'!K350,'RETAIL SALES DATA.'!L350)</f>
        <v>3</v>
      </c>
      <c r="I351" s="13">
        <v>3</v>
      </c>
      <c r="J351" s="10"/>
      <c r="K351" s="13">
        <v>21</v>
      </c>
      <c r="L351" s="13">
        <v>10</v>
      </c>
      <c r="M351" s="13">
        <v>44</v>
      </c>
      <c r="N351" s="13">
        <v>0</v>
      </c>
      <c r="O351" s="54">
        <f t="shared" si="10"/>
        <v>0.44722222222222224</v>
      </c>
      <c r="P351" s="55">
        <f t="shared" si="11"/>
        <v>0.90555555555555556</v>
      </c>
    </row>
    <row r="352" spans="1:16" x14ac:dyDescent="0.3">
      <c r="A352" s="25">
        <f>YEAR('RETAIL SALES DATA.'!K351)</f>
        <v>2024</v>
      </c>
      <c r="B352" s="13" t="str">
        <v>Jun</v>
      </c>
      <c r="C352" s="42">
        <f>DAY('RETAIL SALES DATA.'!K351)</f>
        <v>13</v>
      </c>
      <c r="D352" s="13">
        <v>2024</v>
      </c>
      <c r="E352" s="13" t="str">
        <v>Jun</v>
      </c>
      <c r="F352" s="13">
        <v>18</v>
      </c>
      <c r="G352" s="10"/>
      <c r="H352" s="13">
        <f>NETWORKDAYS('RETAIL SALES DATA.'!K351,'RETAIL SALES DATA.'!L351)</f>
        <v>4</v>
      </c>
      <c r="I352" s="13">
        <v>5</v>
      </c>
      <c r="J352" s="10"/>
      <c r="K352" s="13">
        <v>4</v>
      </c>
      <c r="L352" s="13">
        <v>8</v>
      </c>
      <c r="M352" s="13">
        <v>15</v>
      </c>
      <c r="N352" s="13">
        <v>0</v>
      </c>
      <c r="O352" s="54">
        <f t="shared" si="10"/>
        <v>0.34375</v>
      </c>
      <c r="P352" s="55">
        <f t="shared" si="11"/>
        <v>0.17708333333333334</v>
      </c>
    </row>
    <row r="353" spans="1:16" x14ac:dyDescent="0.3">
      <c r="A353" s="25">
        <f>YEAR('RETAIL SALES DATA.'!K352)</f>
        <v>2024</v>
      </c>
      <c r="B353" s="13" t="str">
        <v>Jun</v>
      </c>
      <c r="C353" s="42">
        <f>DAY('RETAIL SALES DATA.'!K352)</f>
        <v>7</v>
      </c>
      <c r="D353" s="13">
        <v>2024</v>
      </c>
      <c r="E353" s="13" t="str">
        <v>Jun</v>
      </c>
      <c r="F353" s="13">
        <v>9</v>
      </c>
      <c r="G353" s="10"/>
      <c r="H353" s="13">
        <f>NETWORKDAYS('RETAIL SALES DATA.'!K352,'RETAIL SALES DATA.'!L352)</f>
        <v>1</v>
      </c>
      <c r="I353" s="13">
        <v>2</v>
      </c>
      <c r="J353" s="10"/>
      <c r="K353" s="13">
        <v>21</v>
      </c>
      <c r="L353" s="13">
        <v>11</v>
      </c>
      <c r="M353" s="13">
        <v>55</v>
      </c>
      <c r="N353" s="13">
        <v>0</v>
      </c>
      <c r="O353" s="54">
        <f t="shared" si="10"/>
        <v>0.49652777777777779</v>
      </c>
      <c r="P353" s="55">
        <f t="shared" si="11"/>
        <v>0.91319444444444442</v>
      </c>
    </row>
    <row r="354" spans="1:16" x14ac:dyDescent="0.3">
      <c r="A354" s="25">
        <f>YEAR('RETAIL SALES DATA.'!K353)</f>
        <v>2026</v>
      </c>
      <c r="B354" s="13" t="str">
        <v>Mar</v>
      </c>
      <c r="C354" s="42">
        <f>DAY('RETAIL SALES DATA.'!K353)</f>
        <v>20</v>
      </c>
      <c r="D354" s="13">
        <v>2026</v>
      </c>
      <c r="E354" s="13" t="str">
        <v>Mar</v>
      </c>
      <c r="F354" s="13">
        <v>26</v>
      </c>
      <c r="G354" s="10"/>
      <c r="H354" s="13">
        <f>NETWORKDAYS('RETAIL SALES DATA.'!K353,'RETAIL SALES DATA.'!L353)</f>
        <v>5</v>
      </c>
      <c r="I354" s="13">
        <v>6</v>
      </c>
      <c r="J354" s="10"/>
      <c r="K354" s="13">
        <v>14</v>
      </c>
      <c r="L354" s="13">
        <v>9</v>
      </c>
      <c r="M354" s="13">
        <v>50</v>
      </c>
      <c r="N354" s="13">
        <v>0</v>
      </c>
      <c r="O354" s="54">
        <f t="shared" si="10"/>
        <v>0.40972222222222221</v>
      </c>
      <c r="P354" s="55">
        <f t="shared" si="11"/>
        <v>0.61805555555555558</v>
      </c>
    </row>
    <row r="355" spans="1:16" x14ac:dyDescent="0.3">
      <c r="A355" s="25">
        <f>YEAR('RETAIL SALES DATA.'!K354)</f>
        <v>2024</v>
      </c>
      <c r="B355" s="13" t="str">
        <v>Aug</v>
      </c>
      <c r="C355" s="42">
        <f>DAY('RETAIL SALES DATA.'!K354)</f>
        <v>30</v>
      </c>
      <c r="D355" s="13">
        <v>2024</v>
      </c>
      <c r="E355" s="13" t="str">
        <v>Sep</v>
      </c>
      <c r="F355" s="13">
        <v>6</v>
      </c>
      <c r="G355" s="10"/>
      <c r="H355" s="13">
        <f>NETWORKDAYS('RETAIL SALES DATA.'!K354,'RETAIL SALES DATA.'!L354)</f>
        <v>6</v>
      </c>
      <c r="I355" s="13">
        <v>7</v>
      </c>
      <c r="J355" s="10"/>
      <c r="K355" s="13">
        <v>16</v>
      </c>
      <c r="L355" s="13">
        <v>9</v>
      </c>
      <c r="M355" s="13">
        <v>58</v>
      </c>
      <c r="N355" s="13">
        <v>0</v>
      </c>
      <c r="O355" s="54">
        <f t="shared" si="10"/>
        <v>0.4152777777777778</v>
      </c>
      <c r="P355" s="55">
        <f t="shared" si="11"/>
        <v>0.70694444444444449</v>
      </c>
    </row>
    <row r="356" spans="1:16" x14ac:dyDescent="0.3">
      <c r="A356" s="25">
        <f>YEAR('RETAIL SALES DATA.'!K355)</f>
        <v>2024</v>
      </c>
      <c r="B356" s="13" t="str">
        <v>Jun</v>
      </c>
      <c r="C356" s="42">
        <f>DAY('RETAIL SALES DATA.'!K355)</f>
        <v>26</v>
      </c>
      <c r="D356" s="13">
        <v>2024</v>
      </c>
      <c r="E356" s="13" t="str">
        <v>Jul</v>
      </c>
      <c r="F356" s="13">
        <v>2</v>
      </c>
      <c r="G356" s="10"/>
      <c r="H356" s="13">
        <f>NETWORKDAYS('RETAIL SALES DATA.'!K355,'RETAIL SALES DATA.'!L355)</f>
        <v>5</v>
      </c>
      <c r="I356" s="13">
        <v>6</v>
      </c>
      <c r="J356" s="10"/>
      <c r="K356" s="13">
        <v>7</v>
      </c>
      <c r="L356" s="13">
        <v>9</v>
      </c>
      <c r="M356" s="13">
        <v>25</v>
      </c>
      <c r="N356" s="13">
        <v>0</v>
      </c>
      <c r="O356" s="54">
        <f t="shared" si="10"/>
        <v>0.3923611111111111</v>
      </c>
      <c r="P356" s="55">
        <f t="shared" si="11"/>
        <v>0.30902777777777779</v>
      </c>
    </row>
    <row r="357" spans="1:16" x14ac:dyDescent="0.3">
      <c r="A357" s="25">
        <f>YEAR('RETAIL SALES DATA.'!K356)</f>
        <v>2025</v>
      </c>
      <c r="B357" s="13" t="str">
        <v>Jan</v>
      </c>
      <c r="C357" s="42">
        <f>DAY('RETAIL SALES DATA.'!K356)</f>
        <v>23</v>
      </c>
      <c r="D357" s="13">
        <v>2025</v>
      </c>
      <c r="E357" s="13" t="str">
        <v>Jan</v>
      </c>
      <c r="F357" s="13">
        <v>26</v>
      </c>
      <c r="G357" s="10"/>
      <c r="H357" s="13">
        <f>NETWORKDAYS('RETAIL SALES DATA.'!K356,'RETAIL SALES DATA.'!L356)</f>
        <v>2</v>
      </c>
      <c r="I357" s="13">
        <v>3</v>
      </c>
      <c r="J357" s="10"/>
      <c r="K357" s="13">
        <v>16</v>
      </c>
      <c r="L357" s="13">
        <v>11</v>
      </c>
      <c r="M357" s="13">
        <v>57</v>
      </c>
      <c r="N357" s="13">
        <v>0</v>
      </c>
      <c r="O357" s="54">
        <f t="shared" si="10"/>
        <v>0.49791666666666667</v>
      </c>
      <c r="P357" s="55">
        <f t="shared" si="11"/>
        <v>0.70625000000000004</v>
      </c>
    </row>
    <row r="358" spans="1:16" x14ac:dyDescent="0.3">
      <c r="A358" s="25">
        <f>YEAR('RETAIL SALES DATA.'!K357)</f>
        <v>2026</v>
      </c>
      <c r="B358" s="13" t="str">
        <v>Apr</v>
      </c>
      <c r="C358" s="42">
        <f>DAY('RETAIL SALES DATA.'!K357)</f>
        <v>19</v>
      </c>
      <c r="D358" s="13">
        <v>2026</v>
      </c>
      <c r="E358" s="13" t="str">
        <v>Apr</v>
      </c>
      <c r="F358" s="13">
        <v>20</v>
      </c>
      <c r="G358" s="10"/>
      <c r="H358" s="13">
        <f>NETWORKDAYS('RETAIL SALES DATA.'!K357,'RETAIL SALES DATA.'!L357)</f>
        <v>1</v>
      </c>
      <c r="I358" s="13">
        <v>1</v>
      </c>
      <c r="J358" s="10"/>
      <c r="K358" s="13">
        <v>12</v>
      </c>
      <c r="L358" s="13">
        <v>9</v>
      </c>
      <c r="M358" s="13">
        <v>44</v>
      </c>
      <c r="N358" s="13">
        <v>0</v>
      </c>
      <c r="O358" s="54">
        <f t="shared" si="10"/>
        <v>0.40555555555555556</v>
      </c>
      <c r="P358" s="55">
        <f t="shared" si="11"/>
        <v>0.53055555555555556</v>
      </c>
    </row>
    <row r="359" spans="1:16" x14ac:dyDescent="0.3">
      <c r="A359" s="25">
        <f>YEAR('RETAIL SALES DATA.'!K358)</f>
        <v>2026</v>
      </c>
      <c r="B359" s="13" t="str">
        <v>Apr</v>
      </c>
      <c r="C359" s="42">
        <f>DAY('RETAIL SALES DATA.'!K358)</f>
        <v>28</v>
      </c>
      <c r="D359" s="13">
        <v>2026</v>
      </c>
      <c r="E359" s="13" t="str">
        <v>May</v>
      </c>
      <c r="F359" s="13">
        <v>6</v>
      </c>
      <c r="G359" s="10"/>
      <c r="H359" s="13">
        <f>NETWORKDAYS('RETAIL SALES DATA.'!K358,'RETAIL SALES DATA.'!L358)</f>
        <v>7</v>
      </c>
      <c r="I359" s="13">
        <v>8</v>
      </c>
      <c r="J359" s="10"/>
      <c r="K359" s="13">
        <v>19</v>
      </c>
      <c r="L359" s="13">
        <v>9</v>
      </c>
      <c r="M359" s="13">
        <v>22</v>
      </c>
      <c r="N359" s="13">
        <v>0</v>
      </c>
      <c r="O359" s="54">
        <f t="shared" si="10"/>
        <v>0.39027777777777778</v>
      </c>
      <c r="P359" s="55">
        <f t="shared" si="11"/>
        <v>0.80694444444444446</v>
      </c>
    </row>
    <row r="360" spans="1:16" x14ac:dyDescent="0.3">
      <c r="A360" s="25">
        <f>YEAR('RETAIL SALES DATA.'!K359)</f>
        <v>2025</v>
      </c>
      <c r="B360" s="13" t="str">
        <v>Sep</v>
      </c>
      <c r="C360" s="42">
        <f>DAY('RETAIL SALES DATA.'!K359)</f>
        <v>22</v>
      </c>
      <c r="D360" s="13">
        <v>2025</v>
      </c>
      <c r="E360" s="13" t="str">
        <v>Oct</v>
      </c>
      <c r="F360" s="13">
        <v>1</v>
      </c>
      <c r="G360" s="10"/>
      <c r="H360" s="13">
        <f>NETWORKDAYS('RETAIL SALES DATA.'!K359,'RETAIL SALES DATA.'!L359)</f>
        <v>8</v>
      </c>
      <c r="I360" s="13">
        <v>9</v>
      </c>
      <c r="J360" s="10"/>
      <c r="K360" s="13">
        <v>2</v>
      </c>
      <c r="L360" s="13">
        <v>8</v>
      </c>
      <c r="M360" s="13">
        <v>44</v>
      </c>
      <c r="N360" s="13">
        <v>0</v>
      </c>
      <c r="O360" s="54">
        <f t="shared" si="10"/>
        <v>0.36388888888888887</v>
      </c>
      <c r="P360" s="55">
        <f t="shared" si="11"/>
        <v>0.11388888888888889</v>
      </c>
    </row>
    <row r="361" spans="1:16" x14ac:dyDescent="0.3">
      <c r="A361" s="25">
        <f>YEAR('RETAIL SALES DATA.'!K360)</f>
        <v>2025</v>
      </c>
      <c r="B361" s="13" t="str">
        <v>Nov</v>
      </c>
      <c r="C361" s="42">
        <f>DAY('RETAIL SALES DATA.'!K360)</f>
        <v>15</v>
      </c>
      <c r="D361" s="13">
        <v>2025</v>
      </c>
      <c r="E361" s="13" t="str">
        <v>Nov</v>
      </c>
      <c r="F361" s="13">
        <v>17</v>
      </c>
      <c r="G361" s="10"/>
      <c r="H361" s="13">
        <f>NETWORKDAYS('RETAIL SALES DATA.'!K360,'RETAIL SALES DATA.'!L360)</f>
        <v>1</v>
      </c>
      <c r="I361" s="13">
        <v>2</v>
      </c>
      <c r="J361" s="10"/>
      <c r="K361" s="13">
        <v>12</v>
      </c>
      <c r="L361" s="13">
        <v>11</v>
      </c>
      <c r="M361" s="13">
        <v>35</v>
      </c>
      <c r="N361" s="13">
        <v>0</v>
      </c>
      <c r="O361" s="54">
        <f t="shared" si="10"/>
        <v>0.4826388888888889</v>
      </c>
      <c r="P361" s="55">
        <f t="shared" si="11"/>
        <v>0.52430555555555558</v>
      </c>
    </row>
    <row r="362" spans="1:16" x14ac:dyDescent="0.3">
      <c r="A362" s="25">
        <f>YEAR('RETAIL SALES DATA.'!K361)</f>
        <v>2025</v>
      </c>
      <c r="B362" s="13" t="str">
        <v>Nov</v>
      </c>
      <c r="C362" s="42">
        <f>DAY('RETAIL SALES DATA.'!K361)</f>
        <v>2</v>
      </c>
      <c r="D362" s="13">
        <v>2025</v>
      </c>
      <c r="E362" s="13" t="str">
        <v>Nov</v>
      </c>
      <c r="F362" s="13">
        <v>10</v>
      </c>
      <c r="G362" s="10"/>
      <c r="H362" s="13">
        <f>NETWORKDAYS('RETAIL SALES DATA.'!K361,'RETAIL SALES DATA.'!L361)</f>
        <v>6</v>
      </c>
      <c r="I362" s="13">
        <v>8</v>
      </c>
      <c r="J362" s="10"/>
      <c r="K362" s="13">
        <v>7</v>
      </c>
      <c r="L362" s="13">
        <v>8</v>
      </c>
      <c r="M362" s="13">
        <v>29</v>
      </c>
      <c r="N362" s="13">
        <v>0</v>
      </c>
      <c r="O362" s="54">
        <f t="shared" si="10"/>
        <v>0.35347222222222224</v>
      </c>
      <c r="P362" s="55">
        <f t="shared" si="11"/>
        <v>0.31180555555555556</v>
      </c>
    </row>
    <row r="363" spans="1:16" x14ac:dyDescent="0.3">
      <c r="A363" s="25">
        <f>YEAR('RETAIL SALES DATA.'!K362)</f>
        <v>2024</v>
      </c>
      <c r="B363" s="13" t="str">
        <v>Jul</v>
      </c>
      <c r="C363" s="42">
        <f>DAY('RETAIL SALES DATA.'!K362)</f>
        <v>8</v>
      </c>
      <c r="D363" s="13">
        <v>2024</v>
      </c>
      <c r="E363" s="13" t="str">
        <v>Jul</v>
      </c>
      <c r="F363" s="13">
        <v>17</v>
      </c>
      <c r="G363" s="10"/>
      <c r="H363" s="13">
        <f>NETWORKDAYS('RETAIL SALES DATA.'!K362,'RETAIL SALES DATA.'!L362)</f>
        <v>8</v>
      </c>
      <c r="I363" s="13">
        <v>9</v>
      </c>
      <c r="J363" s="10"/>
      <c r="K363" s="13">
        <v>16</v>
      </c>
      <c r="L363" s="13">
        <v>9</v>
      </c>
      <c r="M363" s="13">
        <v>20</v>
      </c>
      <c r="N363" s="13">
        <v>0</v>
      </c>
      <c r="O363" s="54">
        <f t="shared" si="10"/>
        <v>0.3888888888888889</v>
      </c>
      <c r="P363" s="55">
        <f t="shared" si="11"/>
        <v>0.68055555555555558</v>
      </c>
    </row>
    <row r="364" spans="1:16" x14ac:dyDescent="0.3">
      <c r="A364" s="25">
        <f>YEAR('RETAIL SALES DATA.'!K363)</f>
        <v>2024</v>
      </c>
      <c r="B364" s="13" t="str">
        <v>Jul</v>
      </c>
      <c r="C364" s="42">
        <f>DAY('RETAIL SALES DATA.'!K363)</f>
        <v>5</v>
      </c>
      <c r="D364" s="13">
        <v>2024</v>
      </c>
      <c r="E364" s="13" t="str">
        <v>Jul</v>
      </c>
      <c r="F364" s="13">
        <v>10</v>
      </c>
      <c r="G364" s="10"/>
      <c r="H364" s="13">
        <f>NETWORKDAYS('RETAIL SALES DATA.'!K363,'RETAIL SALES DATA.'!L363)</f>
        <v>4</v>
      </c>
      <c r="I364" s="13">
        <v>5</v>
      </c>
      <c r="J364" s="10"/>
      <c r="K364" s="13">
        <v>0</v>
      </c>
      <c r="L364" s="13">
        <v>9</v>
      </c>
      <c r="M364" s="13">
        <v>32</v>
      </c>
      <c r="N364" s="13">
        <v>0</v>
      </c>
      <c r="O364" s="54">
        <f t="shared" si="10"/>
        <v>0.3972222222222222</v>
      </c>
      <c r="P364" s="55">
        <f t="shared" si="11"/>
        <v>2.2222222222222223E-2</v>
      </c>
    </row>
    <row r="365" spans="1:16" x14ac:dyDescent="0.3">
      <c r="A365" s="25">
        <f>YEAR('RETAIL SALES DATA.'!K364)</f>
        <v>2024</v>
      </c>
      <c r="B365" s="13" t="str">
        <v>Jul</v>
      </c>
      <c r="C365" s="42">
        <f>DAY('RETAIL SALES DATA.'!K364)</f>
        <v>26</v>
      </c>
      <c r="D365" s="13">
        <v>2024</v>
      </c>
      <c r="E365" s="13" t="str">
        <v>Aug</v>
      </c>
      <c r="F365" s="13">
        <v>5</v>
      </c>
      <c r="G365" s="10"/>
      <c r="H365" s="13">
        <f>NETWORKDAYS('RETAIL SALES DATA.'!K364,'RETAIL SALES DATA.'!L364)</f>
        <v>7</v>
      </c>
      <c r="I365" s="13">
        <v>10</v>
      </c>
      <c r="J365" s="10"/>
      <c r="K365" s="13">
        <v>19</v>
      </c>
      <c r="L365" s="13">
        <v>9</v>
      </c>
      <c r="M365" s="13">
        <v>58</v>
      </c>
      <c r="N365" s="13">
        <v>0</v>
      </c>
      <c r="O365" s="54">
        <f t="shared" si="10"/>
        <v>0.4152777777777778</v>
      </c>
      <c r="P365" s="55">
        <f t="shared" si="11"/>
        <v>0.83194444444444449</v>
      </c>
    </row>
    <row r="366" spans="1:16" x14ac:dyDescent="0.3">
      <c r="A366" s="25">
        <f>YEAR('RETAIL SALES DATA.'!K365)</f>
        <v>2025</v>
      </c>
      <c r="B366" s="13" t="str">
        <v>Oct</v>
      </c>
      <c r="C366" s="42">
        <f>DAY('RETAIL SALES DATA.'!K365)</f>
        <v>23</v>
      </c>
      <c r="D366" s="13">
        <v>2025</v>
      </c>
      <c r="E366" s="13" t="str">
        <v>Nov</v>
      </c>
      <c r="F366" s="13">
        <v>2</v>
      </c>
      <c r="G366" s="10"/>
      <c r="H366" s="13">
        <f>NETWORKDAYS('RETAIL SALES DATA.'!K365,'RETAIL SALES DATA.'!L365)</f>
        <v>7</v>
      </c>
      <c r="I366" s="13">
        <v>10</v>
      </c>
      <c r="J366" s="10"/>
      <c r="K366" s="13">
        <v>19</v>
      </c>
      <c r="L366" s="13">
        <v>8</v>
      </c>
      <c r="M366" s="13">
        <v>25</v>
      </c>
      <c r="N366" s="13">
        <v>0</v>
      </c>
      <c r="O366" s="54">
        <f t="shared" si="10"/>
        <v>0.35069444444444442</v>
      </c>
      <c r="P366" s="55">
        <f t="shared" si="11"/>
        <v>0.80902777777777779</v>
      </c>
    </row>
    <row r="367" spans="1:16" x14ac:dyDescent="0.3">
      <c r="A367" s="25">
        <f>YEAR('RETAIL SALES DATA.'!K366)</f>
        <v>2025</v>
      </c>
      <c r="B367" s="13" t="str">
        <v>Jun</v>
      </c>
      <c r="C367" s="42">
        <f>DAY('RETAIL SALES DATA.'!K366)</f>
        <v>8</v>
      </c>
      <c r="D367" s="13">
        <v>2025</v>
      </c>
      <c r="E367" s="13" t="str">
        <v>Jun</v>
      </c>
      <c r="F367" s="13">
        <v>14</v>
      </c>
      <c r="G367" s="10"/>
      <c r="H367" s="13">
        <f>NETWORKDAYS('RETAIL SALES DATA.'!K366,'RETAIL SALES DATA.'!L366)</f>
        <v>5</v>
      </c>
      <c r="I367" s="13">
        <v>6</v>
      </c>
      <c r="J367" s="10"/>
      <c r="K367" s="13">
        <v>14</v>
      </c>
      <c r="L367" s="13">
        <v>10</v>
      </c>
      <c r="M367" s="13">
        <v>41</v>
      </c>
      <c r="N367" s="13">
        <v>0</v>
      </c>
      <c r="O367" s="54">
        <f t="shared" si="10"/>
        <v>0.44513888888888886</v>
      </c>
      <c r="P367" s="55">
        <f t="shared" si="11"/>
        <v>0.6118055555555556</v>
      </c>
    </row>
    <row r="368" spans="1:16" x14ac:dyDescent="0.3">
      <c r="A368" s="25">
        <f>YEAR('RETAIL SALES DATA.'!K367)</f>
        <v>2025</v>
      </c>
      <c r="B368" s="13" t="str">
        <v>Nov</v>
      </c>
      <c r="C368" s="42">
        <f>DAY('RETAIL SALES DATA.'!K367)</f>
        <v>24</v>
      </c>
      <c r="D368" s="13">
        <v>2025</v>
      </c>
      <c r="E368" s="13" t="str">
        <v>Dec</v>
      </c>
      <c r="F368" s="13">
        <v>3</v>
      </c>
      <c r="G368" s="10"/>
      <c r="H368" s="13">
        <f>NETWORKDAYS('RETAIL SALES DATA.'!K367,'RETAIL SALES DATA.'!L367)</f>
        <v>8</v>
      </c>
      <c r="I368" s="13">
        <v>9</v>
      </c>
      <c r="J368" s="10"/>
      <c r="K368" s="13">
        <v>7</v>
      </c>
      <c r="L368" s="13">
        <v>9</v>
      </c>
      <c r="M368" s="13">
        <v>0</v>
      </c>
      <c r="N368" s="13">
        <v>0</v>
      </c>
      <c r="O368" s="54">
        <f t="shared" si="10"/>
        <v>0.375</v>
      </c>
      <c r="P368" s="55">
        <f t="shared" si="11"/>
        <v>0.29166666666666669</v>
      </c>
    </row>
    <row r="369" spans="1:16" x14ac:dyDescent="0.3">
      <c r="A369" s="25">
        <f>YEAR('RETAIL SALES DATA.'!K368)</f>
        <v>2024</v>
      </c>
      <c r="B369" s="13" t="str">
        <v>Jul</v>
      </c>
      <c r="C369" s="42">
        <f>DAY('RETAIL SALES DATA.'!K368)</f>
        <v>6</v>
      </c>
      <c r="D369" s="13">
        <v>2024</v>
      </c>
      <c r="E369" s="13" t="str">
        <v>Jul</v>
      </c>
      <c r="F369" s="13">
        <v>13</v>
      </c>
      <c r="G369" s="10"/>
      <c r="H369" s="13">
        <f>NETWORKDAYS('RETAIL SALES DATA.'!K368,'RETAIL SALES DATA.'!L368)</f>
        <v>5</v>
      </c>
      <c r="I369" s="13">
        <v>7</v>
      </c>
      <c r="J369" s="10"/>
      <c r="K369" s="13">
        <v>4</v>
      </c>
      <c r="L369" s="13">
        <v>9</v>
      </c>
      <c r="M369" s="13">
        <v>15</v>
      </c>
      <c r="N369" s="13">
        <v>0</v>
      </c>
      <c r="O369" s="54">
        <f t="shared" si="10"/>
        <v>0.38541666666666669</v>
      </c>
      <c r="P369" s="55">
        <f t="shared" si="11"/>
        <v>0.17708333333333334</v>
      </c>
    </row>
    <row r="370" spans="1:16" x14ac:dyDescent="0.3">
      <c r="A370" s="25">
        <f>YEAR('RETAIL SALES DATA.'!K369)</f>
        <v>2025</v>
      </c>
      <c r="B370" s="13" t="str">
        <v>Apr</v>
      </c>
      <c r="C370" s="42">
        <f>DAY('RETAIL SALES DATA.'!K369)</f>
        <v>23</v>
      </c>
      <c r="D370" s="13">
        <v>2025</v>
      </c>
      <c r="E370" s="13" t="str">
        <v>May</v>
      </c>
      <c r="F370" s="13">
        <v>1</v>
      </c>
      <c r="G370" s="10"/>
      <c r="H370" s="13">
        <f>NETWORKDAYS('RETAIL SALES DATA.'!K369,'RETAIL SALES DATA.'!L369)</f>
        <v>7</v>
      </c>
      <c r="I370" s="13">
        <v>8</v>
      </c>
      <c r="J370" s="10"/>
      <c r="K370" s="13">
        <v>7</v>
      </c>
      <c r="L370" s="13">
        <v>11</v>
      </c>
      <c r="M370" s="13">
        <v>35</v>
      </c>
      <c r="N370" s="13">
        <v>0</v>
      </c>
      <c r="O370" s="54">
        <f t="shared" si="10"/>
        <v>0.4826388888888889</v>
      </c>
      <c r="P370" s="55">
        <f t="shared" si="11"/>
        <v>0.31597222222222221</v>
      </c>
    </row>
    <row r="371" spans="1:16" x14ac:dyDescent="0.3">
      <c r="A371" s="25">
        <f>YEAR('RETAIL SALES DATA.'!K370)</f>
        <v>2024</v>
      </c>
      <c r="B371" s="13" t="str">
        <v>Aug</v>
      </c>
      <c r="C371" s="42">
        <f>DAY('RETAIL SALES DATA.'!K370)</f>
        <v>15</v>
      </c>
      <c r="D371" s="13">
        <v>2024</v>
      </c>
      <c r="E371" s="13" t="str">
        <v>Aug</v>
      </c>
      <c r="F371" s="13">
        <v>24</v>
      </c>
      <c r="G371" s="10"/>
      <c r="H371" s="13">
        <f>NETWORKDAYS('RETAIL SALES DATA.'!K370,'RETAIL SALES DATA.'!L370)</f>
        <v>7</v>
      </c>
      <c r="I371" s="13">
        <v>9</v>
      </c>
      <c r="J371" s="10"/>
      <c r="K371" s="13">
        <v>14</v>
      </c>
      <c r="L371" s="13">
        <v>10</v>
      </c>
      <c r="M371" s="13">
        <v>39</v>
      </c>
      <c r="N371" s="13">
        <v>0</v>
      </c>
      <c r="O371" s="54">
        <f t="shared" si="10"/>
        <v>0.44374999999999998</v>
      </c>
      <c r="P371" s="55">
        <f t="shared" si="11"/>
        <v>0.61041666666666672</v>
      </c>
    </row>
    <row r="372" spans="1:16" x14ac:dyDescent="0.3">
      <c r="A372" s="25">
        <f>YEAR('RETAIL SALES DATA.'!K371)</f>
        <v>2025</v>
      </c>
      <c r="B372" s="13" t="str">
        <v>May</v>
      </c>
      <c r="C372" s="42">
        <f>DAY('RETAIL SALES DATA.'!K371)</f>
        <v>7</v>
      </c>
      <c r="D372" s="13">
        <v>2025</v>
      </c>
      <c r="E372" s="13" t="str">
        <v>May</v>
      </c>
      <c r="F372" s="13">
        <v>15</v>
      </c>
      <c r="G372" s="10"/>
      <c r="H372" s="13">
        <f>NETWORKDAYS('RETAIL SALES DATA.'!K371,'RETAIL SALES DATA.'!L371)</f>
        <v>7</v>
      </c>
      <c r="I372" s="13">
        <v>8</v>
      </c>
      <c r="J372" s="10"/>
      <c r="K372" s="13">
        <v>9</v>
      </c>
      <c r="L372" s="13">
        <v>11</v>
      </c>
      <c r="M372" s="13">
        <v>26</v>
      </c>
      <c r="N372" s="13">
        <v>0</v>
      </c>
      <c r="O372" s="54">
        <f t="shared" si="10"/>
        <v>0.47638888888888886</v>
      </c>
      <c r="P372" s="55">
        <f t="shared" si="11"/>
        <v>0.39305555555555555</v>
      </c>
    </row>
    <row r="373" spans="1:16" x14ac:dyDescent="0.3">
      <c r="A373" s="25">
        <f>YEAR('RETAIL SALES DATA.'!K372)</f>
        <v>2024</v>
      </c>
      <c r="B373" s="13" t="str">
        <v>Jun</v>
      </c>
      <c r="C373" s="42">
        <f>DAY('RETAIL SALES DATA.'!K372)</f>
        <v>7</v>
      </c>
      <c r="D373" s="13">
        <v>2024</v>
      </c>
      <c r="E373" s="13" t="str">
        <v>Jun</v>
      </c>
      <c r="F373" s="13">
        <v>9</v>
      </c>
      <c r="G373" s="10"/>
      <c r="H373" s="13">
        <f>NETWORKDAYS('RETAIL SALES DATA.'!K372,'RETAIL SALES DATA.'!L372)</f>
        <v>1</v>
      </c>
      <c r="I373" s="13">
        <v>2</v>
      </c>
      <c r="J373" s="10"/>
      <c r="K373" s="13">
        <v>19</v>
      </c>
      <c r="L373" s="13">
        <v>9</v>
      </c>
      <c r="M373" s="13">
        <v>16</v>
      </c>
      <c r="N373" s="13">
        <v>0</v>
      </c>
      <c r="O373" s="54">
        <f t="shared" si="10"/>
        <v>0.38611111111111113</v>
      </c>
      <c r="P373" s="55">
        <f t="shared" si="11"/>
        <v>0.80277777777777781</v>
      </c>
    </row>
    <row r="374" spans="1:16" x14ac:dyDescent="0.3">
      <c r="A374" s="25">
        <f>YEAR('RETAIL SALES DATA.'!K373)</f>
        <v>2025</v>
      </c>
      <c r="B374" s="13" t="str">
        <v>Dec</v>
      </c>
      <c r="C374" s="42">
        <f>DAY('RETAIL SALES DATA.'!K373)</f>
        <v>9</v>
      </c>
      <c r="D374" s="13">
        <v>2025</v>
      </c>
      <c r="E374" s="13" t="str">
        <v>Dec</v>
      </c>
      <c r="F374" s="13">
        <v>12</v>
      </c>
      <c r="G374" s="10"/>
      <c r="H374" s="13">
        <f>NETWORKDAYS('RETAIL SALES DATA.'!K373,'RETAIL SALES DATA.'!L373)</f>
        <v>4</v>
      </c>
      <c r="I374" s="13">
        <v>3</v>
      </c>
      <c r="J374" s="10"/>
      <c r="K374" s="13">
        <v>21</v>
      </c>
      <c r="L374" s="13">
        <v>11</v>
      </c>
      <c r="M374" s="13">
        <v>56</v>
      </c>
      <c r="N374" s="13">
        <v>0</v>
      </c>
      <c r="O374" s="54">
        <f t="shared" si="10"/>
        <v>0.49722222222222223</v>
      </c>
      <c r="P374" s="55">
        <f t="shared" si="11"/>
        <v>0.91388888888888886</v>
      </c>
    </row>
    <row r="375" spans="1:16" x14ac:dyDescent="0.3">
      <c r="A375" s="25">
        <f>YEAR('RETAIL SALES DATA.'!K374)</f>
        <v>2024</v>
      </c>
      <c r="B375" s="13" t="str">
        <v>Sep</v>
      </c>
      <c r="C375" s="42">
        <f>DAY('RETAIL SALES DATA.'!K374)</f>
        <v>26</v>
      </c>
      <c r="D375" s="13">
        <v>2024</v>
      </c>
      <c r="E375" s="13" t="str">
        <v>Sep</v>
      </c>
      <c r="F375" s="13">
        <v>28</v>
      </c>
      <c r="G375" s="10"/>
      <c r="H375" s="13">
        <f>NETWORKDAYS('RETAIL SALES DATA.'!K374,'RETAIL SALES DATA.'!L374)</f>
        <v>2</v>
      </c>
      <c r="I375" s="13">
        <v>2</v>
      </c>
      <c r="J375" s="10"/>
      <c r="K375" s="13">
        <v>9</v>
      </c>
      <c r="L375" s="13">
        <v>10</v>
      </c>
      <c r="M375" s="13">
        <v>34</v>
      </c>
      <c r="N375" s="13">
        <v>0</v>
      </c>
      <c r="O375" s="54">
        <f t="shared" si="10"/>
        <v>0.44027777777777777</v>
      </c>
      <c r="P375" s="55">
        <f t="shared" si="11"/>
        <v>0.39861111111111114</v>
      </c>
    </row>
    <row r="376" spans="1:16" x14ac:dyDescent="0.3">
      <c r="A376" s="25">
        <f>YEAR('RETAIL SALES DATA.'!K375)</f>
        <v>2025</v>
      </c>
      <c r="B376" s="13" t="str">
        <v>Oct</v>
      </c>
      <c r="C376" s="42">
        <f>DAY('RETAIL SALES DATA.'!K375)</f>
        <v>16</v>
      </c>
      <c r="D376" s="13">
        <v>2025</v>
      </c>
      <c r="E376" s="13" t="str">
        <v>Oct</v>
      </c>
      <c r="F376" s="13">
        <v>20</v>
      </c>
      <c r="G376" s="10"/>
      <c r="H376" s="13">
        <f>NETWORKDAYS('RETAIL SALES DATA.'!K375,'RETAIL SALES DATA.'!L375)</f>
        <v>3</v>
      </c>
      <c r="I376" s="13">
        <v>4</v>
      </c>
      <c r="J376" s="10"/>
      <c r="K376" s="13">
        <v>21</v>
      </c>
      <c r="L376" s="13">
        <v>9</v>
      </c>
      <c r="M376" s="13">
        <v>7</v>
      </c>
      <c r="N376" s="13">
        <v>0</v>
      </c>
      <c r="O376" s="54">
        <f t="shared" si="10"/>
        <v>0.37986111111111109</v>
      </c>
      <c r="P376" s="55">
        <f t="shared" si="11"/>
        <v>0.87986111111111109</v>
      </c>
    </row>
    <row r="377" spans="1:16" x14ac:dyDescent="0.3">
      <c r="A377" s="25">
        <f>YEAR('RETAIL SALES DATA.'!K376)</f>
        <v>2026</v>
      </c>
      <c r="B377" s="13" t="str">
        <v>Feb</v>
      </c>
      <c r="C377" s="42">
        <f>DAY('RETAIL SALES DATA.'!K376)</f>
        <v>6</v>
      </c>
      <c r="D377" s="13">
        <v>2026</v>
      </c>
      <c r="E377" s="13" t="str">
        <v>Feb</v>
      </c>
      <c r="F377" s="13">
        <v>15</v>
      </c>
      <c r="G377" s="10"/>
      <c r="H377" s="13">
        <f>NETWORKDAYS('RETAIL SALES DATA.'!K376,'RETAIL SALES DATA.'!L376)</f>
        <v>6</v>
      </c>
      <c r="I377" s="13">
        <v>9</v>
      </c>
      <c r="J377" s="10"/>
      <c r="K377" s="13">
        <v>7</v>
      </c>
      <c r="L377" s="13">
        <v>8</v>
      </c>
      <c r="M377" s="13">
        <v>12</v>
      </c>
      <c r="N377" s="13">
        <v>0</v>
      </c>
      <c r="O377" s="54">
        <f t="shared" si="10"/>
        <v>0.34166666666666667</v>
      </c>
      <c r="P377" s="55">
        <f t="shared" si="11"/>
        <v>0.3</v>
      </c>
    </row>
    <row r="378" spans="1:16" x14ac:dyDescent="0.3">
      <c r="A378" s="25">
        <f>YEAR('RETAIL SALES DATA.'!K377)</f>
        <v>2026</v>
      </c>
      <c r="B378" s="13" t="str">
        <v>Jan</v>
      </c>
      <c r="C378" s="42">
        <f>DAY('RETAIL SALES DATA.'!K377)</f>
        <v>28</v>
      </c>
      <c r="D378" s="13">
        <v>2026</v>
      </c>
      <c r="E378" s="13" t="str">
        <v>Feb</v>
      </c>
      <c r="F378" s="13">
        <v>6</v>
      </c>
      <c r="G378" s="10"/>
      <c r="H378" s="13">
        <f>NETWORKDAYS('RETAIL SALES DATA.'!K377,'RETAIL SALES DATA.'!L377)</f>
        <v>8</v>
      </c>
      <c r="I378" s="13">
        <v>9</v>
      </c>
      <c r="J378" s="10"/>
      <c r="K378" s="13">
        <v>7</v>
      </c>
      <c r="L378" s="13">
        <v>10</v>
      </c>
      <c r="M378" s="13">
        <v>58</v>
      </c>
      <c r="N378" s="13">
        <v>0</v>
      </c>
      <c r="O378" s="54">
        <f t="shared" si="10"/>
        <v>0.45694444444444443</v>
      </c>
      <c r="P378" s="55">
        <f t="shared" si="11"/>
        <v>0.33194444444444443</v>
      </c>
    </row>
    <row r="379" spans="1:16" x14ac:dyDescent="0.3">
      <c r="A379" s="25">
        <f>YEAR('RETAIL SALES DATA.'!K378)</f>
        <v>2024</v>
      </c>
      <c r="B379" s="13" t="str">
        <v>Oct</v>
      </c>
      <c r="C379" s="42">
        <f>DAY('RETAIL SALES DATA.'!K378)</f>
        <v>9</v>
      </c>
      <c r="D379" s="13">
        <v>2024</v>
      </c>
      <c r="E379" s="13" t="str">
        <v>Oct</v>
      </c>
      <c r="F379" s="13">
        <v>12</v>
      </c>
      <c r="G379" s="10"/>
      <c r="H379" s="13">
        <f>NETWORKDAYS('RETAIL SALES DATA.'!K378,'RETAIL SALES DATA.'!L378)</f>
        <v>3</v>
      </c>
      <c r="I379" s="13">
        <v>3</v>
      </c>
      <c r="J379" s="10"/>
      <c r="K379" s="13">
        <v>7</v>
      </c>
      <c r="L379" s="13">
        <v>11</v>
      </c>
      <c r="M379" s="13">
        <v>46</v>
      </c>
      <c r="N379" s="13">
        <v>0</v>
      </c>
      <c r="O379" s="54">
        <f t="shared" si="10"/>
        <v>0.49027777777777776</v>
      </c>
      <c r="P379" s="55">
        <f t="shared" si="11"/>
        <v>0.32361111111111113</v>
      </c>
    </row>
    <row r="380" spans="1:16" x14ac:dyDescent="0.3">
      <c r="A380" s="25">
        <f>YEAR('RETAIL SALES DATA.'!K379)</f>
        <v>2025</v>
      </c>
      <c r="B380" s="13" t="str">
        <v>Jan</v>
      </c>
      <c r="C380" s="42">
        <f>DAY('RETAIL SALES DATA.'!K379)</f>
        <v>24</v>
      </c>
      <c r="D380" s="13">
        <v>2025</v>
      </c>
      <c r="E380" s="13" t="str">
        <v>Feb</v>
      </c>
      <c r="F380" s="13">
        <v>2</v>
      </c>
      <c r="G380" s="10"/>
      <c r="H380" s="13">
        <f>NETWORKDAYS('RETAIL SALES DATA.'!K379,'RETAIL SALES DATA.'!L379)</f>
        <v>6</v>
      </c>
      <c r="I380" s="13">
        <v>9</v>
      </c>
      <c r="J380" s="10"/>
      <c r="K380" s="13">
        <v>12</v>
      </c>
      <c r="L380" s="13">
        <v>11</v>
      </c>
      <c r="M380" s="13">
        <v>48</v>
      </c>
      <c r="N380" s="13">
        <v>0</v>
      </c>
      <c r="O380" s="54">
        <f t="shared" si="10"/>
        <v>0.49166666666666664</v>
      </c>
      <c r="P380" s="55">
        <f t="shared" si="11"/>
        <v>0.53333333333333333</v>
      </c>
    </row>
    <row r="381" spans="1:16" x14ac:dyDescent="0.3">
      <c r="A381" s="25">
        <f>YEAR('RETAIL SALES DATA.'!K380)</f>
        <v>2024</v>
      </c>
      <c r="B381" s="13" t="str">
        <v>Oct</v>
      </c>
      <c r="C381" s="42">
        <f>DAY('RETAIL SALES DATA.'!K380)</f>
        <v>15</v>
      </c>
      <c r="D381" s="13">
        <v>2024</v>
      </c>
      <c r="E381" s="13" t="str">
        <v>Oct</v>
      </c>
      <c r="F381" s="13">
        <v>19</v>
      </c>
      <c r="G381" s="10"/>
      <c r="H381" s="13">
        <f>NETWORKDAYS('RETAIL SALES DATA.'!K380,'RETAIL SALES DATA.'!L380)</f>
        <v>4</v>
      </c>
      <c r="I381" s="13">
        <v>4</v>
      </c>
      <c r="J381" s="10"/>
      <c r="K381" s="13">
        <v>4</v>
      </c>
      <c r="L381" s="13">
        <v>9</v>
      </c>
      <c r="M381" s="13">
        <v>53</v>
      </c>
      <c r="N381" s="13">
        <v>0</v>
      </c>
      <c r="O381" s="54">
        <f t="shared" si="10"/>
        <v>0.41180555555555554</v>
      </c>
      <c r="P381" s="55">
        <f t="shared" si="11"/>
        <v>0.20347222222222222</v>
      </c>
    </row>
    <row r="382" spans="1:16" x14ac:dyDescent="0.3">
      <c r="A382" s="25">
        <f>YEAR('RETAIL SALES DATA.'!K381)</f>
        <v>2024</v>
      </c>
      <c r="B382" s="13" t="str">
        <v>Sep</v>
      </c>
      <c r="C382" s="42">
        <f>DAY('RETAIL SALES DATA.'!K381)</f>
        <v>21</v>
      </c>
      <c r="D382" s="13">
        <v>2024</v>
      </c>
      <c r="E382" s="13" t="str">
        <v>Oct</v>
      </c>
      <c r="F382" s="13">
        <v>1</v>
      </c>
      <c r="G382" s="10"/>
      <c r="H382" s="13">
        <f>NETWORKDAYS('RETAIL SALES DATA.'!K381,'RETAIL SALES DATA.'!L381)</f>
        <v>7</v>
      </c>
      <c r="I382" s="13">
        <v>10</v>
      </c>
      <c r="J382" s="10"/>
      <c r="K382" s="13">
        <v>12</v>
      </c>
      <c r="L382" s="13">
        <v>11</v>
      </c>
      <c r="M382" s="13">
        <v>4</v>
      </c>
      <c r="N382" s="13">
        <v>0</v>
      </c>
      <c r="O382" s="54">
        <f t="shared" si="10"/>
        <v>0.46111111111111114</v>
      </c>
      <c r="P382" s="55">
        <f t="shared" si="11"/>
        <v>0.50277777777777777</v>
      </c>
    </row>
    <row r="383" spans="1:16" x14ac:dyDescent="0.3">
      <c r="A383" s="25">
        <f>YEAR('RETAIL SALES DATA.'!K382)</f>
        <v>2025</v>
      </c>
      <c r="B383" s="13" t="str">
        <v>Jun</v>
      </c>
      <c r="C383" s="42">
        <f>DAY('RETAIL SALES DATA.'!K382)</f>
        <v>25</v>
      </c>
      <c r="D383" s="13">
        <v>2025</v>
      </c>
      <c r="E383" s="13" t="str">
        <v>Jun</v>
      </c>
      <c r="F383" s="13">
        <v>28</v>
      </c>
      <c r="G383" s="10"/>
      <c r="H383" s="13">
        <f>NETWORKDAYS('RETAIL SALES DATA.'!K382,'RETAIL SALES DATA.'!L382)</f>
        <v>3</v>
      </c>
      <c r="I383" s="13">
        <v>3</v>
      </c>
      <c r="J383" s="10"/>
      <c r="K383" s="13">
        <v>12</v>
      </c>
      <c r="L383" s="13">
        <v>8</v>
      </c>
      <c r="M383" s="13">
        <v>21</v>
      </c>
      <c r="N383" s="13">
        <v>0</v>
      </c>
      <c r="O383" s="54">
        <f t="shared" si="10"/>
        <v>0.34791666666666665</v>
      </c>
      <c r="P383" s="55">
        <f t="shared" si="11"/>
        <v>0.51458333333333328</v>
      </c>
    </row>
    <row r="384" spans="1:16" x14ac:dyDescent="0.3">
      <c r="A384" s="25">
        <f>YEAR('RETAIL SALES DATA.'!K383)</f>
        <v>2025</v>
      </c>
      <c r="B384" s="13" t="str">
        <v>Feb</v>
      </c>
      <c r="C384" s="42">
        <f>DAY('RETAIL SALES DATA.'!K383)</f>
        <v>1</v>
      </c>
      <c r="D384" s="13">
        <v>2025</v>
      </c>
      <c r="E384" s="13" t="str">
        <v>Feb</v>
      </c>
      <c r="F384" s="13">
        <v>3</v>
      </c>
      <c r="G384" s="10"/>
      <c r="H384" s="13">
        <f>NETWORKDAYS('RETAIL SALES DATA.'!K383,'RETAIL SALES DATA.'!L383)</f>
        <v>1</v>
      </c>
      <c r="I384" s="13">
        <v>2</v>
      </c>
      <c r="J384" s="10"/>
      <c r="K384" s="13">
        <v>21</v>
      </c>
      <c r="L384" s="13">
        <v>8</v>
      </c>
      <c r="M384" s="13">
        <v>5</v>
      </c>
      <c r="N384" s="13">
        <v>0</v>
      </c>
      <c r="O384" s="54">
        <f t="shared" si="10"/>
        <v>0.33680555555555558</v>
      </c>
      <c r="P384" s="55">
        <f t="shared" si="11"/>
        <v>0.87847222222222221</v>
      </c>
    </row>
    <row r="385" spans="1:16" x14ac:dyDescent="0.3">
      <c r="A385" s="25">
        <f>YEAR('RETAIL SALES DATA.'!K384)</f>
        <v>2025</v>
      </c>
      <c r="B385" s="13" t="str">
        <v>Feb</v>
      </c>
      <c r="C385" s="42">
        <f>DAY('RETAIL SALES DATA.'!K384)</f>
        <v>6</v>
      </c>
      <c r="D385" s="13">
        <v>2025</v>
      </c>
      <c r="E385" s="13" t="str">
        <v>Feb</v>
      </c>
      <c r="F385" s="13">
        <v>11</v>
      </c>
      <c r="G385" s="10"/>
      <c r="H385" s="13">
        <f>NETWORKDAYS('RETAIL SALES DATA.'!K384,'RETAIL SALES DATA.'!L384)</f>
        <v>4</v>
      </c>
      <c r="I385" s="13">
        <v>5</v>
      </c>
      <c r="J385" s="10"/>
      <c r="K385" s="13">
        <v>12</v>
      </c>
      <c r="L385" s="13">
        <v>10</v>
      </c>
      <c r="M385" s="13">
        <v>12</v>
      </c>
      <c r="N385" s="13">
        <v>0</v>
      </c>
      <c r="O385" s="54">
        <f t="shared" si="10"/>
        <v>0.42499999999999999</v>
      </c>
      <c r="P385" s="55">
        <f t="shared" si="11"/>
        <v>0.5083333333333333</v>
      </c>
    </row>
    <row r="386" spans="1:16" x14ac:dyDescent="0.3">
      <c r="A386" s="25">
        <f>YEAR('RETAIL SALES DATA.'!K385)</f>
        <v>2025</v>
      </c>
      <c r="B386" s="13" t="str">
        <v>Sep</v>
      </c>
      <c r="C386" s="42">
        <f>DAY('RETAIL SALES DATA.'!K385)</f>
        <v>10</v>
      </c>
      <c r="D386" s="13">
        <v>2025</v>
      </c>
      <c r="E386" s="13" t="str">
        <v>Sep</v>
      </c>
      <c r="F386" s="13">
        <v>11</v>
      </c>
      <c r="G386" s="10"/>
      <c r="H386" s="13">
        <f>NETWORKDAYS('RETAIL SALES DATA.'!K385,'RETAIL SALES DATA.'!L385)</f>
        <v>2</v>
      </c>
      <c r="I386" s="13">
        <v>1</v>
      </c>
      <c r="J386" s="10"/>
      <c r="K386" s="13">
        <v>21</v>
      </c>
      <c r="L386" s="13">
        <v>11</v>
      </c>
      <c r="M386" s="13">
        <v>37</v>
      </c>
      <c r="N386" s="13">
        <v>0</v>
      </c>
      <c r="O386" s="54">
        <f t="shared" si="10"/>
        <v>0.48402777777777778</v>
      </c>
      <c r="P386" s="55">
        <f t="shared" si="11"/>
        <v>0.90069444444444446</v>
      </c>
    </row>
    <row r="387" spans="1:16" x14ac:dyDescent="0.3">
      <c r="A387" s="25">
        <f>YEAR('RETAIL SALES DATA.'!K386)</f>
        <v>2026</v>
      </c>
      <c r="B387" s="13" t="str">
        <v>Mar</v>
      </c>
      <c r="C387" s="42">
        <f>DAY('RETAIL SALES DATA.'!K386)</f>
        <v>4</v>
      </c>
      <c r="D387" s="13">
        <v>2026</v>
      </c>
      <c r="E387" s="13" t="str">
        <v>Mar</v>
      </c>
      <c r="F387" s="13">
        <v>11</v>
      </c>
      <c r="G387" s="10"/>
      <c r="H387" s="13">
        <f>NETWORKDAYS('RETAIL SALES DATA.'!K386,'RETAIL SALES DATA.'!L386)</f>
        <v>6</v>
      </c>
      <c r="I387" s="13">
        <v>7</v>
      </c>
      <c r="J387" s="10"/>
      <c r="K387" s="13">
        <v>14</v>
      </c>
      <c r="L387" s="13">
        <v>8</v>
      </c>
      <c r="M387" s="13">
        <v>3</v>
      </c>
      <c r="N387" s="13">
        <v>0</v>
      </c>
      <c r="O387" s="54">
        <f t="shared" si="10"/>
        <v>0.33541666666666664</v>
      </c>
      <c r="P387" s="55">
        <f t="shared" si="11"/>
        <v>0.5854166666666667</v>
      </c>
    </row>
    <row r="388" spans="1:16" x14ac:dyDescent="0.3">
      <c r="A388" s="25">
        <f>YEAR('RETAIL SALES DATA.'!K387)</f>
        <v>2024</v>
      </c>
      <c r="B388" s="13" t="str">
        <v>Aug</v>
      </c>
      <c r="C388" s="42">
        <f>DAY('RETAIL SALES DATA.'!K387)</f>
        <v>4</v>
      </c>
      <c r="D388" s="13">
        <v>2024</v>
      </c>
      <c r="E388" s="13" t="str">
        <v>Aug</v>
      </c>
      <c r="F388" s="13">
        <v>13</v>
      </c>
      <c r="G388" s="10"/>
      <c r="H388" s="13">
        <f>NETWORKDAYS('RETAIL SALES DATA.'!K387,'RETAIL SALES DATA.'!L387)</f>
        <v>7</v>
      </c>
      <c r="I388" s="13">
        <v>9</v>
      </c>
      <c r="J388" s="10"/>
      <c r="K388" s="13">
        <v>14</v>
      </c>
      <c r="L388" s="13">
        <v>8</v>
      </c>
      <c r="M388" s="13">
        <v>37</v>
      </c>
      <c r="N388" s="13">
        <v>0</v>
      </c>
      <c r="O388" s="54">
        <f t="shared" ref="O388:O451" si="12">TIME(L388,M388,N388)</f>
        <v>0.35902777777777778</v>
      </c>
      <c r="P388" s="55">
        <f t="shared" ref="P388:P451" si="13">TIME(K388,M388,N388)</f>
        <v>0.60902777777777772</v>
      </c>
    </row>
    <row r="389" spans="1:16" x14ac:dyDescent="0.3">
      <c r="A389" s="25">
        <f>YEAR('RETAIL SALES DATA.'!K388)</f>
        <v>2024</v>
      </c>
      <c r="B389" s="13" t="str">
        <v>Jun</v>
      </c>
      <c r="C389" s="42">
        <f>DAY('RETAIL SALES DATA.'!K388)</f>
        <v>15</v>
      </c>
      <c r="D389" s="13">
        <v>2024</v>
      </c>
      <c r="E389" s="13" t="str">
        <v>Jun</v>
      </c>
      <c r="F389" s="13">
        <v>23</v>
      </c>
      <c r="G389" s="10"/>
      <c r="H389" s="13">
        <f>NETWORKDAYS('RETAIL SALES DATA.'!K388,'RETAIL SALES DATA.'!L388)</f>
        <v>5</v>
      </c>
      <c r="I389" s="13">
        <v>8</v>
      </c>
      <c r="J389" s="10"/>
      <c r="K389" s="13">
        <v>2</v>
      </c>
      <c r="L389" s="13">
        <v>11</v>
      </c>
      <c r="M389" s="13">
        <v>49</v>
      </c>
      <c r="N389" s="13">
        <v>0</v>
      </c>
      <c r="O389" s="54">
        <f t="shared" si="12"/>
        <v>0.49236111111111114</v>
      </c>
      <c r="P389" s="55">
        <f t="shared" si="13"/>
        <v>0.11736111111111111</v>
      </c>
    </row>
    <row r="390" spans="1:16" x14ac:dyDescent="0.3">
      <c r="A390" s="25">
        <f>YEAR('RETAIL SALES DATA.'!K389)</f>
        <v>2025</v>
      </c>
      <c r="B390" s="13" t="str">
        <v>Nov</v>
      </c>
      <c r="C390" s="42">
        <f>DAY('RETAIL SALES DATA.'!K389)</f>
        <v>14</v>
      </c>
      <c r="D390" s="13">
        <v>2025</v>
      </c>
      <c r="E390" s="13" t="str">
        <v>Nov</v>
      </c>
      <c r="F390" s="13">
        <v>22</v>
      </c>
      <c r="G390" s="10"/>
      <c r="H390" s="13">
        <f>NETWORKDAYS('RETAIL SALES DATA.'!K389,'RETAIL SALES DATA.'!L389)</f>
        <v>6</v>
      </c>
      <c r="I390" s="13">
        <v>8</v>
      </c>
      <c r="J390" s="10"/>
      <c r="K390" s="13">
        <v>14</v>
      </c>
      <c r="L390" s="13">
        <v>10</v>
      </c>
      <c r="M390" s="13">
        <v>54</v>
      </c>
      <c r="N390" s="13">
        <v>0</v>
      </c>
      <c r="O390" s="54">
        <f t="shared" si="12"/>
        <v>0.45416666666666666</v>
      </c>
      <c r="P390" s="55">
        <f t="shared" si="13"/>
        <v>0.62083333333333335</v>
      </c>
    </row>
    <row r="391" spans="1:16" x14ac:dyDescent="0.3">
      <c r="A391" s="25">
        <f>YEAR('RETAIL SALES DATA.'!K390)</f>
        <v>2024</v>
      </c>
      <c r="B391" s="13" t="str">
        <v>Aug</v>
      </c>
      <c r="C391" s="42">
        <f>DAY('RETAIL SALES DATA.'!K390)</f>
        <v>11</v>
      </c>
      <c r="D391" s="13">
        <v>2024</v>
      </c>
      <c r="E391" s="13" t="str">
        <v>Aug</v>
      </c>
      <c r="F391" s="13">
        <v>20</v>
      </c>
      <c r="G391" s="10"/>
      <c r="H391" s="13">
        <f>NETWORKDAYS('RETAIL SALES DATA.'!K390,'RETAIL SALES DATA.'!L390)</f>
        <v>7</v>
      </c>
      <c r="I391" s="13">
        <v>9</v>
      </c>
      <c r="J391" s="10"/>
      <c r="K391" s="13">
        <v>19</v>
      </c>
      <c r="L391" s="13">
        <v>8</v>
      </c>
      <c r="M391" s="13">
        <v>29</v>
      </c>
      <c r="N391" s="13">
        <v>0</v>
      </c>
      <c r="O391" s="54">
        <f t="shared" si="12"/>
        <v>0.35347222222222224</v>
      </c>
      <c r="P391" s="55">
        <f t="shared" si="13"/>
        <v>0.81180555555555556</v>
      </c>
    </row>
    <row r="392" spans="1:16" x14ac:dyDescent="0.3">
      <c r="A392" s="25">
        <f>YEAR('RETAIL SALES DATA.'!K391)</f>
        <v>2024</v>
      </c>
      <c r="B392" s="13" t="str">
        <v>Jun</v>
      </c>
      <c r="C392" s="42">
        <f>DAY('RETAIL SALES DATA.'!K391)</f>
        <v>21</v>
      </c>
      <c r="D392" s="13">
        <v>2024</v>
      </c>
      <c r="E392" s="13" t="str">
        <v>Jun</v>
      </c>
      <c r="F392" s="13">
        <v>27</v>
      </c>
      <c r="G392" s="10"/>
      <c r="H392" s="13">
        <f>NETWORKDAYS('RETAIL SALES DATA.'!K391,'RETAIL SALES DATA.'!L391)</f>
        <v>5</v>
      </c>
      <c r="I392" s="13">
        <v>6</v>
      </c>
      <c r="J392" s="10"/>
      <c r="K392" s="13">
        <v>4</v>
      </c>
      <c r="L392" s="13">
        <v>10</v>
      </c>
      <c r="M392" s="13">
        <v>3</v>
      </c>
      <c r="N392" s="13">
        <v>0</v>
      </c>
      <c r="O392" s="54">
        <f t="shared" si="12"/>
        <v>0.41875000000000001</v>
      </c>
      <c r="P392" s="55">
        <f t="shared" si="13"/>
        <v>0.16875000000000001</v>
      </c>
    </row>
    <row r="393" spans="1:16" x14ac:dyDescent="0.3">
      <c r="A393" s="25">
        <f>YEAR('RETAIL SALES DATA.'!K392)</f>
        <v>2026</v>
      </c>
      <c r="B393" s="13" t="str">
        <v>Feb</v>
      </c>
      <c r="C393" s="42">
        <f>DAY('RETAIL SALES DATA.'!K392)</f>
        <v>16</v>
      </c>
      <c r="D393" s="13">
        <v>2026</v>
      </c>
      <c r="E393" s="13" t="str">
        <v>Feb</v>
      </c>
      <c r="F393" s="13">
        <v>25</v>
      </c>
      <c r="G393" s="10"/>
      <c r="H393" s="13">
        <f>NETWORKDAYS('RETAIL SALES DATA.'!K392,'RETAIL SALES DATA.'!L392)</f>
        <v>8</v>
      </c>
      <c r="I393" s="13">
        <v>9</v>
      </c>
      <c r="J393" s="10"/>
      <c r="K393" s="13">
        <v>19</v>
      </c>
      <c r="L393" s="13">
        <v>11</v>
      </c>
      <c r="M393" s="13">
        <v>48</v>
      </c>
      <c r="N393" s="13">
        <v>0</v>
      </c>
      <c r="O393" s="54">
        <f t="shared" si="12"/>
        <v>0.49166666666666664</v>
      </c>
      <c r="P393" s="55">
        <f t="shared" si="13"/>
        <v>0.82499999999999996</v>
      </c>
    </row>
    <row r="394" spans="1:16" x14ac:dyDescent="0.3">
      <c r="A394" s="25">
        <f>YEAR('RETAIL SALES DATA.'!K393)</f>
        <v>2025</v>
      </c>
      <c r="B394" s="13" t="str">
        <v>Jul</v>
      </c>
      <c r="C394" s="42">
        <f>DAY('RETAIL SALES DATA.'!K393)</f>
        <v>30</v>
      </c>
      <c r="D394" s="13">
        <v>2025</v>
      </c>
      <c r="E394" s="13" t="str">
        <v>Aug</v>
      </c>
      <c r="F394" s="13">
        <v>4</v>
      </c>
      <c r="G394" s="10"/>
      <c r="H394" s="13">
        <f>NETWORKDAYS('RETAIL SALES DATA.'!K393,'RETAIL SALES DATA.'!L393)</f>
        <v>4</v>
      </c>
      <c r="I394" s="13">
        <v>5</v>
      </c>
      <c r="J394" s="10"/>
      <c r="K394" s="13">
        <v>21</v>
      </c>
      <c r="L394" s="13">
        <v>9</v>
      </c>
      <c r="M394" s="13">
        <v>3</v>
      </c>
      <c r="N394" s="13">
        <v>0</v>
      </c>
      <c r="O394" s="54">
        <f t="shared" si="12"/>
        <v>0.37708333333333333</v>
      </c>
      <c r="P394" s="55">
        <f t="shared" si="13"/>
        <v>0.87708333333333333</v>
      </c>
    </row>
    <row r="395" spans="1:16" x14ac:dyDescent="0.3">
      <c r="A395" s="25">
        <f>YEAR('RETAIL SALES DATA.'!K394)</f>
        <v>2024</v>
      </c>
      <c r="B395" s="13" t="str">
        <v>Nov</v>
      </c>
      <c r="C395" s="42">
        <f>DAY('RETAIL SALES DATA.'!K394)</f>
        <v>30</v>
      </c>
      <c r="D395" s="13">
        <v>2024</v>
      </c>
      <c r="E395" s="13" t="str">
        <v>Dec</v>
      </c>
      <c r="F395" s="13">
        <v>2</v>
      </c>
      <c r="G395" s="10"/>
      <c r="H395" s="13">
        <f>NETWORKDAYS('RETAIL SALES DATA.'!K394,'RETAIL SALES DATA.'!L394)</f>
        <v>1</v>
      </c>
      <c r="I395" s="13">
        <v>2</v>
      </c>
      <c r="J395" s="10"/>
      <c r="K395" s="13">
        <v>12</v>
      </c>
      <c r="L395" s="13">
        <v>11</v>
      </c>
      <c r="M395" s="13">
        <v>43</v>
      </c>
      <c r="N395" s="13">
        <v>0</v>
      </c>
      <c r="O395" s="54">
        <f t="shared" si="12"/>
        <v>0.48819444444444443</v>
      </c>
      <c r="P395" s="55">
        <f t="shared" si="13"/>
        <v>0.52986111111111112</v>
      </c>
    </row>
    <row r="396" spans="1:16" x14ac:dyDescent="0.3">
      <c r="A396" s="25">
        <f>YEAR('RETAIL SALES DATA.'!K395)</f>
        <v>2024</v>
      </c>
      <c r="B396" s="13" t="str">
        <v>Sep</v>
      </c>
      <c r="C396" s="42">
        <f>DAY('RETAIL SALES DATA.'!K395)</f>
        <v>20</v>
      </c>
      <c r="D396" s="13">
        <v>2024</v>
      </c>
      <c r="E396" s="13" t="str">
        <v>Sep</v>
      </c>
      <c r="F396" s="13">
        <v>23</v>
      </c>
      <c r="G396" s="10"/>
      <c r="H396" s="13">
        <f>NETWORKDAYS('RETAIL SALES DATA.'!K395,'RETAIL SALES DATA.'!L395)</f>
        <v>2</v>
      </c>
      <c r="I396" s="13">
        <v>3</v>
      </c>
      <c r="J396" s="10"/>
      <c r="K396" s="13">
        <v>21</v>
      </c>
      <c r="L396" s="13">
        <v>8</v>
      </c>
      <c r="M396" s="13">
        <v>30</v>
      </c>
      <c r="N396" s="13">
        <v>0</v>
      </c>
      <c r="O396" s="54">
        <f t="shared" si="12"/>
        <v>0.35416666666666669</v>
      </c>
      <c r="P396" s="55">
        <f t="shared" si="13"/>
        <v>0.89583333333333337</v>
      </c>
    </row>
    <row r="397" spans="1:16" x14ac:dyDescent="0.3">
      <c r="A397" s="25">
        <f>YEAR('RETAIL SALES DATA.'!K396)</f>
        <v>2024</v>
      </c>
      <c r="B397" s="13" t="str">
        <v>Aug</v>
      </c>
      <c r="C397" s="42">
        <f>DAY('RETAIL SALES DATA.'!K396)</f>
        <v>30</v>
      </c>
      <c r="D397" s="13">
        <v>2024</v>
      </c>
      <c r="E397" s="13" t="str">
        <v>Sep</v>
      </c>
      <c r="F397" s="13">
        <v>3</v>
      </c>
      <c r="G397" s="10"/>
      <c r="H397" s="13">
        <f>NETWORKDAYS('RETAIL SALES DATA.'!K396,'RETAIL SALES DATA.'!L396)</f>
        <v>3</v>
      </c>
      <c r="I397" s="13">
        <v>4</v>
      </c>
      <c r="J397" s="10"/>
      <c r="K397" s="13">
        <v>7</v>
      </c>
      <c r="L397" s="13">
        <v>11</v>
      </c>
      <c r="M397" s="13">
        <v>39</v>
      </c>
      <c r="N397" s="13">
        <v>0</v>
      </c>
      <c r="O397" s="54">
        <f t="shared" si="12"/>
        <v>0.48541666666666666</v>
      </c>
      <c r="P397" s="55">
        <f t="shared" si="13"/>
        <v>0.31874999999999998</v>
      </c>
    </row>
    <row r="398" spans="1:16" x14ac:dyDescent="0.3">
      <c r="A398" s="25">
        <f>YEAR('RETAIL SALES DATA.'!K397)</f>
        <v>2024</v>
      </c>
      <c r="B398" s="13" t="str">
        <v>Jun</v>
      </c>
      <c r="C398" s="42">
        <f>DAY('RETAIL SALES DATA.'!K397)</f>
        <v>2</v>
      </c>
      <c r="D398" s="13">
        <v>2024</v>
      </c>
      <c r="E398" s="13" t="str">
        <v>Jun</v>
      </c>
      <c r="F398" s="13">
        <v>12</v>
      </c>
      <c r="G398" s="10"/>
      <c r="H398" s="13">
        <f>NETWORKDAYS('RETAIL SALES DATA.'!K397,'RETAIL SALES DATA.'!L397)</f>
        <v>8</v>
      </c>
      <c r="I398" s="13">
        <v>10</v>
      </c>
      <c r="J398" s="10"/>
      <c r="K398" s="13">
        <v>4</v>
      </c>
      <c r="L398" s="13">
        <v>9</v>
      </c>
      <c r="M398" s="13">
        <v>7</v>
      </c>
      <c r="N398" s="13">
        <v>0</v>
      </c>
      <c r="O398" s="54">
        <f t="shared" si="12"/>
        <v>0.37986111111111109</v>
      </c>
      <c r="P398" s="55">
        <f t="shared" si="13"/>
        <v>0.17152777777777778</v>
      </c>
    </row>
    <row r="399" spans="1:16" x14ac:dyDescent="0.3">
      <c r="A399" s="25">
        <f>YEAR('RETAIL SALES DATA.'!K398)</f>
        <v>2025</v>
      </c>
      <c r="B399" s="13" t="str">
        <v>Oct</v>
      </c>
      <c r="C399" s="42">
        <f>DAY('RETAIL SALES DATA.'!K398)</f>
        <v>25</v>
      </c>
      <c r="D399" s="13">
        <v>2025</v>
      </c>
      <c r="E399" s="13" t="str">
        <v>Nov</v>
      </c>
      <c r="F399" s="13">
        <v>3</v>
      </c>
      <c r="G399" s="10"/>
      <c r="H399" s="13">
        <f>NETWORKDAYS('RETAIL SALES DATA.'!K398,'RETAIL SALES DATA.'!L398)</f>
        <v>6</v>
      </c>
      <c r="I399" s="13">
        <v>9</v>
      </c>
      <c r="J399" s="10"/>
      <c r="K399" s="13">
        <v>2</v>
      </c>
      <c r="L399" s="13">
        <v>11</v>
      </c>
      <c r="M399" s="13">
        <v>42</v>
      </c>
      <c r="N399" s="13">
        <v>0</v>
      </c>
      <c r="O399" s="54">
        <f t="shared" si="12"/>
        <v>0.48749999999999999</v>
      </c>
      <c r="P399" s="55">
        <f t="shared" si="13"/>
        <v>0.1125</v>
      </c>
    </row>
    <row r="400" spans="1:16" x14ac:dyDescent="0.3">
      <c r="A400" s="25">
        <f>YEAR('RETAIL SALES DATA.'!K399)</f>
        <v>2025</v>
      </c>
      <c r="B400" s="13" t="str">
        <v>Sep</v>
      </c>
      <c r="C400" s="42">
        <f>DAY('RETAIL SALES DATA.'!K399)</f>
        <v>15</v>
      </c>
      <c r="D400" s="13">
        <v>2025</v>
      </c>
      <c r="E400" s="13" t="str">
        <v>Sep</v>
      </c>
      <c r="F400" s="13">
        <v>25</v>
      </c>
      <c r="G400" s="10"/>
      <c r="H400" s="13">
        <f>NETWORKDAYS('RETAIL SALES DATA.'!K399,'RETAIL SALES DATA.'!L399)</f>
        <v>9</v>
      </c>
      <c r="I400" s="13">
        <v>10</v>
      </c>
      <c r="J400" s="10"/>
      <c r="K400" s="13">
        <v>21</v>
      </c>
      <c r="L400" s="13">
        <v>10</v>
      </c>
      <c r="M400" s="13">
        <v>21</v>
      </c>
      <c r="N400" s="13">
        <v>0</v>
      </c>
      <c r="O400" s="54">
        <f t="shared" si="12"/>
        <v>0.43125000000000002</v>
      </c>
      <c r="P400" s="55">
        <f t="shared" si="13"/>
        <v>0.88958333333333328</v>
      </c>
    </row>
    <row r="401" spans="1:16" x14ac:dyDescent="0.3">
      <c r="A401" s="25">
        <f>YEAR('RETAIL SALES DATA.'!K400)</f>
        <v>2026</v>
      </c>
      <c r="B401" s="13" t="str">
        <v>Mar</v>
      </c>
      <c r="C401" s="42">
        <f>DAY('RETAIL SALES DATA.'!K400)</f>
        <v>13</v>
      </c>
      <c r="D401" s="13">
        <v>2026</v>
      </c>
      <c r="E401" s="13" t="str">
        <v>Mar</v>
      </c>
      <c r="F401" s="13">
        <v>20</v>
      </c>
      <c r="G401" s="10"/>
      <c r="H401" s="13">
        <f>NETWORKDAYS('RETAIL SALES DATA.'!K400,'RETAIL SALES DATA.'!L400)</f>
        <v>6</v>
      </c>
      <c r="I401" s="13">
        <v>7</v>
      </c>
      <c r="J401" s="10"/>
      <c r="K401" s="13">
        <v>0</v>
      </c>
      <c r="L401" s="13">
        <v>8</v>
      </c>
      <c r="M401" s="13">
        <v>52</v>
      </c>
      <c r="N401" s="13">
        <v>0</v>
      </c>
      <c r="O401" s="54">
        <f t="shared" si="12"/>
        <v>0.36944444444444446</v>
      </c>
      <c r="P401" s="55">
        <f t="shared" si="13"/>
        <v>3.6111111111111108E-2</v>
      </c>
    </row>
    <row r="402" spans="1:16" x14ac:dyDescent="0.3">
      <c r="A402" s="25">
        <f>YEAR('RETAIL SALES DATA.'!K401)</f>
        <v>2025</v>
      </c>
      <c r="B402" s="13" t="str">
        <v>Mar</v>
      </c>
      <c r="C402" s="42">
        <f>DAY('RETAIL SALES DATA.'!K401)</f>
        <v>7</v>
      </c>
      <c r="D402" s="13">
        <v>2025</v>
      </c>
      <c r="E402" s="13" t="str">
        <v>Mar</v>
      </c>
      <c r="F402" s="13">
        <v>9</v>
      </c>
      <c r="G402" s="10"/>
      <c r="H402" s="13">
        <f>NETWORKDAYS('RETAIL SALES DATA.'!K401,'RETAIL SALES DATA.'!L401)</f>
        <v>1</v>
      </c>
      <c r="I402" s="13">
        <v>2</v>
      </c>
      <c r="J402" s="10"/>
      <c r="K402" s="13">
        <v>4</v>
      </c>
      <c r="L402" s="13">
        <v>10</v>
      </c>
      <c r="M402" s="13">
        <v>23</v>
      </c>
      <c r="N402" s="13">
        <v>0</v>
      </c>
      <c r="O402" s="54">
        <f t="shared" si="12"/>
        <v>0.43263888888888891</v>
      </c>
      <c r="P402" s="55">
        <f t="shared" si="13"/>
        <v>0.18263888888888888</v>
      </c>
    </row>
    <row r="403" spans="1:16" x14ac:dyDescent="0.3">
      <c r="A403" s="25">
        <f>YEAR('RETAIL SALES DATA.'!K402)</f>
        <v>2024</v>
      </c>
      <c r="B403" s="13" t="str">
        <v>Jun</v>
      </c>
      <c r="C403" s="42">
        <f>DAY('RETAIL SALES DATA.'!K402)</f>
        <v>8</v>
      </c>
      <c r="D403" s="13">
        <v>2024</v>
      </c>
      <c r="E403" s="13" t="str">
        <v>Jun</v>
      </c>
      <c r="F403" s="13">
        <v>16</v>
      </c>
      <c r="G403" s="10"/>
      <c r="H403" s="13">
        <f>NETWORKDAYS('RETAIL SALES DATA.'!K402,'RETAIL SALES DATA.'!L402)</f>
        <v>5</v>
      </c>
      <c r="I403" s="13">
        <v>8</v>
      </c>
      <c r="J403" s="10"/>
      <c r="K403" s="13">
        <v>14</v>
      </c>
      <c r="L403" s="13">
        <v>10</v>
      </c>
      <c r="M403" s="13">
        <v>12</v>
      </c>
      <c r="N403" s="13">
        <v>0</v>
      </c>
      <c r="O403" s="54">
        <f t="shared" si="12"/>
        <v>0.42499999999999999</v>
      </c>
      <c r="P403" s="55">
        <f t="shared" si="13"/>
        <v>0.59166666666666667</v>
      </c>
    </row>
    <row r="404" spans="1:16" x14ac:dyDescent="0.3">
      <c r="A404" s="25">
        <f>YEAR('RETAIL SALES DATA.'!K403)</f>
        <v>2026</v>
      </c>
      <c r="B404" s="13" t="str">
        <v>May</v>
      </c>
      <c r="C404" s="42">
        <f>DAY('RETAIL SALES DATA.'!K403)</f>
        <v>13</v>
      </c>
      <c r="D404" s="13">
        <v>2026</v>
      </c>
      <c r="E404" s="13" t="str">
        <v>May</v>
      </c>
      <c r="F404" s="13">
        <v>23</v>
      </c>
      <c r="G404" s="10"/>
      <c r="H404" s="13">
        <f>NETWORKDAYS('RETAIL SALES DATA.'!K403,'RETAIL SALES DATA.'!L403)</f>
        <v>8</v>
      </c>
      <c r="I404" s="13">
        <v>10</v>
      </c>
      <c r="J404" s="10"/>
      <c r="K404" s="13">
        <v>0</v>
      </c>
      <c r="L404" s="13">
        <v>10</v>
      </c>
      <c r="M404" s="13">
        <v>47</v>
      </c>
      <c r="N404" s="13">
        <v>0</v>
      </c>
      <c r="O404" s="54">
        <f t="shared" si="12"/>
        <v>0.44930555555555557</v>
      </c>
      <c r="P404" s="55">
        <f t="shared" si="13"/>
        <v>3.2638888888888891E-2</v>
      </c>
    </row>
    <row r="405" spans="1:16" x14ac:dyDescent="0.3">
      <c r="A405" s="25">
        <f>YEAR('RETAIL SALES DATA.'!K404)</f>
        <v>2026</v>
      </c>
      <c r="B405" s="13" t="str">
        <v>Jan</v>
      </c>
      <c r="C405" s="42">
        <f>DAY('RETAIL SALES DATA.'!K404)</f>
        <v>21</v>
      </c>
      <c r="D405" s="13">
        <v>2026</v>
      </c>
      <c r="E405" s="13" t="str">
        <v>Jan</v>
      </c>
      <c r="F405" s="13">
        <v>30</v>
      </c>
      <c r="G405" s="10"/>
      <c r="H405" s="13">
        <f>NETWORKDAYS('RETAIL SALES DATA.'!K404,'RETAIL SALES DATA.'!L404)</f>
        <v>8</v>
      </c>
      <c r="I405" s="13">
        <v>9</v>
      </c>
      <c r="J405" s="10"/>
      <c r="K405" s="13">
        <v>7</v>
      </c>
      <c r="L405" s="13">
        <v>8</v>
      </c>
      <c r="M405" s="13">
        <v>27</v>
      </c>
      <c r="N405" s="13">
        <v>0</v>
      </c>
      <c r="O405" s="54">
        <f t="shared" si="12"/>
        <v>0.35208333333333336</v>
      </c>
      <c r="P405" s="55">
        <f t="shared" si="13"/>
        <v>0.31041666666666667</v>
      </c>
    </row>
    <row r="406" spans="1:16" x14ac:dyDescent="0.3">
      <c r="A406" s="25">
        <f>YEAR('RETAIL SALES DATA.'!K405)</f>
        <v>2025</v>
      </c>
      <c r="B406" s="13" t="str">
        <v>Sep</v>
      </c>
      <c r="C406" s="42">
        <f>DAY('RETAIL SALES DATA.'!K405)</f>
        <v>18</v>
      </c>
      <c r="D406" s="13">
        <v>2025</v>
      </c>
      <c r="E406" s="13" t="str">
        <v>Sep</v>
      </c>
      <c r="F406" s="13">
        <v>25</v>
      </c>
      <c r="G406" s="10"/>
      <c r="H406" s="13">
        <f>NETWORKDAYS('RETAIL SALES DATA.'!K405,'RETAIL SALES DATA.'!L405)</f>
        <v>6</v>
      </c>
      <c r="I406" s="13">
        <v>7</v>
      </c>
      <c r="J406" s="10"/>
      <c r="K406" s="13">
        <v>4</v>
      </c>
      <c r="L406" s="13">
        <v>8</v>
      </c>
      <c r="M406" s="13">
        <v>42</v>
      </c>
      <c r="N406" s="13">
        <v>0</v>
      </c>
      <c r="O406" s="54">
        <f t="shared" si="12"/>
        <v>0.36249999999999999</v>
      </c>
      <c r="P406" s="55">
        <f t="shared" si="13"/>
        <v>0.19583333333333333</v>
      </c>
    </row>
    <row r="407" spans="1:16" x14ac:dyDescent="0.3">
      <c r="A407" s="25">
        <f>YEAR('RETAIL SALES DATA.'!K406)</f>
        <v>2024</v>
      </c>
      <c r="B407" s="13" t="str">
        <v>Jun</v>
      </c>
      <c r="C407" s="42">
        <f>DAY('RETAIL SALES DATA.'!K406)</f>
        <v>1</v>
      </c>
      <c r="D407" s="13">
        <v>2024</v>
      </c>
      <c r="E407" s="13" t="str">
        <v>Jun</v>
      </c>
      <c r="F407" s="13">
        <v>11</v>
      </c>
      <c r="G407" s="10"/>
      <c r="H407" s="13">
        <f>NETWORKDAYS('RETAIL SALES DATA.'!K406,'RETAIL SALES DATA.'!L406)</f>
        <v>7</v>
      </c>
      <c r="I407" s="13">
        <v>10</v>
      </c>
      <c r="J407" s="10"/>
      <c r="K407" s="13">
        <v>2</v>
      </c>
      <c r="L407" s="13">
        <v>11</v>
      </c>
      <c r="M407" s="13">
        <v>59</v>
      </c>
      <c r="N407" s="13">
        <v>0</v>
      </c>
      <c r="O407" s="54">
        <f t="shared" si="12"/>
        <v>0.49930555555555556</v>
      </c>
      <c r="P407" s="55">
        <f t="shared" si="13"/>
        <v>0.12430555555555556</v>
      </c>
    </row>
    <row r="408" spans="1:16" x14ac:dyDescent="0.3">
      <c r="A408" s="25">
        <f>YEAR('RETAIL SALES DATA.'!K407)</f>
        <v>2026</v>
      </c>
      <c r="B408" s="13" t="str">
        <v>Mar</v>
      </c>
      <c r="C408" s="42">
        <f>DAY('RETAIL SALES DATA.'!K407)</f>
        <v>18</v>
      </c>
      <c r="D408" s="13">
        <v>2026</v>
      </c>
      <c r="E408" s="13" t="str">
        <v>Mar</v>
      </c>
      <c r="F408" s="13">
        <v>22</v>
      </c>
      <c r="G408" s="10"/>
      <c r="H408" s="13">
        <f>NETWORKDAYS('RETAIL SALES DATA.'!K407,'RETAIL SALES DATA.'!L407)</f>
        <v>3</v>
      </c>
      <c r="I408" s="13">
        <v>4</v>
      </c>
      <c r="J408" s="10"/>
      <c r="K408" s="13">
        <v>19</v>
      </c>
      <c r="L408" s="13">
        <v>11</v>
      </c>
      <c r="M408" s="13">
        <v>25</v>
      </c>
      <c r="N408" s="13">
        <v>0</v>
      </c>
      <c r="O408" s="54">
        <f t="shared" si="12"/>
        <v>0.47569444444444442</v>
      </c>
      <c r="P408" s="55">
        <f t="shared" si="13"/>
        <v>0.80902777777777779</v>
      </c>
    </row>
    <row r="409" spans="1:16" x14ac:dyDescent="0.3">
      <c r="A409" s="25">
        <f>YEAR('RETAIL SALES DATA.'!K408)</f>
        <v>2025</v>
      </c>
      <c r="B409" s="13" t="str">
        <v>Jan</v>
      </c>
      <c r="C409" s="42">
        <f>DAY('RETAIL SALES DATA.'!K408)</f>
        <v>6</v>
      </c>
      <c r="D409" s="13">
        <v>2025</v>
      </c>
      <c r="E409" s="13" t="str">
        <v>Jan</v>
      </c>
      <c r="F409" s="13">
        <v>7</v>
      </c>
      <c r="G409" s="10"/>
      <c r="H409" s="13">
        <f>NETWORKDAYS('RETAIL SALES DATA.'!K408,'RETAIL SALES DATA.'!L408)</f>
        <v>2</v>
      </c>
      <c r="I409" s="13">
        <v>1</v>
      </c>
      <c r="J409" s="10"/>
      <c r="K409" s="13">
        <v>12</v>
      </c>
      <c r="L409" s="13">
        <v>9</v>
      </c>
      <c r="M409" s="13">
        <v>53</v>
      </c>
      <c r="N409" s="13">
        <v>0</v>
      </c>
      <c r="O409" s="54">
        <f t="shared" si="12"/>
        <v>0.41180555555555554</v>
      </c>
      <c r="P409" s="55">
        <f t="shared" si="13"/>
        <v>0.53680555555555554</v>
      </c>
    </row>
    <row r="410" spans="1:16" x14ac:dyDescent="0.3">
      <c r="A410" s="25">
        <f>YEAR('RETAIL SALES DATA.'!K409)</f>
        <v>2024</v>
      </c>
      <c r="B410" s="13" t="str">
        <v>Oct</v>
      </c>
      <c r="C410" s="42">
        <f>DAY('RETAIL SALES DATA.'!K409)</f>
        <v>22</v>
      </c>
      <c r="D410" s="13">
        <v>2024</v>
      </c>
      <c r="E410" s="13" t="str">
        <v>Oct</v>
      </c>
      <c r="F410" s="13">
        <v>27</v>
      </c>
      <c r="G410" s="10"/>
      <c r="H410" s="13">
        <f>NETWORKDAYS('RETAIL SALES DATA.'!K409,'RETAIL SALES DATA.'!L409)</f>
        <v>4</v>
      </c>
      <c r="I410" s="13">
        <v>5</v>
      </c>
      <c r="J410" s="10"/>
      <c r="K410" s="13">
        <v>14</v>
      </c>
      <c r="L410" s="13">
        <v>8</v>
      </c>
      <c r="M410" s="13">
        <v>45</v>
      </c>
      <c r="N410" s="13">
        <v>0</v>
      </c>
      <c r="O410" s="54">
        <f t="shared" si="12"/>
        <v>0.36458333333333331</v>
      </c>
      <c r="P410" s="55">
        <f t="shared" si="13"/>
        <v>0.61458333333333337</v>
      </c>
    </row>
    <row r="411" spans="1:16" x14ac:dyDescent="0.3">
      <c r="A411" s="25">
        <f>YEAR('RETAIL SALES DATA.'!K410)</f>
        <v>2024</v>
      </c>
      <c r="B411" s="13" t="str">
        <v>Aug</v>
      </c>
      <c r="C411" s="42">
        <f>DAY('RETAIL SALES DATA.'!K410)</f>
        <v>18</v>
      </c>
      <c r="D411" s="13">
        <v>2024</v>
      </c>
      <c r="E411" s="13" t="str">
        <v>Aug</v>
      </c>
      <c r="F411" s="13">
        <v>21</v>
      </c>
      <c r="G411" s="10"/>
      <c r="H411" s="13">
        <f>NETWORKDAYS('RETAIL SALES DATA.'!K410,'RETAIL SALES DATA.'!L410)</f>
        <v>3</v>
      </c>
      <c r="I411" s="13">
        <v>3</v>
      </c>
      <c r="J411" s="10"/>
      <c r="K411" s="13">
        <v>19</v>
      </c>
      <c r="L411" s="13">
        <v>10</v>
      </c>
      <c r="M411" s="13">
        <v>50</v>
      </c>
      <c r="N411" s="13">
        <v>0</v>
      </c>
      <c r="O411" s="54">
        <f t="shared" si="12"/>
        <v>0.4513888888888889</v>
      </c>
      <c r="P411" s="55">
        <f t="shared" si="13"/>
        <v>0.82638888888888884</v>
      </c>
    </row>
    <row r="412" spans="1:16" x14ac:dyDescent="0.3">
      <c r="A412" s="25">
        <f>YEAR('RETAIL SALES DATA.'!K411)</f>
        <v>2025</v>
      </c>
      <c r="B412" s="13" t="str">
        <v>Nov</v>
      </c>
      <c r="C412" s="42">
        <f>DAY('RETAIL SALES DATA.'!K411)</f>
        <v>9</v>
      </c>
      <c r="D412" s="13">
        <v>2025</v>
      </c>
      <c r="E412" s="13" t="str">
        <v>Nov</v>
      </c>
      <c r="F412" s="13">
        <v>17</v>
      </c>
      <c r="G412" s="10"/>
      <c r="H412" s="13">
        <f>NETWORKDAYS('RETAIL SALES DATA.'!K411,'RETAIL SALES DATA.'!L411)</f>
        <v>6</v>
      </c>
      <c r="I412" s="13">
        <v>8</v>
      </c>
      <c r="J412" s="10"/>
      <c r="K412" s="13">
        <v>0</v>
      </c>
      <c r="L412" s="13">
        <v>10</v>
      </c>
      <c r="M412" s="13">
        <v>24</v>
      </c>
      <c r="N412" s="13">
        <v>0</v>
      </c>
      <c r="O412" s="54">
        <f t="shared" si="12"/>
        <v>0.43333333333333335</v>
      </c>
      <c r="P412" s="55">
        <f t="shared" si="13"/>
        <v>1.6666666666666666E-2</v>
      </c>
    </row>
    <row r="413" spans="1:16" x14ac:dyDescent="0.3">
      <c r="A413" s="25">
        <f>YEAR('RETAIL SALES DATA.'!K412)</f>
        <v>2024</v>
      </c>
      <c r="B413" s="13" t="str">
        <v>Jun</v>
      </c>
      <c r="C413" s="42">
        <f>DAY('RETAIL SALES DATA.'!K412)</f>
        <v>15</v>
      </c>
      <c r="D413" s="13">
        <v>2024</v>
      </c>
      <c r="E413" s="13" t="str">
        <v>Jun</v>
      </c>
      <c r="F413" s="13">
        <v>22</v>
      </c>
      <c r="G413" s="10"/>
      <c r="H413" s="13">
        <f>NETWORKDAYS('RETAIL SALES DATA.'!K412,'RETAIL SALES DATA.'!L412)</f>
        <v>5</v>
      </c>
      <c r="I413" s="13">
        <v>7</v>
      </c>
      <c r="J413" s="10"/>
      <c r="K413" s="13">
        <v>12</v>
      </c>
      <c r="L413" s="13">
        <v>11</v>
      </c>
      <c r="M413" s="13">
        <v>52</v>
      </c>
      <c r="N413" s="13">
        <v>0</v>
      </c>
      <c r="O413" s="54">
        <f t="shared" si="12"/>
        <v>0.49444444444444446</v>
      </c>
      <c r="P413" s="55">
        <f t="shared" si="13"/>
        <v>0.53611111111111109</v>
      </c>
    </row>
    <row r="414" spans="1:16" x14ac:dyDescent="0.3">
      <c r="A414" s="25">
        <f>YEAR('RETAIL SALES DATA.'!K413)</f>
        <v>2024</v>
      </c>
      <c r="B414" s="13" t="str">
        <v>Aug</v>
      </c>
      <c r="C414" s="42">
        <f>DAY('RETAIL SALES DATA.'!K413)</f>
        <v>31</v>
      </c>
      <c r="D414" s="13">
        <v>2024</v>
      </c>
      <c r="E414" s="13" t="str">
        <v>Sep</v>
      </c>
      <c r="F414" s="13">
        <v>8</v>
      </c>
      <c r="G414" s="10"/>
      <c r="H414" s="13">
        <f>NETWORKDAYS('RETAIL SALES DATA.'!K413,'RETAIL SALES DATA.'!L413)</f>
        <v>5</v>
      </c>
      <c r="I414" s="13">
        <v>8</v>
      </c>
      <c r="J414" s="10"/>
      <c r="K414" s="13">
        <v>16</v>
      </c>
      <c r="L414" s="13">
        <v>8</v>
      </c>
      <c r="M414" s="13">
        <v>15</v>
      </c>
      <c r="N414" s="13">
        <v>0</v>
      </c>
      <c r="O414" s="54">
        <f t="shared" si="12"/>
        <v>0.34375</v>
      </c>
      <c r="P414" s="55">
        <f t="shared" si="13"/>
        <v>0.67708333333333337</v>
      </c>
    </row>
    <row r="415" spans="1:16" x14ac:dyDescent="0.3">
      <c r="A415" s="25">
        <f>YEAR('RETAIL SALES DATA.'!K414)</f>
        <v>2024</v>
      </c>
      <c r="B415" s="13" t="str">
        <v>Oct</v>
      </c>
      <c r="C415" s="42">
        <f>DAY('RETAIL SALES DATA.'!K414)</f>
        <v>9</v>
      </c>
      <c r="D415" s="13">
        <v>2024</v>
      </c>
      <c r="E415" s="13" t="str">
        <v>Oct</v>
      </c>
      <c r="F415" s="13">
        <v>15</v>
      </c>
      <c r="G415" s="10"/>
      <c r="H415" s="13">
        <f>NETWORKDAYS('RETAIL SALES DATA.'!K414,'RETAIL SALES DATA.'!L414)</f>
        <v>5</v>
      </c>
      <c r="I415" s="13">
        <v>6</v>
      </c>
      <c r="J415" s="10"/>
      <c r="K415" s="13">
        <v>16</v>
      </c>
      <c r="L415" s="13">
        <v>11</v>
      </c>
      <c r="M415" s="13">
        <v>56</v>
      </c>
      <c r="N415" s="13">
        <v>0</v>
      </c>
      <c r="O415" s="54">
        <f t="shared" si="12"/>
        <v>0.49722222222222223</v>
      </c>
      <c r="P415" s="55">
        <f t="shared" si="13"/>
        <v>0.7055555555555556</v>
      </c>
    </row>
    <row r="416" spans="1:16" x14ac:dyDescent="0.3">
      <c r="A416" s="25">
        <f>YEAR('RETAIL SALES DATA.'!K415)</f>
        <v>2025</v>
      </c>
      <c r="B416" s="13" t="str">
        <v>Apr</v>
      </c>
      <c r="C416" s="42">
        <f>DAY('RETAIL SALES DATA.'!K415)</f>
        <v>4</v>
      </c>
      <c r="D416" s="13">
        <v>2025</v>
      </c>
      <c r="E416" s="13" t="str">
        <v>Apr</v>
      </c>
      <c r="F416" s="13">
        <v>14</v>
      </c>
      <c r="G416" s="10"/>
      <c r="H416" s="13">
        <f>NETWORKDAYS('RETAIL SALES DATA.'!K415,'RETAIL SALES DATA.'!L415)</f>
        <v>7</v>
      </c>
      <c r="I416" s="13">
        <v>10</v>
      </c>
      <c r="J416" s="10"/>
      <c r="K416" s="13">
        <v>12</v>
      </c>
      <c r="L416" s="13">
        <v>11</v>
      </c>
      <c r="M416" s="13">
        <v>9</v>
      </c>
      <c r="N416" s="13">
        <v>0</v>
      </c>
      <c r="O416" s="54">
        <f t="shared" si="12"/>
        <v>0.46458333333333335</v>
      </c>
      <c r="P416" s="55">
        <f t="shared" si="13"/>
        <v>0.50624999999999998</v>
      </c>
    </row>
    <row r="417" spans="1:16" x14ac:dyDescent="0.3">
      <c r="A417" s="25">
        <f>YEAR('RETAIL SALES DATA.'!K416)</f>
        <v>2025</v>
      </c>
      <c r="B417" s="13" t="str">
        <v>Feb</v>
      </c>
      <c r="C417" s="42">
        <f>DAY('RETAIL SALES DATA.'!K416)</f>
        <v>24</v>
      </c>
      <c r="D417" s="13">
        <v>2025</v>
      </c>
      <c r="E417" s="13" t="str">
        <v>Mar</v>
      </c>
      <c r="F417" s="13">
        <v>6</v>
      </c>
      <c r="G417" s="10"/>
      <c r="H417" s="13">
        <f>NETWORKDAYS('RETAIL SALES DATA.'!K416,'RETAIL SALES DATA.'!L416)</f>
        <v>9</v>
      </c>
      <c r="I417" s="13">
        <v>10</v>
      </c>
      <c r="J417" s="10"/>
      <c r="K417" s="13">
        <v>9</v>
      </c>
      <c r="L417" s="13">
        <v>10</v>
      </c>
      <c r="M417" s="13">
        <v>59</v>
      </c>
      <c r="N417" s="13">
        <v>0</v>
      </c>
      <c r="O417" s="54">
        <f t="shared" si="12"/>
        <v>0.45763888888888887</v>
      </c>
      <c r="P417" s="55">
        <f t="shared" si="13"/>
        <v>0.41597222222222224</v>
      </c>
    </row>
    <row r="418" spans="1:16" x14ac:dyDescent="0.3">
      <c r="A418" s="25">
        <f>YEAR('RETAIL SALES DATA.'!K417)</f>
        <v>2024</v>
      </c>
      <c r="B418" s="13" t="str">
        <v>Jun</v>
      </c>
      <c r="C418" s="42">
        <f>DAY('RETAIL SALES DATA.'!K417)</f>
        <v>9</v>
      </c>
      <c r="D418" s="13">
        <v>2024</v>
      </c>
      <c r="E418" s="13" t="str">
        <v>Jun</v>
      </c>
      <c r="F418" s="13">
        <v>15</v>
      </c>
      <c r="G418" s="10"/>
      <c r="H418" s="13">
        <f>NETWORKDAYS('RETAIL SALES DATA.'!K417,'RETAIL SALES DATA.'!L417)</f>
        <v>5</v>
      </c>
      <c r="I418" s="13">
        <v>6</v>
      </c>
      <c r="J418" s="10"/>
      <c r="K418" s="13">
        <v>16</v>
      </c>
      <c r="L418" s="13">
        <v>8</v>
      </c>
      <c r="M418" s="13">
        <v>31</v>
      </c>
      <c r="N418" s="13">
        <v>0</v>
      </c>
      <c r="O418" s="54">
        <f t="shared" si="12"/>
        <v>0.35486111111111113</v>
      </c>
      <c r="P418" s="55">
        <f t="shared" si="13"/>
        <v>0.68819444444444444</v>
      </c>
    </row>
    <row r="419" spans="1:16" x14ac:dyDescent="0.3">
      <c r="A419" s="25">
        <f>YEAR('RETAIL SALES DATA.'!K418)</f>
        <v>2025</v>
      </c>
      <c r="B419" s="13" t="str">
        <v>Apr</v>
      </c>
      <c r="C419" s="42">
        <f>DAY('RETAIL SALES DATA.'!K418)</f>
        <v>11</v>
      </c>
      <c r="D419" s="13">
        <v>2025</v>
      </c>
      <c r="E419" s="13" t="str">
        <v>Apr</v>
      </c>
      <c r="F419" s="13">
        <v>21</v>
      </c>
      <c r="G419" s="10"/>
      <c r="H419" s="13">
        <f>NETWORKDAYS('RETAIL SALES DATA.'!K418,'RETAIL SALES DATA.'!L418)</f>
        <v>7</v>
      </c>
      <c r="I419" s="13">
        <v>10</v>
      </c>
      <c r="J419" s="10"/>
      <c r="K419" s="13">
        <v>12</v>
      </c>
      <c r="L419" s="13">
        <v>10</v>
      </c>
      <c r="M419" s="13">
        <v>53</v>
      </c>
      <c r="N419" s="13">
        <v>0</v>
      </c>
      <c r="O419" s="54">
        <f t="shared" si="12"/>
        <v>0.45347222222222222</v>
      </c>
      <c r="P419" s="55">
        <f t="shared" si="13"/>
        <v>0.53680555555555554</v>
      </c>
    </row>
    <row r="420" spans="1:16" x14ac:dyDescent="0.3">
      <c r="A420" s="25">
        <f>YEAR('RETAIL SALES DATA.'!K419)</f>
        <v>2025</v>
      </c>
      <c r="B420" s="13" t="str">
        <v>Feb</v>
      </c>
      <c r="C420" s="42">
        <f>DAY('RETAIL SALES DATA.'!K419)</f>
        <v>12</v>
      </c>
      <c r="D420" s="13">
        <v>2025</v>
      </c>
      <c r="E420" s="13" t="str">
        <v>Feb</v>
      </c>
      <c r="F420" s="13">
        <v>20</v>
      </c>
      <c r="G420" s="10"/>
      <c r="H420" s="13">
        <f>NETWORKDAYS('RETAIL SALES DATA.'!K419,'RETAIL SALES DATA.'!L419)</f>
        <v>7</v>
      </c>
      <c r="I420" s="13">
        <v>8</v>
      </c>
      <c r="J420" s="10"/>
      <c r="K420" s="13">
        <v>19</v>
      </c>
      <c r="L420" s="13">
        <v>11</v>
      </c>
      <c r="M420" s="13">
        <v>37</v>
      </c>
      <c r="N420" s="13">
        <v>0</v>
      </c>
      <c r="O420" s="54">
        <f t="shared" si="12"/>
        <v>0.48402777777777778</v>
      </c>
      <c r="P420" s="55">
        <f t="shared" si="13"/>
        <v>0.81736111111111109</v>
      </c>
    </row>
    <row r="421" spans="1:16" x14ac:dyDescent="0.3">
      <c r="A421" s="25">
        <f>YEAR('RETAIL SALES DATA.'!K420)</f>
        <v>2024</v>
      </c>
      <c r="B421" s="13" t="str">
        <v>Oct</v>
      </c>
      <c r="C421" s="42">
        <f>DAY('RETAIL SALES DATA.'!K420)</f>
        <v>25</v>
      </c>
      <c r="D421" s="13">
        <v>2024</v>
      </c>
      <c r="E421" s="13" t="str">
        <v>Oct</v>
      </c>
      <c r="F421" s="13">
        <v>26</v>
      </c>
      <c r="G421" s="10"/>
      <c r="H421" s="13">
        <f>NETWORKDAYS('RETAIL SALES DATA.'!K420,'RETAIL SALES DATA.'!L420)</f>
        <v>1</v>
      </c>
      <c r="I421" s="13">
        <v>1</v>
      </c>
      <c r="J421" s="10"/>
      <c r="K421" s="13">
        <v>16</v>
      </c>
      <c r="L421" s="13">
        <v>9</v>
      </c>
      <c r="M421" s="13">
        <v>4</v>
      </c>
      <c r="N421" s="13">
        <v>0</v>
      </c>
      <c r="O421" s="54">
        <f t="shared" si="12"/>
        <v>0.37777777777777777</v>
      </c>
      <c r="P421" s="55">
        <f t="shared" si="13"/>
        <v>0.6694444444444444</v>
      </c>
    </row>
    <row r="422" spans="1:16" x14ac:dyDescent="0.3">
      <c r="A422" s="25">
        <f>YEAR('RETAIL SALES DATA.'!K421)</f>
        <v>2025</v>
      </c>
      <c r="B422" s="13" t="str">
        <v>Jul</v>
      </c>
      <c r="C422" s="42">
        <f>DAY('RETAIL SALES DATA.'!K421)</f>
        <v>3</v>
      </c>
      <c r="D422" s="13">
        <v>2025</v>
      </c>
      <c r="E422" s="13" t="str">
        <v>Jul</v>
      </c>
      <c r="F422" s="13">
        <v>12</v>
      </c>
      <c r="G422" s="10"/>
      <c r="H422" s="13">
        <f>NETWORKDAYS('RETAIL SALES DATA.'!K421,'RETAIL SALES DATA.'!L421)</f>
        <v>7</v>
      </c>
      <c r="I422" s="13">
        <v>9</v>
      </c>
      <c r="J422" s="10"/>
      <c r="K422" s="13">
        <v>12</v>
      </c>
      <c r="L422" s="13">
        <v>8</v>
      </c>
      <c r="M422" s="13">
        <v>23</v>
      </c>
      <c r="N422" s="13">
        <v>0</v>
      </c>
      <c r="O422" s="54">
        <f t="shared" si="12"/>
        <v>0.34930555555555554</v>
      </c>
      <c r="P422" s="55">
        <f t="shared" si="13"/>
        <v>0.51597222222222228</v>
      </c>
    </row>
    <row r="423" spans="1:16" x14ac:dyDescent="0.3">
      <c r="A423" s="25">
        <f>YEAR('RETAIL SALES DATA.'!K422)</f>
        <v>2024</v>
      </c>
      <c r="B423" s="13" t="str">
        <v>May</v>
      </c>
      <c r="C423" s="42">
        <f>DAY('RETAIL SALES DATA.'!K422)</f>
        <v>31</v>
      </c>
      <c r="D423" s="13">
        <v>2024</v>
      </c>
      <c r="E423" s="13" t="str">
        <v>Jun</v>
      </c>
      <c r="F423" s="13">
        <v>1</v>
      </c>
      <c r="G423" s="10"/>
      <c r="H423" s="13">
        <f>NETWORKDAYS('RETAIL SALES DATA.'!K422,'RETAIL SALES DATA.'!L422)</f>
        <v>1</v>
      </c>
      <c r="I423" s="13">
        <v>1</v>
      </c>
      <c r="J423" s="10"/>
      <c r="K423" s="13">
        <v>12</v>
      </c>
      <c r="L423" s="13">
        <v>10</v>
      </c>
      <c r="M423" s="13">
        <v>51</v>
      </c>
      <c r="N423" s="13">
        <v>0</v>
      </c>
      <c r="O423" s="54">
        <f t="shared" si="12"/>
        <v>0.45208333333333334</v>
      </c>
      <c r="P423" s="55">
        <f t="shared" si="13"/>
        <v>0.53541666666666665</v>
      </c>
    </row>
    <row r="424" spans="1:16" x14ac:dyDescent="0.3">
      <c r="A424" s="25">
        <f>YEAR('RETAIL SALES DATA.'!K423)</f>
        <v>2025</v>
      </c>
      <c r="B424" s="13" t="str">
        <v>Oct</v>
      </c>
      <c r="C424" s="42">
        <f>DAY('RETAIL SALES DATA.'!K423)</f>
        <v>18</v>
      </c>
      <c r="D424" s="13">
        <v>2025</v>
      </c>
      <c r="E424" s="13" t="str">
        <v>Oct</v>
      </c>
      <c r="F424" s="13">
        <v>20</v>
      </c>
      <c r="G424" s="10"/>
      <c r="H424" s="13">
        <f>NETWORKDAYS('RETAIL SALES DATA.'!K423,'RETAIL SALES DATA.'!L423)</f>
        <v>1</v>
      </c>
      <c r="I424" s="13">
        <v>2</v>
      </c>
      <c r="J424" s="10"/>
      <c r="K424" s="13">
        <v>4</v>
      </c>
      <c r="L424" s="13">
        <v>10</v>
      </c>
      <c r="M424" s="13">
        <v>8</v>
      </c>
      <c r="N424" s="13">
        <v>0</v>
      </c>
      <c r="O424" s="54">
        <f t="shared" si="12"/>
        <v>0.42222222222222222</v>
      </c>
      <c r="P424" s="55">
        <f t="shared" si="13"/>
        <v>0.17222222222222222</v>
      </c>
    </row>
    <row r="425" spans="1:16" x14ac:dyDescent="0.3">
      <c r="A425" s="25">
        <f>YEAR('RETAIL SALES DATA.'!K424)</f>
        <v>2026</v>
      </c>
      <c r="B425" s="13" t="str">
        <v>Mar</v>
      </c>
      <c r="C425" s="42">
        <f>DAY('RETAIL SALES DATA.'!K424)</f>
        <v>16</v>
      </c>
      <c r="D425" s="13">
        <v>2026</v>
      </c>
      <c r="E425" s="13" t="str">
        <v>Mar</v>
      </c>
      <c r="F425" s="13">
        <v>26</v>
      </c>
      <c r="G425" s="10"/>
      <c r="H425" s="13">
        <f>NETWORKDAYS('RETAIL SALES DATA.'!K424,'RETAIL SALES DATA.'!L424)</f>
        <v>9</v>
      </c>
      <c r="I425" s="13">
        <v>10</v>
      </c>
      <c r="J425" s="10"/>
      <c r="K425" s="13">
        <v>21</v>
      </c>
      <c r="L425" s="13">
        <v>9</v>
      </c>
      <c r="M425" s="13">
        <v>19</v>
      </c>
      <c r="N425" s="13">
        <v>0</v>
      </c>
      <c r="O425" s="54">
        <f t="shared" si="12"/>
        <v>0.38819444444444445</v>
      </c>
      <c r="P425" s="55">
        <f t="shared" si="13"/>
        <v>0.8881944444444444</v>
      </c>
    </row>
    <row r="426" spans="1:16" x14ac:dyDescent="0.3">
      <c r="A426" s="25">
        <f>YEAR('RETAIL SALES DATA.'!K425)</f>
        <v>2025</v>
      </c>
      <c r="B426" s="13" t="str">
        <v>Dec</v>
      </c>
      <c r="C426" s="42">
        <f>DAY('RETAIL SALES DATA.'!K425)</f>
        <v>10</v>
      </c>
      <c r="D426" s="13">
        <v>2025</v>
      </c>
      <c r="E426" s="13" t="str">
        <v>Dec</v>
      </c>
      <c r="F426" s="13">
        <v>17</v>
      </c>
      <c r="G426" s="10"/>
      <c r="H426" s="13">
        <f>NETWORKDAYS('RETAIL SALES DATA.'!K425,'RETAIL SALES DATA.'!L425)</f>
        <v>6</v>
      </c>
      <c r="I426" s="13">
        <v>7</v>
      </c>
      <c r="J426" s="10"/>
      <c r="K426" s="13">
        <v>7</v>
      </c>
      <c r="L426" s="13">
        <v>8</v>
      </c>
      <c r="M426" s="13">
        <v>46</v>
      </c>
      <c r="N426" s="13">
        <v>0</v>
      </c>
      <c r="O426" s="54">
        <f t="shared" si="12"/>
        <v>0.36527777777777776</v>
      </c>
      <c r="P426" s="55">
        <f t="shared" si="13"/>
        <v>0.32361111111111113</v>
      </c>
    </row>
    <row r="427" spans="1:16" x14ac:dyDescent="0.3">
      <c r="A427" s="25">
        <f>YEAR('RETAIL SALES DATA.'!K426)</f>
        <v>2024</v>
      </c>
      <c r="B427" s="13" t="str">
        <v>Nov</v>
      </c>
      <c r="C427" s="42">
        <f>DAY('RETAIL SALES DATA.'!K426)</f>
        <v>29</v>
      </c>
      <c r="D427" s="13">
        <v>2024</v>
      </c>
      <c r="E427" s="13" t="str">
        <v>Dec</v>
      </c>
      <c r="F427" s="13">
        <v>1</v>
      </c>
      <c r="G427" s="10"/>
      <c r="H427" s="13">
        <f>NETWORKDAYS('RETAIL SALES DATA.'!K426,'RETAIL SALES DATA.'!L426)</f>
        <v>1</v>
      </c>
      <c r="I427" s="13">
        <v>2</v>
      </c>
      <c r="J427" s="10"/>
      <c r="K427" s="13">
        <v>16</v>
      </c>
      <c r="L427" s="13">
        <v>9</v>
      </c>
      <c r="M427" s="13">
        <v>34</v>
      </c>
      <c r="N427" s="13">
        <v>0</v>
      </c>
      <c r="O427" s="54">
        <f t="shared" si="12"/>
        <v>0.39861111111111114</v>
      </c>
      <c r="P427" s="55">
        <f t="shared" si="13"/>
        <v>0.69027777777777777</v>
      </c>
    </row>
    <row r="428" spans="1:16" x14ac:dyDescent="0.3">
      <c r="A428" s="25">
        <f>YEAR('RETAIL SALES DATA.'!K427)</f>
        <v>2024</v>
      </c>
      <c r="B428" s="13" t="str">
        <v>Aug</v>
      </c>
      <c r="C428" s="42">
        <f>DAY('RETAIL SALES DATA.'!K427)</f>
        <v>4</v>
      </c>
      <c r="D428" s="13">
        <v>2024</v>
      </c>
      <c r="E428" s="13" t="str">
        <v>Aug</v>
      </c>
      <c r="F428" s="13">
        <v>8</v>
      </c>
      <c r="G428" s="10"/>
      <c r="H428" s="13">
        <f>NETWORKDAYS('RETAIL SALES DATA.'!K427,'RETAIL SALES DATA.'!L427)</f>
        <v>4</v>
      </c>
      <c r="I428" s="13">
        <v>4</v>
      </c>
      <c r="J428" s="10"/>
      <c r="K428" s="13">
        <v>16</v>
      </c>
      <c r="L428" s="13">
        <v>11</v>
      </c>
      <c r="M428" s="13">
        <v>12</v>
      </c>
      <c r="N428" s="13">
        <v>0</v>
      </c>
      <c r="O428" s="54">
        <f t="shared" si="12"/>
        <v>0.46666666666666667</v>
      </c>
      <c r="P428" s="55">
        <f t="shared" si="13"/>
        <v>0.67500000000000004</v>
      </c>
    </row>
    <row r="429" spans="1:16" x14ac:dyDescent="0.3">
      <c r="A429" s="25">
        <f>YEAR('RETAIL SALES DATA.'!K428)</f>
        <v>2025</v>
      </c>
      <c r="B429" s="13" t="str">
        <v>Nov</v>
      </c>
      <c r="C429" s="42">
        <f>DAY('RETAIL SALES DATA.'!K428)</f>
        <v>19</v>
      </c>
      <c r="D429" s="13">
        <v>2025</v>
      </c>
      <c r="E429" s="13" t="str">
        <v>Nov</v>
      </c>
      <c r="F429" s="13">
        <v>23</v>
      </c>
      <c r="G429" s="10"/>
      <c r="H429" s="13">
        <f>NETWORKDAYS('RETAIL SALES DATA.'!K428,'RETAIL SALES DATA.'!L428)</f>
        <v>3</v>
      </c>
      <c r="I429" s="13">
        <v>4</v>
      </c>
      <c r="J429" s="10"/>
      <c r="K429" s="13">
        <v>0</v>
      </c>
      <c r="L429" s="13">
        <v>8</v>
      </c>
      <c r="M429" s="13">
        <v>23</v>
      </c>
      <c r="N429" s="13">
        <v>0</v>
      </c>
      <c r="O429" s="54">
        <f t="shared" si="12"/>
        <v>0.34930555555555554</v>
      </c>
      <c r="P429" s="55">
        <f t="shared" si="13"/>
        <v>1.5972222222222221E-2</v>
      </c>
    </row>
    <row r="430" spans="1:16" x14ac:dyDescent="0.3">
      <c r="A430" s="25">
        <f>YEAR('RETAIL SALES DATA.'!K429)</f>
        <v>2025</v>
      </c>
      <c r="B430" s="13" t="str">
        <v>Jun</v>
      </c>
      <c r="C430" s="42">
        <f>DAY('RETAIL SALES DATA.'!K429)</f>
        <v>20</v>
      </c>
      <c r="D430" s="13">
        <v>2025</v>
      </c>
      <c r="E430" s="13" t="str">
        <v>Jun</v>
      </c>
      <c r="F430" s="13">
        <v>23</v>
      </c>
      <c r="G430" s="10"/>
      <c r="H430" s="13">
        <f>NETWORKDAYS('RETAIL SALES DATA.'!K429,'RETAIL SALES DATA.'!L429)</f>
        <v>2</v>
      </c>
      <c r="I430" s="13">
        <v>3</v>
      </c>
      <c r="J430" s="10"/>
      <c r="K430" s="13">
        <v>4</v>
      </c>
      <c r="L430" s="13">
        <v>11</v>
      </c>
      <c r="M430" s="13">
        <v>39</v>
      </c>
      <c r="N430" s="13">
        <v>0</v>
      </c>
      <c r="O430" s="54">
        <f t="shared" si="12"/>
        <v>0.48541666666666666</v>
      </c>
      <c r="P430" s="55">
        <f t="shared" si="13"/>
        <v>0.19375000000000001</v>
      </c>
    </row>
    <row r="431" spans="1:16" x14ac:dyDescent="0.3">
      <c r="A431" s="25">
        <f>YEAR('RETAIL SALES DATA.'!K430)</f>
        <v>2025</v>
      </c>
      <c r="B431" s="13" t="str">
        <v>Feb</v>
      </c>
      <c r="C431" s="42">
        <f>DAY('RETAIL SALES DATA.'!K430)</f>
        <v>6</v>
      </c>
      <c r="D431" s="13">
        <v>2025</v>
      </c>
      <c r="E431" s="13" t="str">
        <v>Feb</v>
      </c>
      <c r="F431" s="13">
        <v>10</v>
      </c>
      <c r="G431" s="10"/>
      <c r="H431" s="13">
        <f>NETWORKDAYS('RETAIL SALES DATA.'!K430,'RETAIL SALES DATA.'!L430)</f>
        <v>3</v>
      </c>
      <c r="I431" s="13">
        <v>4</v>
      </c>
      <c r="J431" s="10"/>
      <c r="K431" s="13">
        <v>21</v>
      </c>
      <c r="L431" s="13">
        <v>8</v>
      </c>
      <c r="M431" s="13">
        <v>35</v>
      </c>
      <c r="N431" s="13">
        <v>0</v>
      </c>
      <c r="O431" s="54">
        <f t="shared" si="12"/>
        <v>0.3576388888888889</v>
      </c>
      <c r="P431" s="55">
        <f t="shared" si="13"/>
        <v>0.89930555555555558</v>
      </c>
    </row>
    <row r="432" spans="1:16" x14ac:dyDescent="0.3">
      <c r="A432" s="25">
        <f>YEAR('RETAIL SALES DATA.'!K431)</f>
        <v>2024</v>
      </c>
      <c r="B432" s="13" t="str">
        <v>Dec</v>
      </c>
      <c r="C432" s="42">
        <f>DAY('RETAIL SALES DATA.'!K431)</f>
        <v>6</v>
      </c>
      <c r="D432" s="13">
        <v>2024</v>
      </c>
      <c r="E432" s="13" t="str">
        <v>Dec</v>
      </c>
      <c r="F432" s="13">
        <v>12</v>
      </c>
      <c r="G432" s="10"/>
      <c r="H432" s="13">
        <f>NETWORKDAYS('RETAIL SALES DATA.'!K431,'RETAIL SALES DATA.'!L431)</f>
        <v>5</v>
      </c>
      <c r="I432" s="13">
        <v>6</v>
      </c>
      <c r="J432" s="10"/>
      <c r="K432" s="13">
        <v>0</v>
      </c>
      <c r="L432" s="13">
        <v>8</v>
      </c>
      <c r="M432" s="13">
        <v>40</v>
      </c>
      <c r="N432" s="13">
        <v>0</v>
      </c>
      <c r="O432" s="54">
        <f t="shared" si="12"/>
        <v>0.3611111111111111</v>
      </c>
      <c r="P432" s="55">
        <f t="shared" si="13"/>
        <v>2.7777777777777776E-2</v>
      </c>
    </row>
    <row r="433" spans="1:16" x14ac:dyDescent="0.3">
      <c r="A433" s="25">
        <f>YEAR('RETAIL SALES DATA.'!K432)</f>
        <v>2026</v>
      </c>
      <c r="B433" s="13" t="str">
        <v>Feb</v>
      </c>
      <c r="C433" s="42">
        <f>DAY('RETAIL SALES DATA.'!K432)</f>
        <v>13</v>
      </c>
      <c r="D433" s="13">
        <v>2026</v>
      </c>
      <c r="E433" s="13" t="str">
        <v>Feb</v>
      </c>
      <c r="F433" s="13">
        <v>22</v>
      </c>
      <c r="G433" s="10"/>
      <c r="H433" s="13">
        <f>NETWORKDAYS('RETAIL SALES DATA.'!K432,'RETAIL SALES DATA.'!L432)</f>
        <v>6</v>
      </c>
      <c r="I433" s="13">
        <v>9</v>
      </c>
      <c r="J433" s="10"/>
      <c r="K433" s="13">
        <v>0</v>
      </c>
      <c r="L433" s="13">
        <v>10</v>
      </c>
      <c r="M433" s="13">
        <v>33</v>
      </c>
      <c r="N433" s="13">
        <v>0</v>
      </c>
      <c r="O433" s="54">
        <f t="shared" si="12"/>
        <v>0.43958333333333333</v>
      </c>
      <c r="P433" s="55">
        <f t="shared" si="13"/>
        <v>2.2916666666666665E-2</v>
      </c>
    </row>
    <row r="434" spans="1:16" x14ac:dyDescent="0.3">
      <c r="A434" s="25">
        <f>YEAR('RETAIL SALES DATA.'!K433)</f>
        <v>2025</v>
      </c>
      <c r="B434" s="13" t="str">
        <v>Jun</v>
      </c>
      <c r="C434" s="42">
        <f>DAY('RETAIL SALES DATA.'!K433)</f>
        <v>9</v>
      </c>
      <c r="D434" s="13">
        <v>2025</v>
      </c>
      <c r="E434" s="13" t="str">
        <v>Jun</v>
      </c>
      <c r="F434" s="13">
        <v>17</v>
      </c>
      <c r="G434" s="10"/>
      <c r="H434" s="13">
        <f>NETWORKDAYS('RETAIL SALES DATA.'!K433,'RETAIL SALES DATA.'!L433)</f>
        <v>7</v>
      </c>
      <c r="I434" s="13">
        <v>8</v>
      </c>
      <c r="J434" s="10"/>
      <c r="K434" s="13">
        <v>7</v>
      </c>
      <c r="L434" s="13">
        <v>10</v>
      </c>
      <c r="M434" s="13">
        <v>42</v>
      </c>
      <c r="N434" s="13">
        <v>0</v>
      </c>
      <c r="O434" s="54">
        <f t="shared" si="12"/>
        <v>0.44583333333333336</v>
      </c>
      <c r="P434" s="55">
        <f t="shared" si="13"/>
        <v>0.32083333333333336</v>
      </c>
    </row>
    <row r="435" spans="1:16" x14ac:dyDescent="0.3">
      <c r="A435" s="25">
        <f>YEAR('RETAIL SALES DATA.'!K434)</f>
        <v>2024</v>
      </c>
      <c r="B435" s="13" t="str">
        <v>Oct</v>
      </c>
      <c r="C435" s="42">
        <f>DAY('RETAIL SALES DATA.'!K434)</f>
        <v>9</v>
      </c>
      <c r="D435" s="13">
        <v>2024</v>
      </c>
      <c r="E435" s="13" t="str">
        <v>Oct</v>
      </c>
      <c r="F435" s="13">
        <v>15</v>
      </c>
      <c r="G435" s="10"/>
      <c r="H435" s="13">
        <f>NETWORKDAYS('RETAIL SALES DATA.'!K434,'RETAIL SALES DATA.'!L434)</f>
        <v>5</v>
      </c>
      <c r="I435" s="13">
        <v>6</v>
      </c>
      <c r="J435" s="10"/>
      <c r="K435" s="13">
        <v>21</v>
      </c>
      <c r="L435" s="13">
        <v>8</v>
      </c>
      <c r="M435" s="13">
        <v>34</v>
      </c>
      <c r="N435" s="13">
        <v>0</v>
      </c>
      <c r="O435" s="54">
        <f t="shared" si="12"/>
        <v>0.35694444444444445</v>
      </c>
      <c r="P435" s="55">
        <f t="shared" si="13"/>
        <v>0.89861111111111114</v>
      </c>
    </row>
    <row r="436" spans="1:16" x14ac:dyDescent="0.3">
      <c r="A436" s="25">
        <f>YEAR('RETAIL SALES DATA.'!K435)</f>
        <v>2025</v>
      </c>
      <c r="B436" s="13" t="str">
        <v>Oct</v>
      </c>
      <c r="C436" s="42">
        <f>DAY('RETAIL SALES DATA.'!K435)</f>
        <v>29</v>
      </c>
      <c r="D436" s="13">
        <v>2025</v>
      </c>
      <c r="E436" s="13" t="str">
        <v>Oct</v>
      </c>
      <c r="F436" s="13">
        <v>31</v>
      </c>
      <c r="G436" s="10"/>
      <c r="H436" s="13">
        <f>NETWORKDAYS('RETAIL SALES DATA.'!K435,'RETAIL SALES DATA.'!L435)</f>
        <v>3</v>
      </c>
      <c r="I436" s="13">
        <v>2</v>
      </c>
      <c r="J436" s="10"/>
      <c r="K436" s="13">
        <v>14</v>
      </c>
      <c r="L436" s="13">
        <v>8</v>
      </c>
      <c r="M436" s="13">
        <v>6</v>
      </c>
      <c r="N436" s="13">
        <v>0</v>
      </c>
      <c r="O436" s="54">
        <f t="shared" si="12"/>
        <v>0.33750000000000002</v>
      </c>
      <c r="P436" s="55">
        <f t="shared" si="13"/>
        <v>0.58750000000000002</v>
      </c>
    </row>
    <row r="437" spans="1:16" x14ac:dyDescent="0.3">
      <c r="A437" s="25">
        <f>YEAR('RETAIL SALES DATA.'!K436)</f>
        <v>2025</v>
      </c>
      <c r="B437" s="13" t="str">
        <v>Nov</v>
      </c>
      <c r="C437" s="42">
        <f>DAY('RETAIL SALES DATA.'!K436)</f>
        <v>20</v>
      </c>
      <c r="D437" s="13">
        <v>2025</v>
      </c>
      <c r="E437" s="13" t="str">
        <v>Nov</v>
      </c>
      <c r="F437" s="13">
        <v>26</v>
      </c>
      <c r="G437" s="10"/>
      <c r="H437" s="13">
        <f>NETWORKDAYS('RETAIL SALES DATA.'!K436,'RETAIL SALES DATA.'!L436)</f>
        <v>5</v>
      </c>
      <c r="I437" s="13">
        <v>6</v>
      </c>
      <c r="J437" s="10"/>
      <c r="K437" s="13">
        <v>19</v>
      </c>
      <c r="L437" s="13">
        <v>11</v>
      </c>
      <c r="M437" s="13">
        <v>20</v>
      </c>
      <c r="N437" s="13">
        <v>0</v>
      </c>
      <c r="O437" s="54">
        <f t="shared" si="12"/>
        <v>0.47222222222222221</v>
      </c>
      <c r="P437" s="55">
        <f t="shared" si="13"/>
        <v>0.80555555555555558</v>
      </c>
    </row>
    <row r="438" spans="1:16" x14ac:dyDescent="0.3">
      <c r="A438" s="25">
        <f>YEAR('RETAIL SALES DATA.'!K437)</f>
        <v>2025</v>
      </c>
      <c r="B438" s="13" t="str">
        <v>Apr</v>
      </c>
      <c r="C438" s="42">
        <f>DAY('RETAIL SALES DATA.'!K437)</f>
        <v>23</v>
      </c>
      <c r="D438" s="13">
        <v>2025</v>
      </c>
      <c r="E438" s="13" t="str">
        <v>May</v>
      </c>
      <c r="F438" s="13">
        <v>2</v>
      </c>
      <c r="G438" s="10"/>
      <c r="H438" s="13">
        <f>NETWORKDAYS('RETAIL SALES DATA.'!K437,'RETAIL SALES DATA.'!L437)</f>
        <v>8</v>
      </c>
      <c r="I438" s="13">
        <v>9</v>
      </c>
      <c r="J438" s="10"/>
      <c r="K438" s="13">
        <v>12</v>
      </c>
      <c r="L438" s="13">
        <v>11</v>
      </c>
      <c r="M438" s="13">
        <v>59</v>
      </c>
      <c r="N438" s="13">
        <v>0</v>
      </c>
      <c r="O438" s="54">
        <f t="shared" si="12"/>
        <v>0.49930555555555556</v>
      </c>
      <c r="P438" s="55">
        <f t="shared" si="13"/>
        <v>0.54097222222222219</v>
      </c>
    </row>
    <row r="439" spans="1:16" x14ac:dyDescent="0.3">
      <c r="A439" s="25">
        <f>YEAR('RETAIL SALES DATA.'!K438)</f>
        <v>2025</v>
      </c>
      <c r="B439" s="13" t="str">
        <v>Jun</v>
      </c>
      <c r="C439" s="42">
        <f>DAY('RETAIL SALES DATA.'!K438)</f>
        <v>6</v>
      </c>
      <c r="D439" s="13">
        <v>2025</v>
      </c>
      <c r="E439" s="13" t="str">
        <v>Jun</v>
      </c>
      <c r="F439" s="13">
        <v>13</v>
      </c>
      <c r="G439" s="10"/>
      <c r="H439" s="13">
        <f>NETWORKDAYS('RETAIL SALES DATA.'!K438,'RETAIL SALES DATA.'!L438)</f>
        <v>6</v>
      </c>
      <c r="I439" s="13">
        <v>7</v>
      </c>
      <c r="J439" s="10"/>
      <c r="K439" s="13">
        <v>21</v>
      </c>
      <c r="L439" s="13">
        <v>11</v>
      </c>
      <c r="M439" s="13">
        <v>35</v>
      </c>
      <c r="N439" s="13">
        <v>0</v>
      </c>
      <c r="O439" s="54">
        <f t="shared" si="12"/>
        <v>0.4826388888888889</v>
      </c>
      <c r="P439" s="55">
        <f t="shared" si="13"/>
        <v>0.89930555555555558</v>
      </c>
    </row>
    <row r="440" spans="1:16" x14ac:dyDescent="0.3">
      <c r="A440" s="25">
        <f>YEAR('RETAIL SALES DATA.'!K439)</f>
        <v>2026</v>
      </c>
      <c r="B440" s="13" t="str">
        <v>Apr</v>
      </c>
      <c r="C440" s="42">
        <f>DAY('RETAIL SALES DATA.'!K439)</f>
        <v>4</v>
      </c>
      <c r="D440" s="13">
        <v>2026</v>
      </c>
      <c r="E440" s="13" t="str">
        <v>Apr</v>
      </c>
      <c r="F440" s="13">
        <v>13</v>
      </c>
      <c r="G440" s="10"/>
      <c r="H440" s="13">
        <f>NETWORKDAYS('RETAIL SALES DATA.'!K439,'RETAIL SALES DATA.'!L439)</f>
        <v>6</v>
      </c>
      <c r="I440" s="13">
        <v>9</v>
      </c>
      <c r="J440" s="10"/>
      <c r="K440" s="13">
        <v>12</v>
      </c>
      <c r="L440" s="13">
        <v>9</v>
      </c>
      <c r="M440" s="13">
        <v>19</v>
      </c>
      <c r="N440" s="13">
        <v>0</v>
      </c>
      <c r="O440" s="54">
        <f t="shared" si="12"/>
        <v>0.38819444444444445</v>
      </c>
      <c r="P440" s="55">
        <f t="shared" si="13"/>
        <v>0.5131944444444444</v>
      </c>
    </row>
    <row r="441" spans="1:16" x14ac:dyDescent="0.3">
      <c r="A441" s="25">
        <f>YEAR('RETAIL SALES DATA.'!K440)</f>
        <v>2025</v>
      </c>
      <c r="B441" s="13" t="str">
        <v>Apr</v>
      </c>
      <c r="C441" s="42">
        <f>DAY('RETAIL SALES DATA.'!K440)</f>
        <v>8</v>
      </c>
      <c r="D441" s="13">
        <v>2025</v>
      </c>
      <c r="E441" s="13" t="str">
        <v>Apr</v>
      </c>
      <c r="F441" s="13">
        <v>13</v>
      </c>
      <c r="G441" s="10"/>
      <c r="H441" s="13">
        <f>NETWORKDAYS('RETAIL SALES DATA.'!K440,'RETAIL SALES DATA.'!L440)</f>
        <v>4</v>
      </c>
      <c r="I441" s="13">
        <v>5</v>
      </c>
      <c r="J441" s="10"/>
      <c r="K441" s="13">
        <v>12</v>
      </c>
      <c r="L441" s="13">
        <v>10</v>
      </c>
      <c r="M441" s="13">
        <v>10</v>
      </c>
      <c r="N441" s="13">
        <v>0</v>
      </c>
      <c r="O441" s="54">
        <f t="shared" si="12"/>
        <v>0.4236111111111111</v>
      </c>
      <c r="P441" s="55">
        <f t="shared" si="13"/>
        <v>0.50694444444444442</v>
      </c>
    </row>
    <row r="442" spans="1:16" x14ac:dyDescent="0.3">
      <c r="A442" s="25">
        <f>YEAR('RETAIL SALES DATA.'!K441)</f>
        <v>2025</v>
      </c>
      <c r="B442" s="13" t="str">
        <v>Feb</v>
      </c>
      <c r="C442" s="42">
        <f>DAY('RETAIL SALES DATA.'!K441)</f>
        <v>21</v>
      </c>
      <c r="D442" s="13">
        <v>2025</v>
      </c>
      <c r="E442" s="13" t="str">
        <v>Mar</v>
      </c>
      <c r="F442" s="13">
        <v>2</v>
      </c>
      <c r="G442" s="10"/>
      <c r="H442" s="13">
        <f>NETWORKDAYS('RETAIL SALES DATA.'!K441,'RETAIL SALES DATA.'!L441)</f>
        <v>6</v>
      </c>
      <c r="I442" s="13">
        <v>9</v>
      </c>
      <c r="J442" s="10"/>
      <c r="K442" s="13">
        <v>14</v>
      </c>
      <c r="L442" s="13">
        <v>11</v>
      </c>
      <c r="M442" s="13">
        <v>24</v>
      </c>
      <c r="N442" s="13">
        <v>0</v>
      </c>
      <c r="O442" s="54">
        <f t="shared" si="12"/>
        <v>0.47499999999999998</v>
      </c>
      <c r="P442" s="55">
        <f t="shared" si="13"/>
        <v>0.6</v>
      </c>
    </row>
    <row r="443" spans="1:16" x14ac:dyDescent="0.3">
      <c r="A443" s="25">
        <f>YEAR('RETAIL SALES DATA.'!K442)</f>
        <v>2025</v>
      </c>
      <c r="B443" s="13" t="str">
        <v>Mar</v>
      </c>
      <c r="C443" s="42">
        <f>DAY('RETAIL SALES DATA.'!K442)</f>
        <v>7</v>
      </c>
      <c r="D443" s="13">
        <v>2025</v>
      </c>
      <c r="E443" s="13" t="str">
        <v>Mar</v>
      </c>
      <c r="F443" s="13">
        <v>17</v>
      </c>
      <c r="G443" s="10"/>
      <c r="H443" s="13">
        <f>NETWORKDAYS('RETAIL SALES DATA.'!K442,'RETAIL SALES DATA.'!L442)</f>
        <v>7</v>
      </c>
      <c r="I443" s="13">
        <v>10</v>
      </c>
      <c r="J443" s="10"/>
      <c r="K443" s="13">
        <v>7</v>
      </c>
      <c r="L443" s="13">
        <v>8</v>
      </c>
      <c r="M443" s="13">
        <v>4</v>
      </c>
      <c r="N443" s="13">
        <v>0</v>
      </c>
      <c r="O443" s="54">
        <f t="shared" si="12"/>
        <v>0.33611111111111114</v>
      </c>
      <c r="P443" s="55">
        <f t="shared" si="13"/>
        <v>0.29444444444444445</v>
      </c>
    </row>
    <row r="444" spans="1:16" x14ac:dyDescent="0.3">
      <c r="A444" s="25">
        <f>YEAR('RETAIL SALES DATA.'!K443)</f>
        <v>2024</v>
      </c>
      <c r="B444" s="13" t="str">
        <v>Jul</v>
      </c>
      <c r="C444" s="42">
        <f>DAY('RETAIL SALES DATA.'!K443)</f>
        <v>26</v>
      </c>
      <c r="D444" s="13">
        <v>2024</v>
      </c>
      <c r="E444" s="13" t="str">
        <v>Aug</v>
      </c>
      <c r="F444" s="13">
        <v>1</v>
      </c>
      <c r="G444" s="10"/>
      <c r="H444" s="13">
        <f>NETWORKDAYS('RETAIL SALES DATA.'!K443,'RETAIL SALES DATA.'!L443)</f>
        <v>5</v>
      </c>
      <c r="I444" s="13">
        <v>6</v>
      </c>
      <c r="J444" s="10"/>
      <c r="K444" s="13">
        <v>19</v>
      </c>
      <c r="L444" s="13">
        <v>9</v>
      </c>
      <c r="M444" s="13">
        <v>15</v>
      </c>
      <c r="N444" s="13">
        <v>0</v>
      </c>
      <c r="O444" s="54">
        <f t="shared" si="12"/>
        <v>0.38541666666666669</v>
      </c>
      <c r="P444" s="55">
        <f t="shared" si="13"/>
        <v>0.80208333333333337</v>
      </c>
    </row>
    <row r="445" spans="1:16" x14ac:dyDescent="0.3">
      <c r="A445" s="25">
        <f>YEAR('RETAIL SALES DATA.'!K444)</f>
        <v>2025</v>
      </c>
      <c r="B445" s="13" t="str">
        <v>Aug</v>
      </c>
      <c r="C445" s="42">
        <f>DAY('RETAIL SALES DATA.'!K444)</f>
        <v>25</v>
      </c>
      <c r="D445" s="13">
        <v>2025</v>
      </c>
      <c r="E445" s="13" t="str">
        <v>Aug</v>
      </c>
      <c r="F445" s="13">
        <v>29</v>
      </c>
      <c r="G445" s="10"/>
      <c r="H445" s="13">
        <f>NETWORKDAYS('RETAIL SALES DATA.'!K444,'RETAIL SALES DATA.'!L444)</f>
        <v>5</v>
      </c>
      <c r="I445" s="13">
        <v>4</v>
      </c>
      <c r="J445" s="10"/>
      <c r="K445" s="13">
        <v>12</v>
      </c>
      <c r="L445" s="13">
        <v>11</v>
      </c>
      <c r="M445" s="13">
        <v>28</v>
      </c>
      <c r="N445" s="13">
        <v>0</v>
      </c>
      <c r="O445" s="54">
        <f t="shared" si="12"/>
        <v>0.4777777777777778</v>
      </c>
      <c r="P445" s="55">
        <f t="shared" si="13"/>
        <v>0.51944444444444449</v>
      </c>
    </row>
    <row r="446" spans="1:16" x14ac:dyDescent="0.3">
      <c r="A446" s="25">
        <f>YEAR('RETAIL SALES DATA.'!K445)</f>
        <v>2024</v>
      </c>
      <c r="B446" s="13" t="str">
        <v>Jun</v>
      </c>
      <c r="C446" s="42">
        <f>DAY('RETAIL SALES DATA.'!K445)</f>
        <v>20</v>
      </c>
      <c r="D446" s="13">
        <v>2024</v>
      </c>
      <c r="E446" s="13" t="str">
        <v>Jun</v>
      </c>
      <c r="F446" s="13">
        <v>25</v>
      </c>
      <c r="G446" s="10"/>
      <c r="H446" s="13">
        <f>NETWORKDAYS('RETAIL SALES DATA.'!K445,'RETAIL SALES DATA.'!L445)</f>
        <v>4</v>
      </c>
      <c r="I446" s="13">
        <v>5</v>
      </c>
      <c r="J446" s="10"/>
      <c r="K446" s="13">
        <v>14</v>
      </c>
      <c r="L446" s="13">
        <v>11</v>
      </c>
      <c r="M446" s="13">
        <v>40</v>
      </c>
      <c r="N446" s="13">
        <v>0</v>
      </c>
      <c r="O446" s="54">
        <f t="shared" si="12"/>
        <v>0.4861111111111111</v>
      </c>
      <c r="P446" s="55">
        <f t="shared" si="13"/>
        <v>0.61111111111111116</v>
      </c>
    </row>
    <row r="447" spans="1:16" x14ac:dyDescent="0.3">
      <c r="A447" s="25">
        <f>YEAR('RETAIL SALES DATA.'!K446)</f>
        <v>2025</v>
      </c>
      <c r="B447" s="13" t="str">
        <v>Jan</v>
      </c>
      <c r="C447" s="42">
        <f>DAY('RETAIL SALES DATA.'!K446)</f>
        <v>31</v>
      </c>
      <c r="D447" s="13">
        <v>2025</v>
      </c>
      <c r="E447" s="13" t="str">
        <v>Feb</v>
      </c>
      <c r="F447" s="13">
        <v>10</v>
      </c>
      <c r="G447" s="10"/>
      <c r="H447" s="13">
        <f>NETWORKDAYS('RETAIL SALES DATA.'!K446,'RETAIL SALES DATA.'!L446)</f>
        <v>7</v>
      </c>
      <c r="I447" s="13">
        <v>10</v>
      </c>
      <c r="J447" s="10"/>
      <c r="K447" s="13">
        <v>16</v>
      </c>
      <c r="L447" s="13">
        <v>9</v>
      </c>
      <c r="M447" s="13">
        <v>22</v>
      </c>
      <c r="N447" s="13">
        <v>0</v>
      </c>
      <c r="O447" s="54">
        <f t="shared" si="12"/>
        <v>0.39027777777777778</v>
      </c>
      <c r="P447" s="55">
        <f t="shared" si="13"/>
        <v>0.68194444444444446</v>
      </c>
    </row>
    <row r="448" spans="1:16" x14ac:dyDescent="0.3">
      <c r="A448" s="25">
        <f>YEAR('RETAIL SALES DATA.'!K447)</f>
        <v>2025</v>
      </c>
      <c r="B448" s="13" t="str">
        <v>Feb</v>
      </c>
      <c r="C448" s="42">
        <f>DAY('RETAIL SALES DATA.'!K447)</f>
        <v>25</v>
      </c>
      <c r="D448" s="13">
        <v>2025</v>
      </c>
      <c r="E448" s="13" t="str">
        <v>Mar</v>
      </c>
      <c r="F448" s="13">
        <v>5</v>
      </c>
      <c r="G448" s="10"/>
      <c r="H448" s="13">
        <f>NETWORKDAYS('RETAIL SALES DATA.'!K447,'RETAIL SALES DATA.'!L447)</f>
        <v>7</v>
      </c>
      <c r="I448" s="13">
        <v>8</v>
      </c>
      <c r="J448" s="10"/>
      <c r="K448" s="13">
        <v>9</v>
      </c>
      <c r="L448" s="13">
        <v>11</v>
      </c>
      <c r="M448" s="13">
        <v>34</v>
      </c>
      <c r="N448" s="13">
        <v>0</v>
      </c>
      <c r="O448" s="54">
        <f t="shared" si="12"/>
        <v>0.48194444444444445</v>
      </c>
      <c r="P448" s="55">
        <f t="shared" si="13"/>
        <v>0.39861111111111114</v>
      </c>
    </row>
    <row r="449" spans="1:16" x14ac:dyDescent="0.3">
      <c r="A449" s="25">
        <f>YEAR('RETAIL SALES DATA.'!K448)</f>
        <v>2025</v>
      </c>
      <c r="B449" s="13" t="str">
        <v>Mar</v>
      </c>
      <c r="C449" s="42">
        <f>DAY('RETAIL SALES DATA.'!K448)</f>
        <v>24</v>
      </c>
      <c r="D449" s="13">
        <v>2025</v>
      </c>
      <c r="E449" s="13" t="str">
        <v>Mar</v>
      </c>
      <c r="F449" s="13">
        <v>28</v>
      </c>
      <c r="G449" s="10"/>
      <c r="H449" s="13">
        <f>NETWORKDAYS('RETAIL SALES DATA.'!K448,'RETAIL SALES DATA.'!L448)</f>
        <v>5</v>
      </c>
      <c r="I449" s="13">
        <v>4</v>
      </c>
      <c r="J449" s="10"/>
      <c r="K449" s="13">
        <v>7</v>
      </c>
      <c r="L449" s="13">
        <v>10</v>
      </c>
      <c r="M449" s="13">
        <v>8</v>
      </c>
      <c r="N449" s="13">
        <v>0</v>
      </c>
      <c r="O449" s="54">
        <f t="shared" si="12"/>
        <v>0.42222222222222222</v>
      </c>
      <c r="P449" s="55">
        <f t="shared" si="13"/>
        <v>0.29722222222222222</v>
      </c>
    </row>
    <row r="450" spans="1:16" x14ac:dyDescent="0.3">
      <c r="A450" s="25">
        <f>YEAR('RETAIL SALES DATA.'!K449)</f>
        <v>2026</v>
      </c>
      <c r="B450" s="13" t="str">
        <v>Mar</v>
      </c>
      <c r="C450" s="42">
        <f>DAY('RETAIL SALES DATA.'!K449)</f>
        <v>29</v>
      </c>
      <c r="D450" s="13">
        <v>2026</v>
      </c>
      <c r="E450" s="13" t="str">
        <v>Apr</v>
      </c>
      <c r="F450" s="13">
        <v>2</v>
      </c>
      <c r="G450" s="10"/>
      <c r="H450" s="13">
        <f>NETWORKDAYS('RETAIL SALES DATA.'!K449,'RETAIL SALES DATA.'!L449)</f>
        <v>4</v>
      </c>
      <c r="I450" s="13">
        <v>4</v>
      </c>
      <c r="J450" s="10"/>
      <c r="K450" s="13">
        <v>9</v>
      </c>
      <c r="L450" s="13">
        <v>11</v>
      </c>
      <c r="M450" s="13">
        <v>49</v>
      </c>
      <c r="N450" s="13">
        <v>0</v>
      </c>
      <c r="O450" s="54">
        <f t="shared" si="12"/>
        <v>0.49236111111111114</v>
      </c>
      <c r="P450" s="55">
        <f t="shared" si="13"/>
        <v>0.40902777777777777</v>
      </c>
    </row>
    <row r="451" spans="1:16" x14ac:dyDescent="0.3">
      <c r="A451" s="25">
        <f>YEAR('RETAIL SALES DATA.'!K450)</f>
        <v>2025</v>
      </c>
      <c r="B451" s="13" t="str">
        <v>May</v>
      </c>
      <c r="C451" s="42">
        <f>DAY('RETAIL SALES DATA.'!K450)</f>
        <v>21</v>
      </c>
      <c r="D451" s="13">
        <v>2025</v>
      </c>
      <c r="E451" s="13" t="str">
        <v>May</v>
      </c>
      <c r="F451" s="13">
        <v>26</v>
      </c>
      <c r="G451" s="10"/>
      <c r="H451" s="13">
        <f>NETWORKDAYS('RETAIL SALES DATA.'!K450,'RETAIL SALES DATA.'!L450)</f>
        <v>4</v>
      </c>
      <c r="I451" s="13">
        <v>5</v>
      </c>
      <c r="J451" s="10"/>
      <c r="K451" s="13">
        <v>14</v>
      </c>
      <c r="L451" s="13">
        <v>8</v>
      </c>
      <c r="M451" s="13">
        <v>45</v>
      </c>
      <c r="N451" s="13">
        <v>0</v>
      </c>
      <c r="O451" s="54">
        <f t="shared" si="12"/>
        <v>0.36458333333333331</v>
      </c>
      <c r="P451" s="55">
        <f t="shared" si="13"/>
        <v>0.61458333333333337</v>
      </c>
    </row>
    <row r="452" spans="1:16" x14ac:dyDescent="0.3">
      <c r="A452" s="25">
        <f>YEAR('RETAIL SALES DATA.'!K451)</f>
        <v>2025</v>
      </c>
      <c r="B452" s="13" t="str">
        <v>Jan</v>
      </c>
      <c r="C452" s="42">
        <f>DAY('RETAIL SALES DATA.'!K451)</f>
        <v>20</v>
      </c>
      <c r="D452" s="13">
        <v>2025</v>
      </c>
      <c r="E452" s="13" t="str">
        <v>Jan</v>
      </c>
      <c r="F452" s="13">
        <v>22</v>
      </c>
      <c r="G452" s="10"/>
      <c r="H452" s="13">
        <f>NETWORKDAYS('RETAIL SALES DATA.'!K451,'RETAIL SALES DATA.'!L451)</f>
        <v>3</v>
      </c>
      <c r="I452" s="13">
        <v>2</v>
      </c>
      <c r="J452" s="10"/>
      <c r="K452" s="13">
        <v>19</v>
      </c>
      <c r="L452" s="13">
        <v>11</v>
      </c>
      <c r="M452" s="13">
        <v>26</v>
      </c>
      <c r="N452" s="13">
        <v>0</v>
      </c>
      <c r="O452" s="54">
        <f t="shared" ref="O452:O515" si="14">TIME(L452,M452,N452)</f>
        <v>0.47638888888888886</v>
      </c>
      <c r="P452" s="55">
        <f t="shared" ref="P452:P515" si="15">TIME(K452,M452,N452)</f>
        <v>0.80972222222222223</v>
      </c>
    </row>
    <row r="453" spans="1:16" x14ac:dyDescent="0.3">
      <c r="A453" s="25">
        <f>YEAR('RETAIL SALES DATA.'!K452)</f>
        <v>2026</v>
      </c>
      <c r="B453" s="13" t="str">
        <v>Mar</v>
      </c>
      <c r="C453" s="42">
        <f>DAY('RETAIL SALES DATA.'!K452)</f>
        <v>31</v>
      </c>
      <c r="D453" s="13">
        <v>2026</v>
      </c>
      <c r="E453" s="13" t="str">
        <v>Apr</v>
      </c>
      <c r="F453" s="13">
        <v>5</v>
      </c>
      <c r="G453" s="10"/>
      <c r="H453" s="13">
        <f>NETWORKDAYS('RETAIL SALES DATA.'!K452,'RETAIL SALES DATA.'!L452)</f>
        <v>4</v>
      </c>
      <c r="I453" s="13">
        <v>5</v>
      </c>
      <c r="J453" s="10"/>
      <c r="K453" s="13">
        <v>9</v>
      </c>
      <c r="L453" s="13">
        <v>11</v>
      </c>
      <c r="M453" s="13">
        <v>31</v>
      </c>
      <c r="N453" s="13">
        <v>0</v>
      </c>
      <c r="O453" s="54">
        <f t="shared" si="14"/>
        <v>0.47986111111111113</v>
      </c>
      <c r="P453" s="55">
        <f t="shared" si="15"/>
        <v>0.39652777777777776</v>
      </c>
    </row>
    <row r="454" spans="1:16" x14ac:dyDescent="0.3">
      <c r="A454" s="25">
        <f>YEAR('RETAIL SALES DATA.'!K453)</f>
        <v>2025</v>
      </c>
      <c r="B454" s="13" t="str">
        <v>Apr</v>
      </c>
      <c r="C454" s="42">
        <f>DAY('RETAIL SALES DATA.'!K453)</f>
        <v>2</v>
      </c>
      <c r="D454" s="13">
        <v>2025</v>
      </c>
      <c r="E454" s="13" t="str">
        <v>Apr</v>
      </c>
      <c r="F454" s="13">
        <v>7</v>
      </c>
      <c r="G454" s="10"/>
      <c r="H454" s="13">
        <f>NETWORKDAYS('RETAIL SALES DATA.'!K453,'RETAIL SALES DATA.'!L453)</f>
        <v>4</v>
      </c>
      <c r="I454" s="13">
        <v>5</v>
      </c>
      <c r="J454" s="10"/>
      <c r="K454" s="13">
        <v>0</v>
      </c>
      <c r="L454" s="13">
        <v>11</v>
      </c>
      <c r="M454" s="13">
        <v>22</v>
      </c>
      <c r="N454" s="13">
        <v>0</v>
      </c>
      <c r="O454" s="54">
        <f t="shared" si="14"/>
        <v>0.47361111111111109</v>
      </c>
      <c r="P454" s="55">
        <f t="shared" si="15"/>
        <v>1.5277777777777777E-2</v>
      </c>
    </row>
    <row r="455" spans="1:16" x14ac:dyDescent="0.3">
      <c r="A455" s="25">
        <f>YEAR('RETAIL SALES DATA.'!K454)</f>
        <v>2024</v>
      </c>
      <c r="B455" s="13" t="str">
        <v>Oct</v>
      </c>
      <c r="C455" s="42">
        <f>DAY('RETAIL SALES DATA.'!K454)</f>
        <v>10</v>
      </c>
      <c r="D455" s="13">
        <v>2024</v>
      </c>
      <c r="E455" s="13" t="str">
        <v>Oct</v>
      </c>
      <c r="F455" s="13">
        <v>15</v>
      </c>
      <c r="G455" s="10"/>
      <c r="H455" s="13">
        <f>NETWORKDAYS('RETAIL SALES DATA.'!K454,'RETAIL SALES DATA.'!L454)</f>
        <v>4</v>
      </c>
      <c r="I455" s="13">
        <v>5</v>
      </c>
      <c r="J455" s="10"/>
      <c r="K455" s="13">
        <v>0</v>
      </c>
      <c r="L455" s="13">
        <v>9</v>
      </c>
      <c r="M455" s="13">
        <v>46</v>
      </c>
      <c r="N455" s="13">
        <v>0</v>
      </c>
      <c r="O455" s="54">
        <f t="shared" si="14"/>
        <v>0.40694444444444444</v>
      </c>
      <c r="P455" s="55">
        <f t="shared" si="15"/>
        <v>3.1944444444444442E-2</v>
      </c>
    </row>
    <row r="456" spans="1:16" x14ac:dyDescent="0.3">
      <c r="A456" s="25">
        <f>YEAR('RETAIL SALES DATA.'!K455)</f>
        <v>2025</v>
      </c>
      <c r="B456" s="13" t="str">
        <v>Jun</v>
      </c>
      <c r="C456" s="42">
        <f>DAY('RETAIL SALES DATA.'!K455)</f>
        <v>23</v>
      </c>
      <c r="D456" s="13">
        <v>2025</v>
      </c>
      <c r="E456" s="13" t="str">
        <v>Jun</v>
      </c>
      <c r="F456" s="13">
        <v>25</v>
      </c>
      <c r="G456" s="10"/>
      <c r="H456" s="13">
        <f>NETWORKDAYS('RETAIL SALES DATA.'!K455,'RETAIL SALES DATA.'!L455)</f>
        <v>3</v>
      </c>
      <c r="I456" s="13">
        <v>2</v>
      </c>
      <c r="J456" s="10"/>
      <c r="K456" s="13">
        <v>12</v>
      </c>
      <c r="L456" s="13">
        <v>8</v>
      </c>
      <c r="M456" s="13">
        <v>18</v>
      </c>
      <c r="N456" s="13">
        <v>0</v>
      </c>
      <c r="O456" s="54">
        <f t="shared" si="14"/>
        <v>0.34583333333333333</v>
      </c>
      <c r="P456" s="55">
        <f t="shared" si="15"/>
        <v>0.51249999999999996</v>
      </c>
    </row>
    <row r="457" spans="1:16" x14ac:dyDescent="0.3">
      <c r="A457" s="25">
        <f>YEAR('RETAIL SALES DATA.'!K456)</f>
        <v>2026</v>
      </c>
      <c r="B457" s="13" t="str">
        <v>May</v>
      </c>
      <c r="C457" s="42">
        <f>DAY('RETAIL SALES DATA.'!K456)</f>
        <v>7</v>
      </c>
      <c r="D457" s="13">
        <v>2026</v>
      </c>
      <c r="E457" s="13" t="str">
        <v>May</v>
      </c>
      <c r="F457" s="13">
        <v>17</v>
      </c>
      <c r="G457" s="10"/>
      <c r="H457" s="13">
        <f>NETWORKDAYS('RETAIL SALES DATA.'!K456,'RETAIL SALES DATA.'!L456)</f>
        <v>7</v>
      </c>
      <c r="I457" s="13">
        <v>10</v>
      </c>
      <c r="J457" s="10"/>
      <c r="K457" s="13">
        <v>21</v>
      </c>
      <c r="L457" s="13">
        <v>11</v>
      </c>
      <c r="M457" s="13">
        <v>10</v>
      </c>
      <c r="N457" s="13">
        <v>0</v>
      </c>
      <c r="O457" s="54">
        <f t="shared" si="14"/>
        <v>0.46527777777777779</v>
      </c>
      <c r="P457" s="55">
        <f t="shared" si="15"/>
        <v>0.88194444444444442</v>
      </c>
    </row>
    <row r="458" spans="1:16" x14ac:dyDescent="0.3">
      <c r="A458" s="25">
        <f>YEAR('RETAIL SALES DATA.'!K457)</f>
        <v>2024</v>
      </c>
      <c r="B458" s="13" t="str">
        <v>Dec</v>
      </c>
      <c r="C458" s="42">
        <f>DAY('RETAIL SALES DATA.'!K457)</f>
        <v>2</v>
      </c>
      <c r="D458" s="13">
        <v>2024</v>
      </c>
      <c r="E458" s="13" t="str">
        <v>Dec</v>
      </c>
      <c r="F458" s="13">
        <v>3</v>
      </c>
      <c r="G458" s="10"/>
      <c r="H458" s="13">
        <f>NETWORKDAYS('RETAIL SALES DATA.'!K457,'RETAIL SALES DATA.'!L457)</f>
        <v>2</v>
      </c>
      <c r="I458" s="13">
        <v>1</v>
      </c>
      <c r="J458" s="10"/>
      <c r="K458" s="13">
        <v>9</v>
      </c>
      <c r="L458" s="13">
        <v>9</v>
      </c>
      <c r="M458" s="13">
        <v>45</v>
      </c>
      <c r="N458" s="13">
        <v>0</v>
      </c>
      <c r="O458" s="54">
        <f t="shared" si="14"/>
        <v>0.40625</v>
      </c>
      <c r="P458" s="55">
        <f t="shared" si="15"/>
        <v>0.40625</v>
      </c>
    </row>
    <row r="459" spans="1:16" x14ac:dyDescent="0.3">
      <c r="A459" s="25">
        <f>YEAR('RETAIL SALES DATA.'!K458)</f>
        <v>2026</v>
      </c>
      <c r="B459" s="13" t="str">
        <v>Mar</v>
      </c>
      <c r="C459" s="42">
        <f>DAY('RETAIL SALES DATA.'!K458)</f>
        <v>27</v>
      </c>
      <c r="D459" s="13">
        <v>2026</v>
      </c>
      <c r="E459" s="13" t="str">
        <v>Apr</v>
      </c>
      <c r="F459" s="13">
        <v>3</v>
      </c>
      <c r="G459" s="10"/>
      <c r="H459" s="13">
        <f>NETWORKDAYS('RETAIL SALES DATA.'!K458,'RETAIL SALES DATA.'!L458)</f>
        <v>6</v>
      </c>
      <c r="I459" s="13">
        <v>7</v>
      </c>
      <c r="J459" s="10"/>
      <c r="K459" s="13">
        <v>16</v>
      </c>
      <c r="L459" s="13">
        <v>11</v>
      </c>
      <c r="M459" s="13">
        <v>41</v>
      </c>
      <c r="N459" s="13">
        <v>0</v>
      </c>
      <c r="O459" s="54">
        <f t="shared" si="14"/>
        <v>0.48680555555555555</v>
      </c>
      <c r="P459" s="55">
        <f t="shared" si="15"/>
        <v>0.69513888888888886</v>
      </c>
    </row>
    <row r="460" spans="1:16" x14ac:dyDescent="0.3">
      <c r="A460" s="25">
        <f>YEAR('RETAIL SALES DATA.'!K459)</f>
        <v>2025</v>
      </c>
      <c r="B460" s="13" t="str">
        <v>Jul</v>
      </c>
      <c r="C460" s="42">
        <f>DAY('RETAIL SALES DATA.'!K459)</f>
        <v>22</v>
      </c>
      <c r="D460" s="13">
        <v>2025</v>
      </c>
      <c r="E460" s="13" t="str">
        <v>Jul</v>
      </c>
      <c r="F460" s="13">
        <v>31</v>
      </c>
      <c r="G460" s="10"/>
      <c r="H460" s="13">
        <f>NETWORKDAYS('RETAIL SALES DATA.'!K459,'RETAIL SALES DATA.'!L459)</f>
        <v>8</v>
      </c>
      <c r="I460" s="13">
        <v>9</v>
      </c>
      <c r="J460" s="10"/>
      <c r="K460" s="13">
        <v>9</v>
      </c>
      <c r="L460" s="13">
        <v>10</v>
      </c>
      <c r="M460" s="13">
        <v>3</v>
      </c>
      <c r="N460" s="13">
        <v>0</v>
      </c>
      <c r="O460" s="54">
        <f t="shared" si="14"/>
        <v>0.41875000000000001</v>
      </c>
      <c r="P460" s="55">
        <f t="shared" si="15"/>
        <v>0.37708333333333333</v>
      </c>
    </row>
    <row r="461" spans="1:16" x14ac:dyDescent="0.3">
      <c r="A461" s="25">
        <f>YEAR('RETAIL SALES DATA.'!K460)</f>
        <v>2025</v>
      </c>
      <c r="B461" s="13" t="str">
        <v>Oct</v>
      </c>
      <c r="C461" s="42">
        <f>DAY('RETAIL SALES DATA.'!K460)</f>
        <v>22</v>
      </c>
      <c r="D461" s="13">
        <v>2025</v>
      </c>
      <c r="E461" s="13" t="str">
        <v>Oct</v>
      </c>
      <c r="F461" s="13">
        <v>25</v>
      </c>
      <c r="G461" s="10"/>
      <c r="H461" s="13">
        <f>NETWORKDAYS('RETAIL SALES DATA.'!K460,'RETAIL SALES DATA.'!L460)</f>
        <v>3</v>
      </c>
      <c r="I461" s="13">
        <v>3</v>
      </c>
      <c r="J461" s="10"/>
      <c r="K461" s="13">
        <v>19</v>
      </c>
      <c r="L461" s="13">
        <v>10</v>
      </c>
      <c r="M461" s="13">
        <v>25</v>
      </c>
      <c r="N461" s="13">
        <v>0</v>
      </c>
      <c r="O461" s="54">
        <f t="shared" si="14"/>
        <v>0.43402777777777779</v>
      </c>
      <c r="P461" s="55">
        <f t="shared" si="15"/>
        <v>0.80902777777777779</v>
      </c>
    </row>
    <row r="462" spans="1:16" x14ac:dyDescent="0.3">
      <c r="A462" s="25">
        <f>YEAR('RETAIL SALES DATA.'!K461)</f>
        <v>2026</v>
      </c>
      <c r="B462" s="13" t="str">
        <v>Mar</v>
      </c>
      <c r="C462" s="42">
        <f>DAY('RETAIL SALES DATA.'!K461)</f>
        <v>1</v>
      </c>
      <c r="D462" s="13">
        <v>2026</v>
      </c>
      <c r="E462" s="13" t="str">
        <v>Mar</v>
      </c>
      <c r="F462" s="13">
        <v>9</v>
      </c>
      <c r="G462" s="10"/>
      <c r="H462" s="13">
        <f>NETWORKDAYS('RETAIL SALES DATA.'!K461,'RETAIL SALES DATA.'!L461)</f>
        <v>6</v>
      </c>
      <c r="I462" s="13">
        <v>8</v>
      </c>
      <c r="J462" s="10"/>
      <c r="K462" s="13">
        <v>2</v>
      </c>
      <c r="L462" s="13">
        <v>10</v>
      </c>
      <c r="M462" s="13">
        <v>52</v>
      </c>
      <c r="N462" s="13">
        <v>0</v>
      </c>
      <c r="O462" s="54">
        <f t="shared" si="14"/>
        <v>0.45277777777777778</v>
      </c>
      <c r="P462" s="55">
        <f t="shared" si="15"/>
        <v>0.11944444444444445</v>
      </c>
    </row>
    <row r="463" spans="1:16" x14ac:dyDescent="0.3">
      <c r="A463" s="25">
        <f>YEAR('RETAIL SALES DATA.'!K462)</f>
        <v>2026</v>
      </c>
      <c r="B463" s="13" t="str">
        <v>Jan</v>
      </c>
      <c r="C463" s="42">
        <f>DAY('RETAIL SALES DATA.'!K462)</f>
        <v>17</v>
      </c>
      <c r="D463" s="13">
        <v>2026</v>
      </c>
      <c r="E463" s="13" t="str">
        <v>Jan</v>
      </c>
      <c r="F463" s="13">
        <v>21</v>
      </c>
      <c r="G463" s="10"/>
      <c r="H463" s="13">
        <f>NETWORKDAYS('RETAIL SALES DATA.'!K462,'RETAIL SALES DATA.'!L462)</f>
        <v>3</v>
      </c>
      <c r="I463" s="13">
        <v>4</v>
      </c>
      <c r="J463" s="10"/>
      <c r="K463" s="13">
        <v>0</v>
      </c>
      <c r="L463" s="13">
        <v>8</v>
      </c>
      <c r="M463" s="13">
        <v>8</v>
      </c>
      <c r="N463" s="13">
        <v>0</v>
      </c>
      <c r="O463" s="54">
        <f t="shared" si="14"/>
        <v>0.33888888888888891</v>
      </c>
      <c r="P463" s="55">
        <f t="shared" si="15"/>
        <v>5.5555555555555558E-3</v>
      </c>
    </row>
    <row r="464" spans="1:16" x14ac:dyDescent="0.3">
      <c r="A464" s="25">
        <f>YEAR('RETAIL SALES DATA.'!K463)</f>
        <v>2025</v>
      </c>
      <c r="B464" s="13" t="str">
        <v>Aug</v>
      </c>
      <c r="C464" s="42">
        <f>DAY('RETAIL SALES DATA.'!K463)</f>
        <v>1</v>
      </c>
      <c r="D464" s="13">
        <v>2025</v>
      </c>
      <c r="E464" s="13" t="str">
        <v>Aug</v>
      </c>
      <c r="F464" s="13">
        <v>2</v>
      </c>
      <c r="G464" s="10"/>
      <c r="H464" s="13">
        <f>NETWORKDAYS('RETAIL SALES DATA.'!K463,'RETAIL SALES DATA.'!L463)</f>
        <v>1</v>
      </c>
      <c r="I464" s="13">
        <v>1</v>
      </c>
      <c r="J464" s="10"/>
      <c r="K464" s="13">
        <v>19</v>
      </c>
      <c r="L464" s="13">
        <v>10</v>
      </c>
      <c r="M464" s="13">
        <v>38</v>
      </c>
      <c r="N464" s="13">
        <v>0</v>
      </c>
      <c r="O464" s="54">
        <f t="shared" si="14"/>
        <v>0.44305555555555554</v>
      </c>
      <c r="P464" s="55">
        <f t="shared" si="15"/>
        <v>0.81805555555555554</v>
      </c>
    </row>
    <row r="465" spans="1:16" x14ac:dyDescent="0.3">
      <c r="A465" s="25">
        <f>YEAR('RETAIL SALES DATA.'!K464)</f>
        <v>2024</v>
      </c>
      <c r="B465" s="13" t="str">
        <v>Jun</v>
      </c>
      <c r="C465" s="42">
        <f>DAY('RETAIL SALES DATA.'!K464)</f>
        <v>11</v>
      </c>
      <c r="D465" s="13">
        <v>2024</v>
      </c>
      <c r="E465" s="13" t="str">
        <v>Jun</v>
      </c>
      <c r="F465" s="13">
        <v>21</v>
      </c>
      <c r="G465" s="10"/>
      <c r="H465" s="13">
        <f>NETWORKDAYS('RETAIL SALES DATA.'!K464,'RETAIL SALES DATA.'!L464)</f>
        <v>9</v>
      </c>
      <c r="I465" s="13">
        <v>10</v>
      </c>
      <c r="J465" s="10"/>
      <c r="K465" s="13">
        <v>21</v>
      </c>
      <c r="L465" s="13">
        <v>8</v>
      </c>
      <c r="M465" s="13">
        <v>58</v>
      </c>
      <c r="N465" s="13">
        <v>0</v>
      </c>
      <c r="O465" s="54">
        <f t="shared" si="14"/>
        <v>0.37361111111111112</v>
      </c>
      <c r="P465" s="55">
        <f t="shared" si="15"/>
        <v>0.91527777777777775</v>
      </c>
    </row>
    <row r="466" spans="1:16" x14ac:dyDescent="0.3">
      <c r="A466" s="25">
        <f>YEAR('RETAIL SALES DATA.'!K465)</f>
        <v>2025</v>
      </c>
      <c r="B466" s="13" t="str">
        <v>Nov</v>
      </c>
      <c r="C466" s="42">
        <f>DAY('RETAIL SALES DATA.'!K465)</f>
        <v>20</v>
      </c>
      <c r="D466" s="13">
        <v>2025</v>
      </c>
      <c r="E466" s="13" t="str">
        <v>Nov</v>
      </c>
      <c r="F466" s="13">
        <v>30</v>
      </c>
      <c r="G466" s="10"/>
      <c r="H466" s="13">
        <f>NETWORKDAYS('RETAIL SALES DATA.'!K465,'RETAIL SALES DATA.'!L465)</f>
        <v>7</v>
      </c>
      <c r="I466" s="13">
        <v>10</v>
      </c>
      <c r="J466" s="10"/>
      <c r="K466" s="13">
        <v>4</v>
      </c>
      <c r="L466" s="13">
        <v>11</v>
      </c>
      <c r="M466" s="13">
        <v>46</v>
      </c>
      <c r="N466" s="13">
        <v>0</v>
      </c>
      <c r="O466" s="54">
        <f t="shared" si="14"/>
        <v>0.49027777777777776</v>
      </c>
      <c r="P466" s="55">
        <f t="shared" si="15"/>
        <v>0.1986111111111111</v>
      </c>
    </row>
    <row r="467" spans="1:16" x14ac:dyDescent="0.3">
      <c r="A467" s="25">
        <f>YEAR('RETAIL SALES DATA.'!K466)</f>
        <v>2024</v>
      </c>
      <c r="B467" s="13" t="str">
        <v>Aug</v>
      </c>
      <c r="C467" s="42">
        <f>DAY('RETAIL SALES DATA.'!K466)</f>
        <v>7</v>
      </c>
      <c r="D467" s="13">
        <v>2024</v>
      </c>
      <c r="E467" s="13" t="str">
        <v>Aug</v>
      </c>
      <c r="F467" s="13">
        <v>15</v>
      </c>
      <c r="G467" s="10"/>
      <c r="H467" s="13">
        <f>NETWORKDAYS('RETAIL SALES DATA.'!K466,'RETAIL SALES DATA.'!L466)</f>
        <v>7</v>
      </c>
      <c r="I467" s="13">
        <v>8</v>
      </c>
      <c r="J467" s="10"/>
      <c r="K467" s="13">
        <v>16</v>
      </c>
      <c r="L467" s="13">
        <v>9</v>
      </c>
      <c r="M467" s="13">
        <v>37</v>
      </c>
      <c r="N467" s="13">
        <v>0</v>
      </c>
      <c r="O467" s="54">
        <f t="shared" si="14"/>
        <v>0.40069444444444446</v>
      </c>
      <c r="P467" s="55">
        <f t="shared" si="15"/>
        <v>0.69236111111111109</v>
      </c>
    </row>
    <row r="468" spans="1:16" x14ac:dyDescent="0.3">
      <c r="A468" s="25">
        <f>YEAR('RETAIL SALES DATA.'!K467)</f>
        <v>2026</v>
      </c>
      <c r="B468" s="13" t="str">
        <v>Mar</v>
      </c>
      <c r="C468" s="42">
        <f>DAY('RETAIL SALES DATA.'!K467)</f>
        <v>31</v>
      </c>
      <c r="D468" s="13">
        <v>2026</v>
      </c>
      <c r="E468" s="13" t="str">
        <v>Apr</v>
      </c>
      <c r="F468" s="13">
        <v>8</v>
      </c>
      <c r="G468" s="10"/>
      <c r="H468" s="13">
        <f>NETWORKDAYS('RETAIL SALES DATA.'!K467,'RETAIL SALES DATA.'!L467)</f>
        <v>7</v>
      </c>
      <c r="I468" s="13">
        <v>8</v>
      </c>
      <c r="J468" s="10"/>
      <c r="K468" s="13">
        <v>14</v>
      </c>
      <c r="L468" s="13">
        <v>9</v>
      </c>
      <c r="M468" s="13">
        <v>57</v>
      </c>
      <c r="N468" s="13">
        <v>0</v>
      </c>
      <c r="O468" s="54">
        <f t="shared" si="14"/>
        <v>0.41458333333333336</v>
      </c>
      <c r="P468" s="55">
        <f t="shared" si="15"/>
        <v>0.62291666666666667</v>
      </c>
    </row>
    <row r="469" spans="1:16" x14ac:dyDescent="0.3">
      <c r="A469" s="25">
        <f>YEAR('RETAIL SALES DATA.'!K468)</f>
        <v>2026</v>
      </c>
      <c r="B469" s="13" t="str">
        <v>Mar</v>
      </c>
      <c r="C469" s="42">
        <f>DAY('RETAIL SALES DATA.'!K468)</f>
        <v>20</v>
      </c>
      <c r="D469" s="13">
        <v>2026</v>
      </c>
      <c r="E469" s="13" t="str">
        <v>Mar</v>
      </c>
      <c r="F469" s="13">
        <v>25</v>
      </c>
      <c r="G469" s="10"/>
      <c r="H469" s="13">
        <f>NETWORKDAYS('RETAIL SALES DATA.'!K468,'RETAIL SALES DATA.'!L468)</f>
        <v>4</v>
      </c>
      <c r="I469" s="13">
        <v>5</v>
      </c>
      <c r="J469" s="10"/>
      <c r="K469" s="13">
        <v>4</v>
      </c>
      <c r="L469" s="13">
        <v>8</v>
      </c>
      <c r="M469" s="13">
        <v>43</v>
      </c>
      <c r="N469" s="13">
        <v>0</v>
      </c>
      <c r="O469" s="54">
        <f t="shared" si="14"/>
        <v>0.36319444444444443</v>
      </c>
      <c r="P469" s="55">
        <f t="shared" si="15"/>
        <v>0.19652777777777777</v>
      </c>
    </row>
    <row r="470" spans="1:16" x14ac:dyDescent="0.3">
      <c r="A470" s="25">
        <f>YEAR('RETAIL SALES DATA.'!K469)</f>
        <v>2025</v>
      </c>
      <c r="B470" s="13" t="str">
        <v>Mar</v>
      </c>
      <c r="C470" s="42">
        <f>DAY('RETAIL SALES DATA.'!K469)</f>
        <v>2</v>
      </c>
      <c r="D470" s="13">
        <v>2025</v>
      </c>
      <c r="E470" s="13" t="str">
        <v>Mar</v>
      </c>
      <c r="F470" s="13">
        <v>8</v>
      </c>
      <c r="G470" s="10"/>
      <c r="H470" s="13">
        <f>NETWORKDAYS('RETAIL SALES DATA.'!K469,'RETAIL SALES DATA.'!L469)</f>
        <v>5</v>
      </c>
      <c r="I470" s="13">
        <v>6</v>
      </c>
      <c r="J470" s="10"/>
      <c r="K470" s="13">
        <v>19</v>
      </c>
      <c r="L470" s="13">
        <v>9</v>
      </c>
      <c r="M470" s="13">
        <v>15</v>
      </c>
      <c r="N470" s="13">
        <v>0</v>
      </c>
      <c r="O470" s="54">
        <f t="shared" si="14"/>
        <v>0.38541666666666669</v>
      </c>
      <c r="P470" s="55">
        <f t="shared" si="15"/>
        <v>0.80208333333333337</v>
      </c>
    </row>
    <row r="471" spans="1:16" x14ac:dyDescent="0.3">
      <c r="A471" s="25">
        <f>YEAR('RETAIL SALES DATA.'!K470)</f>
        <v>2025</v>
      </c>
      <c r="B471" s="13" t="str">
        <v>May</v>
      </c>
      <c r="C471" s="42">
        <f>DAY('RETAIL SALES DATA.'!K470)</f>
        <v>30</v>
      </c>
      <c r="D471" s="13">
        <v>2025</v>
      </c>
      <c r="E471" s="13" t="str">
        <v>Jun</v>
      </c>
      <c r="F471" s="13">
        <v>8</v>
      </c>
      <c r="G471" s="10"/>
      <c r="H471" s="13">
        <f>NETWORKDAYS('RETAIL SALES DATA.'!K470,'RETAIL SALES DATA.'!L470)</f>
        <v>6</v>
      </c>
      <c r="I471" s="13">
        <v>9</v>
      </c>
      <c r="J471" s="10"/>
      <c r="K471" s="13">
        <v>0</v>
      </c>
      <c r="L471" s="13">
        <v>9</v>
      </c>
      <c r="M471" s="13">
        <v>3</v>
      </c>
      <c r="N471" s="13">
        <v>0</v>
      </c>
      <c r="O471" s="54">
        <f t="shared" si="14"/>
        <v>0.37708333333333333</v>
      </c>
      <c r="P471" s="55">
        <f t="shared" si="15"/>
        <v>2.0833333333333333E-3</v>
      </c>
    </row>
    <row r="472" spans="1:16" x14ac:dyDescent="0.3">
      <c r="A472" s="25">
        <f>YEAR('RETAIL SALES DATA.'!K471)</f>
        <v>2025</v>
      </c>
      <c r="B472" s="13" t="str">
        <v>Feb</v>
      </c>
      <c r="C472" s="42">
        <f>DAY('RETAIL SALES DATA.'!K471)</f>
        <v>9</v>
      </c>
      <c r="D472" s="13">
        <v>2025</v>
      </c>
      <c r="E472" s="13" t="str">
        <v>Feb</v>
      </c>
      <c r="F472" s="13">
        <v>14</v>
      </c>
      <c r="G472" s="10"/>
      <c r="H472" s="13">
        <f>NETWORKDAYS('RETAIL SALES DATA.'!K471,'RETAIL SALES DATA.'!L471)</f>
        <v>5</v>
      </c>
      <c r="I472" s="13">
        <v>5</v>
      </c>
      <c r="J472" s="10"/>
      <c r="K472" s="13">
        <v>21</v>
      </c>
      <c r="L472" s="13">
        <v>8</v>
      </c>
      <c r="M472" s="13">
        <v>38</v>
      </c>
      <c r="N472" s="13">
        <v>0</v>
      </c>
      <c r="O472" s="54">
        <f t="shared" si="14"/>
        <v>0.35972222222222222</v>
      </c>
      <c r="P472" s="55">
        <f t="shared" si="15"/>
        <v>0.90138888888888891</v>
      </c>
    </row>
    <row r="473" spans="1:16" x14ac:dyDescent="0.3">
      <c r="A473" s="25">
        <f>YEAR('RETAIL SALES DATA.'!K472)</f>
        <v>2025</v>
      </c>
      <c r="B473" s="13" t="str">
        <v>Jul</v>
      </c>
      <c r="C473" s="42">
        <f>DAY('RETAIL SALES DATA.'!K472)</f>
        <v>11</v>
      </c>
      <c r="D473" s="13">
        <v>2025</v>
      </c>
      <c r="E473" s="13" t="str">
        <v>Jul</v>
      </c>
      <c r="F473" s="13">
        <v>21</v>
      </c>
      <c r="G473" s="10"/>
      <c r="H473" s="13">
        <f>NETWORKDAYS('RETAIL SALES DATA.'!K472,'RETAIL SALES DATA.'!L472)</f>
        <v>7</v>
      </c>
      <c r="I473" s="13">
        <v>10</v>
      </c>
      <c r="J473" s="10"/>
      <c r="K473" s="13">
        <v>4</v>
      </c>
      <c r="L473" s="13">
        <v>8</v>
      </c>
      <c r="M473" s="13">
        <v>9</v>
      </c>
      <c r="N473" s="13">
        <v>0</v>
      </c>
      <c r="O473" s="54">
        <f t="shared" si="14"/>
        <v>0.33958333333333335</v>
      </c>
      <c r="P473" s="55">
        <f t="shared" si="15"/>
        <v>0.17291666666666666</v>
      </c>
    </row>
    <row r="474" spans="1:16" x14ac:dyDescent="0.3">
      <c r="A474" s="25">
        <f>YEAR('RETAIL SALES DATA.'!K473)</f>
        <v>2026</v>
      </c>
      <c r="B474" s="13" t="str">
        <v>Apr</v>
      </c>
      <c r="C474" s="42">
        <f>DAY('RETAIL SALES DATA.'!K473)</f>
        <v>8</v>
      </c>
      <c r="D474" s="13">
        <v>2026</v>
      </c>
      <c r="E474" s="13" t="str">
        <v>Apr</v>
      </c>
      <c r="F474" s="13">
        <v>12</v>
      </c>
      <c r="G474" s="10"/>
      <c r="H474" s="13">
        <f>NETWORKDAYS('RETAIL SALES DATA.'!K473,'RETAIL SALES DATA.'!L473)</f>
        <v>3</v>
      </c>
      <c r="I474" s="13">
        <v>4</v>
      </c>
      <c r="J474" s="10"/>
      <c r="K474" s="13">
        <v>9</v>
      </c>
      <c r="L474" s="13">
        <v>9</v>
      </c>
      <c r="M474" s="13">
        <v>36</v>
      </c>
      <c r="N474" s="13">
        <v>0</v>
      </c>
      <c r="O474" s="54">
        <f t="shared" si="14"/>
        <v>0.4</v>
      </c>
      <c r="P474" s="55">
        <f t="shared" si="15"/>
        <v>0.4</v>
      </c>
    </row>
    <row r="475" spans="1:16" x14ac:dyDescent="0.3">
      <c r="A475" s="25">
        <f>YEAR('RETAIL SALES DATA.'!K474)</f>
        <v>2025</v>
      </c>
      <c r="B475" s="13" t="str">
        <v>Oct</v>
      </c>
      <c r="C475" s="42">
        <f>DAY('RETAIL SALES DATA.'!K474)</f>
        <v>31</v>
      </c>
      <c r="D475" s="13">
        <v>2025</v>
      </c>
      <c r="E475" s="13" t="str">
        <v>Nov</v>
      </c>
      <c r="F475" s="13">
        <v>4</v>
      </c>
      <c r="G475" s="10"/>
      <c r="H475" s="13">
        <f>NETWORKDAYS('RETAIL SALES DATA.'!K474,'RETAIL SALES DATA.'!L474)</f>
        <v>3</v>
      </c>
      <c r="I475" s="13">
        <v>4</v>
      </c>
      <c r="J475" s="10"/>
      <c r="K475" s="13">
        <v>4</v>
      </c>
      <c r="L475" s="13">
        <v>9</v>
      </c>
      <c r="M475" s="13">
        <v>54</v>
      </c>
      <c r="N475" s="13">
        <v>0</v>
      </c>
      <c r="O475" s="54">
        <f t="shared" si="14"/>
        <v>0.41249999999999998</v>
      </c>
      <c r="P475" s="55">
        <f t="shared" si="15"/>
        <v>0.20416666666666666</v>
      </c>
    </row>
    <row r="476" spans="1:16" x14ac:dyDescent="0.3">
      <c r="A476" s="25">
        <f>YEAR('RETAIL SALES DATA.'!K475)</f>
        <v>2024</v>
      </c>
      <c r="B476" s="13" t="str">
        <v>Jul</v>
      </c>
      <c r="C476" s="42">
        <f>DAY('RETAIL SALES DATA.'!K475)</f>
        <v>7</v>
      </c>
      <c r="D476" s="13">
        <v>2024</v>
      </c>
      <c r="E476" s="13" t="str">
        <v>Jul</v>
      </c>
      <c r="F476" s="13">
        <v>17</v>
      </c>
      <c r="G476" s="10"/>
      <c r="H476" s="13">
        <f>NETWORKDAYS('RETAIL SALES DATA.'!K475,'RETAIL SALES DATA.'!L475)</f>
        <v>8</v>
      </c>
      <c r="I476" s="13">
        <v>10</v>
      </c>
      <c r="J476" s="10"/>
      <c r="K476" s="13">
        <v>21</v>
      </c>
      <c r="L476" s="13">
        <v>10</v>
      </c>
      <c r="M476" s="13">
        <v>24</v>
      </c>
      <c r="N476" s="13">
        <v>0</v>
      </c>
      <c r="O476" s="54">
        <f t="shared" si="14"/>
        <v>0.43333333333333335</v>
      </c>
      <c r="P476" s="55">
        <f t="shared" si="15"/>
        <v>0.89166666666666672</v>
      </c>
    </row>
    <row r="477" spans="1:16" x14ac:dyDescent="0.3">
      <c r="A477" s="25">
        <f>YEAR('RETAIL SALES DATA.'!K476)</f>
        <v>2025</v>
      </c>
      <c r="B477" s="13" t="str">
        <v>Jan</v>
      </c>
      <c r="C477" s="42">
        <f>DAY('RETAIL SALES DATA.'!K476)</f>
        <v>23</v>
      </c>
      <c r="D477" s="13">
        <v>2025</v>
      </c>
      <c r="E477" s="13" t="str">
        <v>Jan</v>
      </c>
      <c r="F477" s="13">
        <v>29</v>
      </c>
      <c r="G477" s="10"/>
      <c r="H477" s="13">
        <f>NETWORKDAYS('RETAIL SALES DATA.'!K476,'RETAIL SALES DATA.'!L476)</f>
        <v>5</v>
      </c>
      <c r="I477" s="13">
        <v>6</v>
      </c>
      <c r="J477" s="10"/>
      <c r="K477" s="13">
        <v>19</v>
      </c>
      <c r="L477" s="13">
        <v>8</v>
      </c>
      <c r="M477" s="13">
        <v>34</v>
      </c>
      <c r="N477" s="13">
        <v>0</v>
      </c>
      <c r="O477" s="54">
        <f t="shared" si="14"/>
        <v>0.35694444444444445</v>
      </c>
      <c r="P477" s="55">
        <f t="shared" si="15"/>
        <v>0.81527777777777777</v>
      </c>
    </row>
    <row r="478" spans="1:16" x14ac:dyDescent="0.3">
      <c r="A478" s="25">
        <f>YEAR('RETAIL SALES DATA.'!K477)</f>
        <v>2024</v>
      </c>
      <c r="B478" s="13" t="str">
        <v>May</v>
      </c>
      <c r="C478" s="42">
        <f>DAY('RETAIL SALES DATA.'!K477)</f>
        <v>21</v>
      </c>
      <c r="D478" s="13">
        <v>2024</v>
      </c>
      <c r="E478" s="13" t="str">
        <v>May</v>
      </c>
      <c r="F478" s="13">
        <v>24</v>
      </c>
      <c r="G478" s="10"/>
      <c r="H478" s="13">
        <f>NETWORKDAYS('RETAIL SALES DATA.'!K477,'RETAIL SALES DATA.'!L477)</f>
        <v>4</v>
      </c>
      <c r="I478" s="13">
        <v>3</v>
      </c>
      <c r="J478" s="10"/>
      <c r="K478" s="13">
        <v>0</v>
      </c>
      <c r="L478" s="13">
        <v>9</v>
      </c>
      <c r="M478" s="13">
        <v>12</v>
      </c>
      <c r="N478" s="13">
        <v>0</v>
      </c>
      <c r="O478" s="54">
        <f t="shared" si="14"/>
        <v>0.38333333333333336</v>
      </c>
      <c r="P478" s="55">
        <f t="shared" si="15"/>
        <v>8.3333333333333332E-3</v>
      </c>
    </row>
    <row r="479" spans="1:16" x14ac:dyDescent="0.3">
      <c r="A479" s="25">
        <f>YEAR('RETAIL SALES DATA.'!K478)</f>
        <v>2025</v>
      </c>
      <c r="B479" s="13" t="str">
        <v>Aug</v>
      </c>
      <c r="C479" s="42">
        <f>DAY('RETAIL SALES DATA.'!K478)</f>
        <v>7</v>
      </c>
      <c r="D479" s="13">
        <v>2025</v>
      </c>
      <c r="E479" s="13" t="str">
        <v>Aug</v>
      </c>
      <c r="F479" s="13">
        <v>14</v>
      </c>
      <c r="G479" s="10"/>
      <c r="H479" s="13">
        <f>NETWORKDAYS('RETAIL SALES DATA.'!K478,'RETAIL SALES DATA.'!L478)</f>
        <v>6</v>
      </c>
      <c r="I479" s="13">
        <v>7</v>
      </c>
      <c r="J479" s="10"/>
      <c r="K479" s="13">
        <v>7</v>
      </c>
      <c r="L479" s="13">
        <v>8</v>
      </c>
      <c r="M479" s="13">
        <v>26</v>
      </c>
      <c r="N479" s="13">
        <v>0</v>
      </c>
      <c r="O479" s="54">
        <f t="shared" si="14"/>
        <v>0.35138888888888886</v>
      </c>
      <c r="P479" s="55">
        <f t="shared" si="15"/>
        <v>0.30972222222222223</v>
      </c>
    </row>
    <row r="480" spans="1:16" x14ac:dyDescent="0.3">
      <c r="A480" s="25">
        <f>YEAR('RETAIL SALES DATA.'!K479)</f>
        <v>2024</v>
      </c>
      <c r="B480" s="13" t="str">
        <v>Nov</v>
      </c>
      <c r="C480" s="42">
        <f>DAY('RETAIL SALES DATA.'!K479)</f>
        <v>15</v>
      </c>
      <c r="D480" s="13">
        <v>2024</v>
      </c>
      <c r="E480" s="13" t="str">
        <v>Nov</v>
      </c>
      <c r="F480" s="13">
        <v>25</v>
      </c>
      <c r="G480" s="10"/>
      <c r="H480" s="13">
        <f>NETWORKDAYS('RETAIL SALES DATA.'!K479,'RETAIL SALES DATA.'!L479)</f>
        <v>7</v>
      </c>
      <c r="I480" s="13">
        <v>10</v>
      </c>
      <c r="J480" s="10"/>
      <c r="K480" s="13">
        <v>9</v>
      </c>
      <c r="L480" s="13">
        <v>10</v>
      </c>
      <c r="M480" s="13">
        <v>8</v>
      </c>
      <c r="N480" s="13">
        <v>0</v>
      </c>
      <c r="O480" s="54">
        <f t="shared" si="14"/>
        <v>0.42222222222222222</v>
      </c>
      <c r="P480" s="55">
        <f t="shared" si="15"/>
        <v>0.38055555555555554</v>
      </c>
    </row>
    <row r="481" spans="1:16" x14ac:dyDescent="0.3">
      <c r="A481" s="25">
        <f>YEAR('RETAIL SALES DATA.'!K480)</f>
        <v>2025</v>
      </c>
      <c r="B481" s="13" t="str">
        <v>Dec</v>
      </c>
      <c r="C481" s="42">
        <f>DAY('RETAIL SALES DATA.'!K480)</f>
        <v>9</v>
      </c>
      <c r="D481" s="13">
        <v>2025</v>
      </c>
      <c r="E481" s="13" t="str">
        <v>Dec</v>
      </c>
      <c r="F481" s="13">
        <v>17</v>
      </c>
      <c r="G481" s="10"/>
      <c r="H481" s="13">
        <f>NETWORKDAYS('RETAIL SALES DATA.'!K480,'RETAIL SALES DATA.'!L480)</f>
        <v>7</v>
      </c>
      <c r="I481" s="13">
        <v>8</v>
      </c>
      <c r="J481" s="10"/>
      <c r="K481" s="13">
        <v>19</v>
      </c>
      <c r="L481" s="13">
        <v>10</v>
      </c>
      <c r="M481" s="13">
        <v>22</v>
      </c>
      <c r="N481" s="13">
        <v>0</v>
      </c>
      <c r="O481" s="54">
        <f t="shared" si="14"/>
        <v>0.43194444444444446</v>
      </c>
      <c r="P481" s="55">
        <f t="shared" si="15"/>
        <v>0.80694444444444446</v>
      </c>
    </row>
    <row r="482" spans="1:16" x14ac:dyDescent="0.3">
      <c r="A482" s="25">
        <f>YEAR('RETAIL SALES DATA.'!K481)</f>
        <v>2024</v>
      </c>
      <c r="B482" s="13" t="str">
        <v>Nov</v>
      </c>
      <c r="C482" s="42">
        <f>DAY('RETAIL SALES DATA.'!K481)</f>
        <v>28</v>
      </c>
      <c r="D482" s="13">
        <v>2024</v>
      </c>
      <c r="E482" s="13" t="str">
        <v>Dec</v>
      </c>
      <c r="F482" s="13">
        <v>4</v>
      </c>
      <c r="G482" s="10"/>
      <c r="H482" s="13">
        <f>NETWORKDAYS('RETAIL SALES DATA.'!K481,'RETAIL SALES DATA.'!L481)</f>
        <v>5</v>
      </c>
      <c r="I482" s="13">
        <v>6</v>
      </c>
      <c r="J482" s="10"/>
      <c r="K482" s="13">
        <v>7</v>
      </c>
      <c r="L482" s="13">
        <v>8</v>
      </c>
      <c r="M482" s="13">
        <v>57</v>
      </c>
      <c r="N482" s="13">
        <v>0</v>
      </c>
      <c r="O482" s="54">
        <f t="shared" si="14"/>
        <v>0.37291666666666667</v>
      </c>
      <c r="P482" s="55">
        <f t="shared" si="15"/>
        <v>0.33124999999999999</v>
      </c>
    </row>
    <row r="483" spans="1:16" x14ac:dyDescent="0.3">
      <c r="A483" s="25">
        <f>YEAR('RETAIL SALES DATA.'!K482)</f>
        <v>2025</v>
      </c>
      <c r="B483" s="13" t="str">
        <v>May</v>
      </c>
      <c r="C483" s="42">
        <f>DAY('RETAIL SALES DATA.'!K482)</f>
        <v>31</v>
      </c>
      <c r="D483" s="13">
        <v>2025</v>
      </c>
      <c r="E483" s="13" t="str">
        <v>Jun</v>
      </c>
      <c r="F483" s="13">
        <v>4</v>
      </c>
      <c r="G483" s="10"/>
      <c r="H483" s="13">
        <f>NETWORKDAYS('RETAIL SALES DATA.'!K482,'RETAIL SALES DATA.'!L482)</f>
        <v>3</v>
      </c>
      <c r="I483" s="13">
        <v>4</v>
      </c>
      <c r="J483" s="10"/>
      <c r="K483" s="13">
        <v>4</v>
      </c>
      <c r="L483" s="13">
        <v>8</v>
      </c>
      <c r="M483" s="13">
        <v>13</v>
      </c>
      <c r="N483" s="13">
        <v>0</v>
      </c>
      <c r="O483" s="54">
        <f t="shared" si="14"/>
        <v>0.34236111111111112</v>
      </c>
      <c r="P483" s="55">
        <f t="shared" si="15"/>
        <v>0.17569444444444443</v>
      </c>
    </row>
    <row r="484" spans="1:16" x14ac:dyDescent="0.3">
      <c r="A484" s="25">
        <f>YEAR('RETAIL SALES DATA.'!K483)</f>
        <v>2025</v>
      </c>
      <c r="B484" s="13" t="str">
        <v>Apr</v>
      </c>
      <c r="C484" s="42">
        <f>DAY('RETAIL SALES DATA.'!K483)</f>
        <v>18</v>
      </c>
      <c r="D484" s="13">
        <v>2025</v>
      </c>
      <c r="E484" s="13" t="str">
        <v>Apr</v>
      </c>
      <c r="F484" s="13">
        <v>19</v>
      </c>
      <c r="G484" s="10"/>
      <c r="H484" s="13">
        <f>NETWORKDAYS('RETAIL SALES DATA.'!K483,'RETAIL SALES DATA.'!L483)</f>
        <v>1</v>
      </c>
      <c r="I484" s="13">
        <v>1</v>
      </c>
      <c r="J484" s="10"/>
      <c r="K484" s="13">
        <v>2</v>
      </c>
      <c r="L484" s="13">
        <v>11</v>
      </c>
      <c r="M484" s="13">
        <v>57</v>
      </c>
      <c r="N484" s="13">
        <v>0</v>
      </c>
      <c r="O484" s="54">
        <f t="shared" si="14"/>
        <v>0.49791666666666667</v>
      </c>
      <c r="P484" s="55">
        <f t="shared" si="15"/>
        <v>0.12291666666666666</v>
      </c>
    </row>
    <row r="485" spans="1:16" x14ac:dyDescent="0.3">
      <c r="A485" s="25">
        <f>YEAR('RETAIL SALES DATA.'!K484)</f>
        <v>2025</v>
      </c>
      <c r="B485" s="13" t="str">
        <v>Sep</v>
      </c>
      <c r="C485" s="42">
        <f>DAY('RETAIL SALES DATA.'!K484)</f>
        <v>30</v>
      </c>
      <c r="D485" s="13">
        <v>2025</v>
      </c>
      <c r="E485" s="13" t="str">
        <v>Oct</v>
      </c>
      <c r="F485" s="13">
        <v>5</v>
      </c>
      <c r="G485" s="10"/>
      <c r="H485" s="13">
        <f>NETWORKDAYS('RETAIL SALES DATA.'!K484,'RETAIL SALES DATA.'!L484)</f>
        <v>4</v>
      </c>
      <c r="I485" s="13">
        <v>5</v>
      </c>
      <c r="J485" s="10"/>
      <c r="K485" s="13">
        <v>19</v>
      </c>
      <c r="L485" s="13">
        <v>11</v>
      </c>
      <c r="M485" s="13">
        <v>56</v>
      </c>
      <c r="N485" s="13">
        <v>0</v>
      </c>
      <c r="O485" s="54">
        <f t="shared" si="14"/>
        <v>0.49722222222222223</v>
      </c>
      <c r="P485" s="55">
        <f t="shared" si="15"/>
        <v>0.8305555555555556</v>
      </c>
    </row>
    <row r="486" spans="1:16" x14ac:dyDescent="0.3">
      <c r="A486" s="25">
        <f>YEAR('RETAIL SALES DATA.'!K485)</f>
        <v>2025</v>
      </c>
      <c r="B486" s="13" t="str">
        <v>Mar</v>
      </c>
      <c r="C486" s="42">
        <f>DAY('RETAIL SALES DATA.'!K485)</f>
        <v>22</v>
      </c>
      <c r="D486" s="13">
        <v>2025</v>
      </c>
      <c r="E486" s="13" t="str">
        <v>Mar</v>
      </c>
      <c r="F486" s="13">
        <v>24</v>
      </c>
      <c r="G486" s="10"/>
      <c r="H486" s="13">
        <f>NETWORKDAYS('RETAIL SALES DATA.'!K485,'RETAIL SALES DATA.'!L485)</f>
        <v>1</v>
      </c>
      <c r="I486" s="13">
        <v>2</v>
      </c>
      <c r="J486" s="10"/>
      <c r="K486" s="13">
        <v>19</v>
      </c>
      <c r="L486" s="13">
        <v>9</v>
      </c>
      <c r="M486" s="13">
        <v>20</v>
      </c>
      <c r="N486" s="13">
        <v>0</v>
      </c>
      <c r="O486" s="54">
        <f t="shared" si="14"/>
        <v>0.3888888888888889</v>
      </c>
      <c r="P486" s="55">
        <f t="shared" si="15"/>
        <v>0.80555555555555558</v>
      </c>
    </row>
    <row r="487" spans="1:16" x14ac:dyDescent="0.3">
      <c r="A487" s="25">
        <f>YEAR('RETAIL SALES DATA.'!K486)</f>
        <v>2024</v>
      </c>
      <c r="B487" s="13" t="str">
        <v>Oct</v>
      </c>
      <c r="C487" s="42">
        <f>DAY('RETAIL SALES DATA.'!K486)</f>
        <v>23</v>
      </c>
      <c r="D487" s="13">
        <v>2024</v>
      </c>
      <c r="E487" s="13" t="str">
        <v>Oct</v>
      </c>
      <c r="F487" s="13">
        <v>26</v>
      </c>
      <c r="G487" s="10"/>
      <c r="H487" s="13">
        <f>NETWORKDAYS('RETAIL SALES DATA.'!K486,'RETAIL SALES DATA.'!L486)</f>
        <v>3</v>
      </c>
      <c r="I487" s="13">
        <v>3</v>
      </c>
      <c r="J487" s="10"/>
      <c r="K487" s="13">
        <v>12</v>
      </c>
      <c r="L487" s="13">
        <v>8</v>
      </c>
      <c r="M487" s="13">
        <v>44</v>
      </c>
      <c r="N487" s="13">
        <v>0</v>
      </c>
      <c r="O487" s="54">
        <f t="shared" si="14"/>
        <v>0.36388888888888887</v>
      </c>
      <c r="P487" s="55">
        <f t="shared" si="15"/>
        <v>0.53055555555555556</v>
      </c>
    </row>
    <row r="488" spans="1:16" x14ac:dyDescent="0.3">
      <c r="A488" s="25">
        <f>YEAR('RETAIL SALES DATA.'!K487)</f>
        <v>2025</v>
      </c>
      <c r="B488" s="13" t="str">
        <v>Nov</v>
      </c>
      <c r="C488" s="42">
        <f>DAY('RETAIL SALES DATA.'!K487)</f>
        <v>11</v>
      </c>
      <c r="D488" s="13">
        <v>2025</v>
      </c>
      <c r="E488" s="13" t="str">
        <v>Nov</v>
      </c>
      <c r="F488" s="13">
        <v>19</v>
      </c>
      <c r="G488" s="10"/>
      <c r="H488" s="13">
        <f>NETWORKDAYS('RETAIL SALES DATA.'!K487,'RETAIL SALES DATA.'!L487)</f>
        <v>7</v>
      </c>
      <c r="I488" s="13">
        <v>8</v>
      </c>
      <c r="J488" s="10"/>
      <c r="K488" s="13">
        <v>19</v>
      </c>
      <c r="L488" s="13">
        <v>11</v>
      </c>
      <c r="M488" s="13">
        <v>16</v>
      </c>
      <c r="N488" s="13">
        <v>0</v>
      </c>
      <c r="O488" s="54">
        <f t="shared" si="14"/>
        <v>0.46944444444444444</v>
      </c>
      <c r="P488" s="55">
        <f t="shared" si="15"/>
        <v>0.80277777777777781</v>
      </c>
    </row>
    <row r="489" spans="1:16" x14ac:dyDescent="0.3">
      <c r="A489" s="25">
        <f>YEAR('RETAIL SALES DATA.'!K488)</f>
        <v>2024</v>
      </c>
      <c r="B489" s="13" t="str">
        <v>Jul</v>
      </c>
      <c r="C489" s="42">
        <f>DAY('RETAIL SALES DATA.'!K488)</f>
        <v>25</v>
      </c>
      <c r="D489" s="13">
        <v>2024</v>
      </c>
      <c r="E489" s="13" t="str">
        <v>Aug</v>
      </c>
      <c r="F489" s="13">
        <v>2</v>
      </c>
      <c r="G489" s="10"/>
      <c r="H489" s="13">
        <f>NETWORKDAYS('RETAIL SALES DATA.'!K488,'RETAIL SALES DATA.'!L488)</f>
        <v>7</v>
      </c>
      <c r="I489" s="13">
        <v>8</v>
      </c>
      <c r="J489" s="10"/>
      <c r="K489" s="13">
        <v>9</v>
      </c>
      <c r="L489" s="13">
        <v>11</v>
      </c>
      <c r="M489" s="13">
        <v>14</v>
      </c>
      <c r="N489" s="13">
        <v>0</v>
      </c>
      <c r="O489" s="54">
        <f t="shared" si="14"/>
        <v>0.46805555555555556</v>
      </c>
      <c r="P489" s="55">
        <f t="shared" si="15"/>
        <v>0.38472222222222224</v>
      </c>
    </row>
    <row r="490" spans="1:16" x14ac:dyDescent="0.3">
      <c r="A490" s="25">
        <f>YEAR('RETAIL SALES DATA.'!K489)</f>
        <v>2025</v>
      </c>
      <c r="B490" s="13" t="str">
        <v>Apr</v>
      </c>
      <c r="C490" s="42">
        <f>DAY('RETAIL SALES DATA.'!K489)</f>
        <v>15</v>
      </c>
      <c r="D490" s="13">
        <v>2025</v>
      </c>
      <c r="E490" s="13" t="str">
        <v>Apr</v>
      </c>
      <c r="F490" s="13">
        <v>24</v>
      </c>
      <c r="G490" s="10"/>
      <c r="H490" s="13">
        <f>NETWORKDAYS('RETAIL SALES DATA.'!K489,'RETAIL SALES DATA.'!L489)</f>
        <v>8</v>
      </c>
      <c r="I490" s="13">
        <v>9</v>
      </c>
      <c r="J490" s="10"/>
      <c r="K490" s="13">
        <v>4</v>
      </c>
      <c r="L490" s="13">
        <v>8</v>
      </c>
      <c r="M490" s="13">
        <v>33</v>
      </c>
      <c r="N490" s="13">
        <v>0</v>
      </c>
      <c r="O490" s="54">
        <f t="shared" si="14"/>
        <v>0.35625000000000001</v>
      </c>
      <c r="P490" s="55">
        <f t="shared" si="15"/>
        <v>0.18958333333333333</v>
      </c>
    </row>
    <row r="491" spans="1:16" x14ac:dyDescent="0.3">
      <c r="A491" s="25">
        <f>YEAR('RETAIL SALES DATA.'!K490)</f>
        <v>2026</v>
      </c>
      <c r="B491" s="13" t="str">
        <v>Apr</v>
      </c>
      <c r="C491" s="42">
        <f>DAY('RETAIL SALES DATA.'!K490)</f>
        <v>9</v>
      </c>
      <c r="D491" s="13">
        <v>2026</v>
      </c>
      <c r="E491" s="13" t="str">
        <v>Apr</v>
      </c>
      <c r="F491" s="13">
        <v>18</v>
      </c>
      <c r="G491" s="10"/>
      <c r="H491" s="13">
        <f>NETWORKDAYS('RETAIL SALES DATA.'!K490,'RETAIL SALES DATA.'!L490)</f>
        <v>7</v>
      </c>
      <c r="I491" s="13">
        <v>9</v>
      </c>
      <c r="J491" s="10"/>
      <c r="K491" s="13">
        <v>21</v>
      </c>
      <c r="L491" s="13">
        <v>10</v>
      </c>
      <c r="M491" s="13">
        <v>13</v>
      </c>
      <c r="N491" s="13">
        <v>0</v>
      </c>
      <c r="O491" s="54">
        <f t="shared" si="14"/>
        <v>0.42569444444444443</v>
      </c>
      <c r="P491" s="55">
        <f t="shared" si="15"/>
        <v>0.88402777777777775</v>
      </c>
    </row>
    <row r="492" spans="1:16" x14ac:dyDescent="0.3">
      <c r="A492" s="25">
        <f>YEAR('RETAIL SALES DATA.'!K491)</f>
        <v>2025</v>
      </c>
      <c r="B492" s="13" t="str">
        <v>May</v>
      </c>
      <c r="C492" s="42">
        <f>DAY('RETAIL SALES DATA.'!K491)</f>
        <v>5</v>
      </c>
      <c r="D492" s="13">
        <v>2025</v>
      </c>
      <c r="E492" s="13" t="str">
        <v>May</v>
      </c>
      <c r="F492" s="13">
        <v>8</v>
      </c>
      <c r="G492" s="10"/>
      <c r="H492" s="13">
        <f>NETWORKDAYS('RETAIL SALES DATA.'!K491,'RETAIL SALES DATA.'!L491)</f>
        <v>4</v>
      </c>
      <c r="I492" s="13">
        <v>3</v>
      </c>
      <c r="J492" s="10"/>
      <c r="K492" s="13">
        <v>14</v>
      </c>
      <c r="L492" s="13">
        <v>8</v>
      </c>
      <c r="M492" s="13">
        <v>2</v>
      </c>
      <c r="N492" s="13">
        <v>0</v>
      </c>
      <c r="O492" s="54">
        <f t="shared" si="14"/>
        <v>0.3347222222222222</v>
      </c>
      <c r="P492" s="55">
        <f t="shared" si="15"/>
        <v>0.58472222222222225</v>
      </c>
    </row>
    <row r="493" spans="1:16" x14ac:dyDescent="0.3">
      <c r="A493" s="25">
        <f>YEAR('RETAIL SALES DATA.'!K492)</f>
        <v>2025</v>
      </c>
      <c r="B493" s="13" t="str">
        <v>Mar</v>
      </c>
      <c r="C493" s="42">
        <f>DAY('RETAIL SALES DATA.'!K492)</f>
        <v>8</v>
      </c>
      <c r="D493" s="13">
        <v>2025</v>
      </c>
      <c r="E493" s="13" t="str">
        <v>Mar</v>
      </c>
      <c r="F493" s="13">
        <v>18</v>
      </c>
      <c r="G493" s="10"/>
      <c r="H493" s="13">
        <f>NETWORKDAYS('RETAIL SALES DATA.'!K492,'RETAIL SALES DATA.'!L492)</f>
        <v>7</v>
      </c>
      <c r="I493" s="13">
        <v>10</v>
      </c>
      <c r="J493" s="10"/>
      <c r="K493" s="13">
        <v>19</v>
      </c>
      <c r="L493" s="13">
        <v>10</v>
      </c>
      <c r="M493" s="13">
        <v>30</v>
      </c>
      <c r="N493" s="13">
        <v>0</v>
      </c>
      <c r="O493" s="54">
        <f t="shared" si="14"/>
        <v>0.4375</v>
      </c>
      <c r="P493" s="55">
        <f t="shared" si="15"/>
        <v>0.8125</v>
      </c>
    </row>
    <row r="494" spans="1:16" x14ac:dyDescent="0.3">
      <c r="A494" s="25">
        <f>YEAR('RETAIL SALES DATA.'!K493)</f>
        <v>2025</v>
      </c>
      <c r="B494" s="13" t="str">
        <v>Sep</v>
      </c>
      <c r="C494" s="42">
        <f>DAY('RETAIL SALES DATA.'!K493)</f>
        <v>10</v>
      </c>
      <c r="D494" s="13">
        <v>2025</v>
      </c>
      <c r="E494" s="13" t="str">
        <v>Sep</v>
      </c>
      <c r="F494" s="13">
        <v>18</v>
      </c>
      <c r="G494" s="10"/>
      <c r="H494" s="13">
        <f>NETWORKDAYS('RETAIL SALES DATA.'!K493,'RETAIL SALES DATA.'!L493)</f>
        <v>7</v>
      </c>
      <c r="I494" s="13">
        <v>8</v>
      </c>
      <c r="J494" s="10"/>
      <c r="K494" s="13">
        <v>4</v>
      </c>
      <c r="L494" s="13">
        <v>8</v>
      </c>
      <c r="M494" s="13">
        <v>30</v>
      </c>
      <c r="N494" s="13">
        <v>0</v>
      </c>
      <c r="O494" s="54">
        <f t="shared" si="14"/>
        <v>0.35416666666666669</v>
      </c>
      <c r="P494" s="55">
        <f t="shared" si="15"/>
        <v>0.1875</v>
      </c>
    </row>
    <row r="495" spans="1:16" x14ac:dyDescent="0.3">
      <c r="A495" s="25">
        <f>YEAR('RETAIL SALES DATA.'!K494)</f>
        <v>2025</v>
      </c>
      <c r="B495" s="13" t="str">
        <v>Aug</v>
      </c>
      <c r="C495" s="42">
        <f>DAY('RETAIL SALES DATA.'!K494)</f>
        <v>2</v>
      </c>
      <c r="D495" s="13">
        <v>2025</v>
      </c>
      <c r="E495" s="13" t="str">
        <v>Aug</v>
      </c>
      <c r="F495" s="13">
        <v>12</v>
      </c>
      <c r="G495" s="10"/>
      <c r="H495" s="13">
        <f>NETWORKDAYS('RETAIL SALES DATA.'!K494,'RETAIL SALES DATA.'!L494)</f>
        <v>7</v>
      </c>
      <c r="I495" s="13">
        <v>10</v>
      </c>
      <c r="J495" s="10"/>
      <c r="K495" s="13">
        <v>16</v>
      </c>
      <c r="L495" s="13">
        <v>9</v>
      </c>
      <c r="M495" s="13">
        <v>25</v>
      </c>
      <c r="N495" s="13">
        <v>0</v>
      </c>
      <c r="O495" s="54">
        <f t="shared" si="14"/>
        <v>0.3923611111111111</v>
      </c>
      <c r="P495" s="55">
        <f t="shared" si="15"/>
        <v>0.68402777777777779</v>
      </c>
    </row>
    <row r="496" spans="1:16" x14ac:dyDescent="0.3">
      <c r="A496" s="25">
        <f>YEAR('RETAIL SALES DATA.'!K495)</f>
        <v>2024</v>
      </c>
      <c r="B496" s="13" t="str">
        <v>Jul</v>
      </c>
      <c r="C496" s="42">
        <f>DAY('RETAIL SALES DATA.'!K495)</f>
        <v>27</v>
      </c>
      <c r="D496" s="13">
        <v>2024</v>
      </c>
      <c r="E496" s="13" t="str">
        <v>Jul</v>
      </c>
      <c r="F496" s="13">
        <v>29</v>
      </c>
      <c r="G496" s="10"/>
      <c r="H496" s="13">
        <f>NETWORKDAYS('RETAIL SALES DATA.'!K495,'RETAIL SALES DATA.'!L495)</f>
        <v>1</v>
      </c>
      <c r="I496" s="13">
        <v>2</v>
      </c>
      <c r="J496" s="10"/>
      <c r="K496" s="13">
        <v>19</v>
      </c>
      <c r="L496" s="13">
        <v>10</v>
      </c>
      <c r="M496" s="13">
        <v>5</v>
      </c>
      <c r="N496" s="13">
        <v>0</v>
      </c>
      <c r="O496" s="54">
        <f t="shared" si="14"/>
        <v>0.4201388888888889</v>
      </c>
      <c r="P496" s="55">
        <f t="shared" si="15"/>
        <v>0.79513888888888884</v>
      </c>
    </row>
    <row r="497" spans="1:16" x14ac:dyDescent="0.3">
      <c r="A497" s="25">
        <f>YEAR('RETAIL SALES DATA.'!K496)</f>
        <v>2025</v>
      </c>
      <c r="B497" s="13" t="str">
        <v>Oct</v>
      </c>
      <c r="C497" s="42">
        <f>DAY('RETAIL SALES DATA.'!K496)</f>
        <v>2</v>
      </c>
      <c r="D497" s="13">
        <v>2025</v>
      </c>
      <c r="E497" s="13" t="str">
        <v>Oct</v>
      </c>
      <c r="F497" s="13">
        <v>9</v>
      </c>
      <c r="G497" s="10"/>
      <c r="H497" s="13">
        <f>NETWORKDAYS('RETAIL SALES DATA.'!K496,'RETAIL SALES DATA.'!L496)</f>
        <v>6</v>
      </c>
      <c r="I497" s="13">
        <v>7</v>
      </c>
      <c r="J497" s="10"/>
      <c r="K497" s="13">
        <v>2</v>
      </c>
      <c r="L497" s="13">
        <v>8</v>
      </c>
      <c r="M497" s="13">
        <v>6</v>
      </c>
      <c r="N497" s="13">
        <v>0</v>
      </c>
      <c r="O497" s="54">
        <f t="shared" si="14"/>
        <v>0.33750000000000002</v>
      </c>
      <c r="P497" s="55">
        <f t="shared" si="15"/>
        <v>8.7499999999999994E-2</v>
      </c>
    </row>
    <row r="498" spans="1:16" x14ac:dyDescent="0.3">
      <c r="A498" s="25">
        <f>YEAR('RETAIL SALES DATA.'!K497)</f>
        <v>2025</v>
      </c>
      <c r="B498" s="13" t="str">
        <v>Mar</v>
      </c>
      <c r="C498" s="42">
        <f>DAY('RETAIL SALES DATA.'!K497)</f>
        <v>10</v>
      </c>
      <c r="D498" s="13">
        <v>2025</v>
      </c>
      <c r="E498" s="13" t="str">
        <v>Mar</v>
      </c>
      <c r="F498" s="13">
        <v>15</v>
      </c>
      <c r="G498" s="10"/>
      <c r="H498" s="13">
        <f>NETWORKDAYS('RETAIL SALES DATA.'!K497,'RETAIL SALES DATA.'!L497)</f>
        <v>5</v>
      </c>
      <c r="I498" s="13">
        <v>5</v>
      </c>
      <c r="J498" s="10"/>
      <c r="K498" s="13">
        <v>16</v>
      </c>
      <c r="L498" s="13">
        <v>8</v>
      </c>
      <c r="M498" s="13">
        <v>21</v>
      </c>
      <c r="N498" s="13">
        <v>0</v>
      </c>
      <c r="O498" s="54">
        <f t="shared" si="14"/>
        <v>0.34791666666666665</v>
      </c>
      <c r="P498" s="55">
        <f t="shared" si="15"/>
        <v>0.68125000000000002</v>
      </c>
    </row>
    <row r="499" spans="1:16" x14ac:dyDescent="0.3">
      <c r="A499" s="25">
        <f>YEAR('RETAIL SALES DATA.'!K498)</f>
        <v>2024</v>
      </c>
      <c r="B499" s="13" t="str">
        <v>Oct</v>
      </c>
      <c r="C499" s="42">
        <f>DAY('RETAIL SALES DATA.'!K498)</f>
        <v>31</v>
      </c>
      <c r="D499" s="13">
        <v>2024</v>
      </c>
      <c r="E499" s="13" t="str">
        <v>Nov</v>
      </c>
      <c r="F499" s="13">
        <v>8</v>
      </c>
      <c r="G499" s="10"/>
      <c r="H499" s="13">
        <f>NETWORKDAYS('RETAIL SALES DATA.'!K498,'RETAIL SALES DATA.'!L498)</f>
        <v>7</v>
      </c>
      <c r="I499" s="13">
        <v>8</v>
      </c>
      <c r="J499" s="10"/>
      <c r="K499" s="13">
        <v>9</v>
      </c>
      <c r="L499" s="13">
        <v>9</v>
      </c>
      <c r="M499" s="13">
        <v>58</v>
      </c>
      <c r="N499" s="13">
        <v>0</v>
      </c>
      <c r="O499" s="54">
        <f t="shared" si="14"/>
        <v>0.4152777777777778</v>
      </c>
      <c r="P499" s="55">
        <f t="shared" si="15"/>
        <v>0.4152777777777778</v>
      </c>
    </row>
    <row r="500" spans="1:16" x14ac:dyDescent="0.3">
      <c r="A500" s="25">
        <f>YEAR('RETAIL SALES DATA.'!K499)</f>
        <v>2025</v>
      </c>
      <c r="B500" s="13" t="str">
        <v>Jan</v>
      </c>
      <c r="C500" s="42">
        <f>DAY('RETAIL SALES DATA.'!K499)</f>
        <v>8</v>
      </c>
      <c r="D500" s="13">
        <v>2025</v>
      </c>
      <c r="E500" s="13" t="str">
        <v>Jan</v>
      </c>
      <c r="F500" s="13">
        <v>9</v>
      </c>
      <c r="G500" s="10"/>
      <c r="H500" s="13">
        <f>NETWORKDAYS('RETAIL SALES DATA.'!K499,'RETAIL SALES DATA.'!L499)</f>
        <v>2</v>
      </c>
      <c r="I500" s="13">
        <v>1</v>
      </c>
      <c r="J500" s="10"/>
      <c r="K500" s="13">
        <v>0</v>
      </c>
      <c r="L500" s="13">
        <v>10</v>
      </c>
      <c r="M500" s="13">
        <v>33</v>
      </c>
      <c r="N500" s="13">
        <v>0</v>
      </c>
      <c r="O500" s="54">
        <f t="shared" si="14"/>
        <v>0.43958333333333333</v>
      </c>
      <c r="P500" s="55">
        <f t="shared" si="15"/>
        <v>2.2916666666666665E-2</v>
      </c>
    </row>
    <row r="501" spans="1:16" x14ac:dyDescent="0.3">
      <c r="A501" s="25">
        <f>YEAR('RETAIL SALES DATA.'!K500)</f>
        <v>2025</v>
      </c>
      <c r="B501" s="13" t="str">
        <v>Nov</v>
      </c>
      <c r="C501" s="42">
        <f>DAY('RETAIL SALES DATA.'!K500)</f>
        <v>2</v>
      </c>
      <c r="D501" s="13">
        <v>2025</v>
      </c>
      <c r="E501" s="13" t="str">
        <v>Nov</v>
      </c>
      <c r="F501" s="13">
        <v>9</v>
      </c>
      <c r="G501" s="10"/>
      <c r="H501" s="13">
        <f>NETWORKDAYS('RETAIL SALES DATA.'!K500,'RETAIL SALES DATA.'!L500)</f>
        <v>5</v>
      </c>
      <c r="I501" s="13">
        <v>7</v>
      </c>
      <c r="J501" s="10"/>
      <c r="K501" s="13">
        <v>9</v>
      </c>
      <c r="L501" s="13">
        <v>8</v>
      </c>
      <c r="M501" s="13">
        <v>7</v>
      </c>
      <c r="N501" s="13">
        <v>0</v>
      </c>
      <c r="O501" s="54">
        <f t="shared" si="14"/>
        <v>0.33819444444444446</v>
      </c>
      <c r="P501" s="55">
        <f t="shared" si="15"/>
        <v>0.37986111111111109</v>
      </c>
    </row>
    <row r="502" spans="1:16" x14ac:dyDescent="0.3">
      <c r="A502" s="25">
        <f>YEAR('RETAIL SALES DATA.'!K501)</f>
        <v>2024</v>
      </c>
      <c r="B502" s="13" t="str">
        <v>Nov</v>
      </c>
      <c r="C502" s="42">
        <f>DAY('RETAIL SALES DATA.'!K501)</f>
        <v>20</v>
      </c>
      <c r="D502" s="13">
        <v>2024</v>
      </c>
      <c r="E502" s="13" t="str">
        <v>Nov</v>
      </c>
      <c r="F502" s="13">
        <v>28</v>
      </c>
      <c r="G502" s="10"/>
      <c r="H502" s="13">
        <f>NETWORKDAYS('RETAIL SALES DATA.'!K501,'RETAIL SALES DATA.'!L501)</f>
        <v>7</v>
      </c>
      <c r="I502" s="13">
        <v>8</v>
      </c>
      <c r="J502" s="10"/>
      <c r="K502" s="13">
        <v>16</v>
      </c>
      <c r="L502" s="13">
        <v>10</v>
      </c>
      <c r="M502" s="13">
        <v>6</v>
      </c>
      <c r="N502" s="13">
        <v>0</v>
      </c>
      <c r="O502" s="54">
        <f t="shared" si="14"/>
        <v>0.42083333333333334</v>
      </c>
      <c r="P502" s="55">
        <f t="shared" si="15"/>
        <v>0.67083333333333328</v>
      </c>
    </row>
    <row r="503" spans="1:16" x14ac:dyDescent="0.3">
      <c r="A503" s="25">
        <f>YEAR('RETAIL SALES DATA.'!K502)</f>
        <v>2025</v>
      </c>
      <c r="B503" s="13" t="str">
        <v>Nov</v>
      </c>
      <c r="C503" s="42">
        <f>DAY('RETAIL SALES DATA.'!K502)</f>
        <v>5</v>
      </c>
      <c r="D503" s="13">
        <v>2025</v>
      </c>
      <c r="E503" s="13" t="str">
        <v>Nov</v>
      </c>
      <c r="F503" s="13">
        <v>8</v>
      </c>
      <c r="G503" s="10"/>
      <c r="H503" s="13">
        <f>NETWORKDAYS('RETAIL SALES DATA.'!K502,'RETAIL SALES DATA.'!L502)</f>
        <v>3</v>
      </c>
      <c r="I503" s="13">
        <v>3</v>
      </c>
      <c r="J503" s="10"/>
      <c r="K503" s="13">
        <v>21</v>
      </c>
      <c r="L503" s="13">
        <v>10</v>
      </c>
      <c r="M503" s="13">
        <v>1</v>
      </c>
      <c r="N503" s="13">
        <v>0</v>
      </c>
      <c r="O503" s="54">
        <f t="shared" si="14"/>
        <v>0.41736111111111113</v>
      </c>
      <c r="P503" s="55">
        <f t="shared" si="15"/>
        <v>0.87569444444444444</v>
      </c>
    </row>
    <row r="504" spans="1:16" x14ac:dyDescent="0.3">
      <c r="A504" s="25">
        <f>YEAR('RETAIL SALES DATA.'!K503)</f>
        <v>2026</v>
      </c>
      <c r="B504" s="13" t="str">
        <v>Apr</v>
      </c>
      <c r="C504" s="42">
        <f>DAY('RETAIL SALES DATA.'!K503)</f>
        <v>15</v>
      </c>
      <c r="D504" s="13">
        <v>2026</v>
      </c>
      <c r="E504" s="13" t="str">
        <v>Apr</v>
      </c>
      <c r="F504" s="13">
        <v>23</v>
      </c>
      <c r="G504" s="10"/>
      <c r="H504" s="13">
        <f>NETWORKDAYS('RETAIL SALES DATA.'!K503,'RETAIL SALES DATA.'!L503)</f>
        <v>7</v>
      </c>
      <c r="I504" s="13">
        <v>8</v>
      </c>
      <c r="J504" s="10"/>
      <c r="K504" s="13">
        <v>0</v>
      </c>
      <c r="L504" s="13">
        <v>8</v>
      </c>
      <c r="M504" s="13">
        <v>47</v>
      </c>
      <c r="N504" s="13">
        <v>0</v>
      </c>
      <c r="O504" s="54">
        <f t="shared" si="14"/>
        <v>0.3659722222222222</v>
      </c>
      <c r="P504" s="55">
        <f t="shared" si="15"/>
        <v>3.2638888888888891E-2</v>
      </c>
    </row>
    <row r="505" spans="1:16" x14ac:dyDescent="0.3">
      <c r="A505" s="25">
        <f>YEAR('RETAIL SALES DATA.'!K504)</f>
        <v>2025</v>
      </c>
      <c r="B505" s="13" t="str">
        <v>Sep</v>
      </c>
      <c r="C505" s="42">
        <f>DAY('RETAIL SALES DATA.'!K504)</f>
        <v>8</v>
      </c>
      <c r="D505" s="13">
        <v>2025</v>
      </c>
      <c r="E505" s="13" t="str">
        <v>Sep</v>
      </c>
      <c r="F505" s="13">
        <v>18</v>
      </c>
      <c r="G505" s="10"/>
      <c r="H505" s="13">
        <f>NETWORKDAYS('RETAIL SALES DATA.'!K504,'RETAIL SALES DATA.'!L504)</f>
        <v>9</v>
      </c>
      <c r="I505" s="13">
        <v>10</v>
      </c>
      <c r="J505" s="10"/>
      <c r="K505" s="13">
        <v>7</v>
      </c>
      <c r="L505" s="13">
        <v>11</v>
      </c>
      <c r="M505" s="13">
        <v>15</v>
      </c>
      <c r="N505" s="13">
        <v>0</v>
      </c>
      <c r="O505" s="54">
        <f t="shared" si="14"/>
        <v>0.46875</v>
      </c>
      <c r="P505" s="55">
        <f t="shared" si="15"/>
        <v>0.30208333333333331</v>
      </c>
    </row>
    <row r="506" spans="1:16" x14ac:dyDescent="0.3">
      <c r="A506" s="25">
        <f>YEAR('RETAIL SALES DATA.'!K505)</f>
        <v>2024</v>
      </c>
      <c r="B506" s="13" t="str">
        <v>Jun</v>
      </c>
      <c r="C506" s="42">
        <f>DAY('RETAIL SALES DATA.'!K505)</f>
        <v>23</v>
      </c>
      <c r="D506" s="13">
        <v>2024</v>
      </c>
      <c r="E506" s="13" t="str">
        <v>Jun</v>
      </c>
      <c r="F506" s="13">
        <v>28</v>
      </c>
      <c r="G506" s="10"/>
      <c r="H506" s="13">
        <f>NETWORKDAYS('RETAIL SALES DATA.'!K505,'RETAIL SALES DATA.'!L505)</f>
        <v>5</v>
      </c>
      <c r="I506" s="13">
        <v>5</v>
      </c>
      <c r="J506" s="10"/>
      <c r="K506" s="13">
        <v>4</v>
      </c>
      <c r="L506" s="13">
        <v>11</v>
      </c>
      <c r="M506" s="13">
        <v>57</v>
      </c>
      <c r="N506" s="13">
        <v>0</v>
      </c>
      <c r="O506" s="54">
        <f t="shared" si="14"/>
        <v>0.49791666666666667</v>
      </c>
      <c r="P506" s="55">
        <f t="shared" si="15"/>
        <v>0.20624999999999999</v>
      </c>
    </row>
    <row r="507" spans="1:16" x14ac:dyDescent="0.3">
      <c r="A507" s="25">
        <f>YEAR('RETAIL SALES DATA.'!K506)</f>
        <v>2024</v>
      </c>
      <c r="B507" s="13" t="str">
        <v>May</v>
      </c>
      <c r="C507" s="42">
        <f>DAY('RETAIL SALES DATA.'!K506)</f>
        <v>24</v>
      </c>
      <c r="D507" s="13">
        <v>2024</v>
      </c>
      <c r="E507" s="13" t="str">
        <v>May</v>
      </c>
      <c r="F507" s="13">
        <v>25</v>
      </c>
      <c r="G507" s="10"/>
      <c r="H507" s="13">
        <f>NETWORKDAYS('RETAIL SALES DATA.'!K506,'RETAIL SALES DATA.'!L506)</f>
        <v>1</v>
      </c>
      <c r="I507" s="13">
        <v>1</v>
      </c>
      <c r="J507" s="10"/>
      <c r="K507" s="13">
        <v>16</v>
      </c>
      <c r="L507" s="13">
        <v>10</v>
      </c>
      <c r="M507" s="13">
        <v>52</v>
      </c>
      <c r="N507" s="13">
        <v>0</v>
      </c>
      <c r="O507" s="54">
        <f t="shared" si="14"/>
        <v>0.45277777777777778</v>
      </c>
      <c r="P507" s="55">
        <f t="shared" si="15"/>
        <v>0.70277777777777772</v>
      </c>
    </row>
    <row r="508" spans="1:16" x14ac:dyDescent="0.3">
      <c r="A508" s="25">
        <f>YEAR('RETAIL SALES DATA.'!K507)</f>
        <v>2024</v>
      </c>
      <c r="B508" s="13" t="str">
        <v>Jun</v>
      </c>
      <c r="C508" s="42">
        <f>DAY('RETAIL SALES DATA.'!K507)</f>
        <v>25</v>
      </c>
      <c r="D508" s="13">
        <v>2024</v>
      </c>
      <c r="E508" s="13" t="str">
        <v>Jul</v>
      </c>
      <c r="F508" s="13">
        <v>1</v>
      </c>
      <c r="G508" s="10"/>
      <c r="H508" s="13">
        <f>NETWORKDAYS('RETAIL SALES DATA.'!K507,'RETAIL SALES DATA.'!L507)</f>
        <v>5</v>
      </c>
      <c r="I508" s="13">
        <v>6</v>
      </c>
      <c r="J508" s="10"/>
      <c r="K508" s="13">
        <v>21</v>
      </c>
      <c r="L508" s="13">
        <v>11</v>
      </c>
      <c r="M508" s="13">
        <v>52</v>
      </c>
      <c r="N508" s="13">
        <v>0</v>
      </c>
      <c r="O508" s="54">
        <f t="shared" si="14"/>
        <v>0.49444444444444446</v>
      </c>
      <c r="P508" s="55">
        <f t="shared" si="15"/>
        <v>0.91111111111111109</v>
      </c>
    </row>
    <row r="509" spans="1:16" x14ac:dyDescent="0.3">
      <c r="A509" s="25">
        <f>YEAR('RETAIL SALES DATA.'!K508)</f>
        <v>2025</v>
      </c>
      <c r="B509" s="13" t="str">
        <v>Sep</v>
      </c>
      <c r="C509" s="42">
        <f>DAY('RETAIL SALES DATA.'!K508)</f>
        <v>8</v>
      </c>
      <c r="D509" s="13">
        <v>2025</v>
      </c>
      <c r="E509" s="13" t="str">
        <v>Sep</v>
      </c>
      <c r="F509" s="13">
        <v>13</v>
      </c>
      <c r="G509" s="10"/>
      <c r="H509" s="13">
        <f>NETWORKDAYS('RETAIL SALES DATA.'!K508,'RETAIL SALES DATA.'!L508)</f>
        <v>5</v>
      </c>
      <c r="I509" s="13">
        <v>5</v>
      </c>
      <c r="J509" s="10"/>
      <c r="K509" s="13">
        <v>4</v>
      </c>
      <c r="L509" s="13">
        <v>11</v>
      </c>
      <c r="M509" s="13">
        <v>55</v>
      </c>
      <c r="N509" s="13">
        <v>0</v>
      </c>
      <c r="O509" s="54">
        <f t="shared" si="14"/>
        <v>0.49652777777777779</v>
      </c>
      <c r="P509" s="55">
        <f t="shared" si="15"/>
        <v>0.2048611111111111</v>
      </c>
    </row>
    <row r="510" spans="1:16" x14ac:dyDescent="0.3">
      <c r="A510" s="25">
        <f>YEAR('RETAIL SALES DATA.'!K509)</f>
        <v>2024</v>
      </c>
      <c r="B510" s="13" t="str">
        <v>Sep</v>
      </c>
      <c r="C510" s="42">
        <f>DAY('RETAIL SALES DATA.'!K509)</f>
        <v>10</v>
      </c>
      <c r="D510" s="13">
        <v>2024</v>
      </c>
      <c r="E510" s="13" t="str">
        <v>Sep</v>
      </c>
      <c r="F510" s="13">
        <v>19</v>
      </c>
      <c r="G510" s="10"/>
      <c r="H510" s="13">
        <f>NETWORKDAYS('RETAIL SALES DATA.'!K509,'RETAIL SALES DATA.'!L509)</f>
        <v>8</v>
      </c>
      <c r="I510" s="13">
        <v>9</v>
      </c>
      <c r="J510" s="10"/>
      <c r="K510" s="13">
        <v>4</v>
      </c>
      <c r="L510" s="13">
        <v>10</v>
      </c>
      <c r="M510" s="13">
        <v>8</v>
      </c>
      <c r="N510" s="13">
        <v>0</v>
      </c>
      <c r="O510" s="54">
        <f t="shared" si="14"/>
        <v>0.42222222222222222</v>
      </c>
      <c r="P510" s="55">
        <f t="shared" si="15"/>
        <v>0.17222222222222222</v>
      </c>
    </row>
    <row r="511" spans="1:16" x14ac:dyDescent="0.3">
      <c r="A511" s="25">
        <f>YEAR('RETAIL SALES DATA.'!K510)</f>
        <v>2025</v>
      </c>
      <c r="B511" s="13" t="str">
        <v>May</v>
      </c>
      <c r="C511" s="42">
        <f>DAY('RETAIL SALES DATA.'!K510)</f>
        <v>19</v>
      </c>
      <c r="D511" s="13">
        <v>2025</v>
      </c>
      <c r="E511" s="13" t="str">
        <v>May</v>
      </c>
      <c r="F511" s="13">
        <v>28</v>
      </c>
      <c r="G511" s="10"/>
      <c r="H511" s="13">
        <f>NETWORKDAYS('RETAIL SALES DATA.'!K510,'RETAIL SALES DATA.'!L510)</f>
        <v>8</v>
      </c>
      <c r="I511" s="13">
        <v>9</v>
      </c>
      <c r="J511" s="10"/>
      <c r="K511" s="13">
        <v>9</v>
      </c>
      <c r="L511" s="13">
        <v>9</v>
      </c>
      <c r="M511" s="13">
        <v>49</v>
      </c>
      <c r="N511" s="13">
        <v>0</v>
      </c>
      <c r="O511" s="54">
        <f t="shared" si="14"/>
        <v>0.40902777777777777</v>
      </c>
      <c r="P511" s="55">
        <f t="shared" si="15"/>
        <v>0.40902777777777777</v>
      </c>
    </row>
    <row r="512" spans="1:16" x14ac:dyDescent="0.3">
      <c r="A512" s="25">
        <f>YEAR('RETAIL SALES DATA.'!K511)</f>
        <v>2024</v>
      </c>
      <c r="B512" s="13" t="str">
        <v>Dec</v>
      </c>
      <c r="C512" s="42">
        <f>DAY('RETAIL SALES DATA.'!K511)</f>
        <v>1</v>
      </c>
      <c r="D512" s="13">
        <v>2024</v>
      </c>
      <c r="E512" s="13" t="str">
        <v>Dec</v>
      </c>
      <c r="F512" s="13">
        <v>9</v>
      </c>
      <c r="G512" s="10"/>
      <c r="H512" s="13">
        <f>NETWORKDAYS('RETAIL SALES DATA.'!K511,'RETAIL SALES DATA.'!L511)</f>
        <v>6</v>
      </c>
      <c r="I512" s="13">
        <v>8</v>
      </c>
      <c r="J512" s="10"/>
      <c r="K512" s="13">
        <v>4</v>
      </c>
      <c r="L512" s="13">
        <v>11</v>
      </c>
      <c r="M512" s="13">
        <v>6</v>
      </c>
      <c r="N512" s="13">
        <v>0</v>
      </c>
      <c r="O512" s="54">
        <f t="shared" si="14"/>
        <v>0.46250000000000002</v>
      </c>
      <c r="P512" s="55">
        <f t="shared" si="15"/>
        <v>0.17083333333333334</v>
      </c>
    </row>
    <row r="513" spans="1:16" x14ac:dyDescent="0.3">
      <c r="A513" s="25">
        <f>YEAR('RETAIL SALES DATA.'!K512)</f>
        <v>2025</v>
      </c>
      <c r="B513" s="13" t="str">
        <v>Oct</v>
      </c>
      <c r="C513" s="42">
        <f>DAY('RETAIL SALES DATA.'!K512)</f>
        <v>27</v>
      </c>
      <c r="D513" s="13">
        <v>2025</v>
      </c>
      <c r="E513" s="13" t="str">
        <v>Nov</v>
      </c>
      <c r="F513" s="13">
        <v>5</v>
      </c>
      <c r="G513" s="10"/>
      <c r="H513" s="13">
        <f>NETWORKDAYS('RETAIL SALES DATA.'!K512,'RETAIL SALES DATA.'!L512)</f>
        <v>8</v>
      </c>
      <c r="I513" s="13">
        <v>9</v>
      </c>
      <c r="J513" s="10"/>
      <c r="K513" s="13">
        <v>4</v>
      </c>
      <c r="L513" s="13">
        <v>11</v>
      </c>
      <c r="M513" s="13">
        <v>24</v>
      </c>
      <c r="N513" s="13">
        <v>0</v>
      </c>
      <c r="O513" s="54">
        <f t="shared" si="14"/>
        <v>0.47499999999999998</v>
      </c>
      <c r="P513" s="55">
        <f t="shared" si="15"/>
        <v>0.18333333333333332</v>
      </c>
    </row>
    <row r="514" spans="1:16" x14ac:dyDescent="0.3">
      <c r="A514" s="25">
        <f>YEAR('RETAIL SALES DATA.'!K513)</f>
        <v>2025</v>
      </c>
      <c r="B514" s="13" t="str">
        <v>Oct</v>
      </c>
      <c r="C514" s="42">
        <f>DAY('RETAIL SALES DATA.'!K513)</f>
        <v>1</v>
      </c>
      <c r="D514" s="13">
        <v>2025</v>
      </c>
      <c r="E514" s="13" t="str">
        <v>Oct</v>
      </c>
      <c r="F514" s="13">
        <v>2</v>
      </c>
      <c r="G514" s="10"/>
      <c r="H514" s="13">
        <f>NETWORKDAYS('RETAIL SALES DATA.'!K513,'RETAIL SALES DATA.'!L513)</f>
        <v>2</v>
      </c>
      <c r="I514" s="13">
        <v>1</v>
      </c>
      <c r="J514" s="10"/>
      <c r="K514" s="13">
        <v>9</v>
      </c>
      <c r="L514" s="13">
        <v>8</v>
      </c>
      <c r="M514" s="13">
        <v>58</v>
      </c>
      <c r="N514" s="13">
        <v>0</v>
      </c>
      <c r="O514" s="54">
        <f t="shared" si="14"/>
        <v>0.37361111111111112</v>
      </c>
      <c r="P514" s="55">
        <f t="shared" si="15"/>
        <v>0.4152777777777778</v>
      </c>
    </row>
    <row r="515" spans="1:16" x14ac:dyDescent="0.3">
      <c r="A515" s="25">
        <f>YEAR('RETAIL SALES DATA.'!K514)</f>
        <v>2025</v>
      </c>
      <c r="B515" s="13" t="str">
        <v>Oct</v>
      </c>
      <c r="C515" s="42">
        <f>DAY('RETAIL SALES DATA.'!K514)</f>
        <v>16</v>
      </c>
      <c r="D515" s="13">
        <v>2025</v>
      </c>
      <c r="E515" s="13" t="str">
        <v>Oct</v>
      </c>
      <c r="F515" s="13">
        <v>19</v>
      </c>
      <c r="G515" s="10"/>
      <c r="H515" s="13">
        <f>NETWORKDAYS('RETAIL SALES DATA.'!K514,'RETAIL SALES DATA.'!L514)</f>
        <v>2</v>
      </c>
      <c r="I515" s="13">
        <v>3</v>
      </c>
      <c r="J515" s="10"/>
      <c r="K515" s="13">
        <v>0</v>
      </c>
      <c r="L515" s="13">
        <v>11</v>
      </c>
      <c r="M515" s="13">
        <v>28</v>
      </c>
      <c r="N515" s="13">
        <v>0</v>
      </c>
      <c r="O515" s="54">
        <f t="shared" si="14"/>
        <v>0.4777777777777778</v>
      </c>
      <c r="P515" s="55">
        <f t="shared" si="15"/>
        <v>1.9444444444444445E-2</v>
      </c>
    </row>
    <row r="516" spans="1:16" x14ac:dyDescent="0.3">
      <c r="A516" s="25">
        <f>YEAR('RETAIL SALES DATA.'!K515)</f>
        <v>2026</v>
      </c>
      <c r="B516" s="13" t="str">
        <v>Mar</v>
      </c>
      <c r="C516" s="42">
        <f>DAY('RETAIL SALES DATA.'!K515)</f>
        <v>29</v>
      </c>
      <c r="D516" s="13">
        <v>2026</v>
      </c>
      <c r="E516" s="13" t="str">
        <v>Apr</v>
      </c>
      <c r="F516" s="13">
        <v>5</v>
      </c>
      <c r="G516" s="10"/>
      <c r="H516" s="13">
        <f>NETWORKDAYS('RETAIL SALES DATA.'!K515,'RETAIL SALES DATA.'!L515)</f>
        <v>5</v>
      </c>
      <c r="I516" s="13">
        <v>7</v>
      </c>
      <c r="J516" s="10"/>
      <c r="K516" s="13">
        <v>4</v>
      </c>
      <c r="L516" s="13">
        <v>8</v>
      </c>
      <c r="M516" s="13">
        <v>57</v>
      </c>
      <c r="N516" s="13">
        <v>0</v>
      </c>
      <c r="O516" s="54">
        <f t="shared" ref="O516:O579" si="16">TIME(L516,M516,N516)</f>
        <v>0.37291666666666667</v>
      </c>
      <c r="P516" s="55">
        <f t="shared" ref="P516:P579" si="17">TIME(K516,M516,N516)</f>
        <v>0.20624999999999999</v>
      </c>
    </row>
    <row r="517" spans="1:16" x14ac:dyDescent="0.3">
      <c r="A517" s="25">
        <f>YEAR('RETAIL SALES DATA.'!K516)</f>
        <v>2025</v>
      </c>
      <c r="B517" s="13" t="str">
        <v>Feb</v>
      </c>
      <c r="C517" s="42">
        <f>DAY('RETAIL SALES DATA.'!K516)</f>
        <v>20</v>
      </c>
      <c r="D517" s="13">
        <v>2025</v>
      </c>
      <c r="E517" s="13" t="str">
        <v>Feb</v>
      </c>
      <c r="F517" s="13">
        <v>24</v>
      </c>
      <c r="G517" s="10"/>
      <c r="H517" s="13">
        <f>NETWORKDAYS('RETAIL SALES DATA.'!K516,'RETAIL SALES DATA.'!L516)</f>
        <v>3</v>
      </c>
      <c r="I517" s="13">
        <v>4</v>
      </c>
      <c r="J517" s="10"/>
      <c r="K517" s="13">
        <v>4</v>
      </c>
      <c r="L517" s="13">
        <v>8</v>
      </c>
      <c r="M517" s="13">
        <v>44</v>
      </c>
      <c r="N517" s="13">
        <v>0</v>
      </c>
      <c r="O517" s="54">
        <f t="shared" si="16"/>
        <v>0.36388888888888887</v>
      </c>
      <c r="P517" s="55">
        <f t="shared" si="17"/>
        <v>0.19722222222222222</v>
      </c>
    </row>
    <row r="518" spans="1:16" x14ac:dyDescent="0.3">
      <c r="A518" s="25">
        <f>YEAR('RETAIL SALES DATA.'!K517)</f>
        <v>2024</v>
      </c>
      <c r="B518" s="13" t="str">
        <v>Jul</v>
      </c>
      <c r="C518" s="42">
        <f>DAY('RETAIL SALES DATA.'!K517)</f>
        <v>5</v>
      </c>
      <c r="D518" s="13">
        <v>2024</v>
      </c>
      <c r="E518" s="13" t="str">
        <v>Jul</v>
      </c>
      <c r="F518" s="13">
        <v>11</v>
      </c>
      <c r="G518" s="10"/>
      <c r="H518" s="13">
        <f>NETWORKDAYS('RETAIL SALES DATA.'!K517,'RETAIL SALES DATA.'!L517)</f>
        <v>5</v>
      </c>
      <c r="I518" s="13">
        <v>6</v>
      </c>
      <c r="J518" s="10"/>
      <c r="K518" s="13">
        <v>4</v>
      </c>
      <c r="L518" s="13">
        <v>11</v>
      </c>
      <c r="M518" s="13">
        <v>21</v>
      </c>
      <c r="N518" s="13">
        <v>0</v>
      </c>
      <c r="O518" s="54">
        <f t="shared" si="16"/>
        <v>0.47291666666666665</v>
      </c>
      <c r="P518" s="55">
        <f t="shared" si="17"/>
        <v>0.18124999999999999</v>
      </c>
    </row>
    <row r="519" spans="1:16" x14ac:dyDescent="0.3">
      <c r="A519" s="25">
        <f>YEAR('RETAIL SALES DATA.'!K518)</f>
        <v>2024</v>
      </c>
      <c r="B519" s="13" t="str">
        <v>Aug</v>
      </c>
      <c r="C519" s="42">
        <f>DAY('RETAIL SALES DATA.'!K518)</f>
        <v>31</v>
      </c>
      <c r="D519" s="13">
        <v>2024</v>
      </c>
      <c r="E519" s="13" t="str">
        <v>Sep</v>
      </c>
      <c r="F519" s="13">
        <v>1</v>
      </c>
      <c r="G519" s="10"/>
      <c r="H519" s="13">
        <f>NETWORKDAYS('RETAIL SALES DATA.'!K518,'RETAIL SALES DATA.'!L518)</f>
        <v>0</v>
      </c>
      <c r="I519" s="13">
        <v>1</v>
      </c>
      <c r="J519" s="10"/>
      <c r="K519" s="13">
        <v>21</v>
      </c>
      <c r="L519" s="13">
        <v>11</v>
      </c>
      <c r="M519" s="13">
        <v>28</v>
      </c>
      <c r="N519" s="13">
        <v>0</v>
      </c>
      <c r="O519" s="54">
        <f t="shared" si="16"/>
        <v>0.4777777777777778</v>
      </c>
      <c r="P519" s="55">
        <f t="shared" si="17"/>
        <v>0.89444444444444449</v>
      </c>
    </row>
    <row r="520" spans="1:16" x14ac:dyDescent="0.3">
      <c r="A520" s="25">
        <f>YEAR('RETAIL SALES DATA.'!K519)</f>
        <v>2025</v>
      </c>
      <c r="B520" s="13" t="str">
        <v>Dec</v>
      </c>
      <c r="C520" s="42">
        <f>DAY('RETAIL SALES DATA.'!K519)</f>
        <v>1</v>
      </c>
      <c r="D520" s="13">
        <v>2025</v>
      </c>
      <c r="E520" s="13" t="str">
        <v>Dec</v>
      </c>
      <c r="F520" s="13">
        <v>6</v>
      </c>
      <c r="G520" s="10"/>
      <c r="H520" s="13">
        <f>NETWORKDAYS('RETAIL SALES DATA.'!K519,'RETAIL SALES DATA.'!L519)</f>
        <v>5</v>
      </c>
      <c r="I520" s="13">
        <v>5</v>
      </c>
      <c r="J520" s="10"/>
      <c r="K520" s="13">
        <v>0</v>
      </c>
      <c r="L520" s="13">
        <v>9</v>
      </c>
      <c r="M520" s="13">
        <v>16</v>
      </c>
      <c r="N520" s="13">
        <v>0</v>
      </c>
      <c r="O520" s="54">
        <f t="shared" si="16"/>
        <v>0.38611111111111113</v>
      </c>
      <c r="P520" s="55">
        <f t="shared" si="17"/>
        <v>1.1111111111111112E-2</v>
      </c>
    </row>
    <row r="521" spans="1:16" x14ac:dyDescent="0.3">
      <c r="A521" s="25">
        <f>YEAR('RETAIL SALES DATA.'!K520)</f>
        <v>2025</v>
      </c>
      <c r="B521" s="13" t="str">
        <v>Sep</v>
      </c>
      <c r="C521" s="42">
        <f>DAY('RETAIL SALES DATA.'!K520)</f>
        <v>27</v>
      </c>
      <c r="D521" s="13">
        <v>2025</v>
      </c>
      <c r="E521" s="13" t="str">
        <v>Sep</v>
      </c>
      <c r="F521" s="13">
        <v>29</v>
      </c>
      <c r="G521" s="10"/>
      <c r="H521" s="13">
        <f>NETWORKDAYS('RETAIL SALES DATA.'!K520,'RETAIL SALES DATA.'!L520)</f>
        <v>1</v>
      </c>
      <c r="I521" s="13">
        <v>2</v>
      </c>
      <c r="J521" s="10"/>
      <c r="K521" s="13">
        <v>16</v>
      </c>
      <c r="L521" s="13">
        <v>10</v>
      </c>
      <c r="M521" s="13">
        <v>45</v>
      </c>
      <c r="N521" s="13">
        <v>0</v>
      </c>
      <c r="O521" s="54">
        <f t="shared" si="16"/>
        <v>0.44791666666666669</v>
      </c>
      <c r="P521" s="55">
        <f t="shared" si="17"/>
        <v>0.69791666666666663</v>
      </c>
    </row>
    <row r="522" spans="1:16" x14ac:dyDescent="0.3">
      <c r="A522" s="25">
        <f>YEAR('RETAIL SALES DATA.'!K521)</f>
        <v>2024</v>
      </c>
      <c r="B522" s="13" t="str">
        <v>Oct</v>
      </c>
      <c r="C522" s="42">
        <f>DAY('RETAIL SALES DATA.'!K521)</f>
        <v>16</v>
      </c>
      <c r="D522" s="13">
        <v>2024</v>
      </c>
      <c r="E522" s="13" t="str">
        <v>Oct</v>
      </c>
      <c r="F522" s="13">
        <v>20</v>
      </c>
      <c r="G522" s="10"/>
      <c r="H522" s="13">
        <f>NETWORKDAYS('RETAIL SALES DATA.'!K521,'RETAIL SALES DATA.'!L521)</f>
        <v>3</v>
      </c>
      <c r="I522" s="13">
        <v>4</v>
      </c>
      <c r="J522" s="10"/>
      <c r="K522" s="13">
        <v>4</v>
      </c>
      <c r="L522" s="13">
        <v>11</v>
      </c>
      <c r="M522" s="13">
        <v>12</v>
      </c>
      <c r="N522" s="13">
        <v>0</v>
      </c>
      <c r="O522" s="54">
        <f t="shared" si="16"/>
        <v>0.46666666666666667</v>
      </c>
      <c r="P522" s="55">
        <f t="shared" si="17"/>
        <v>0.17499999999999999</v>
      </c>
    </row>
    <row r="523" spans="1:16" x14ac:dyDescent="0.3">
      <c r="A523" s="25">
        <f>YEAR('RETAIL SALES DATA.'!K522)</f>
        <v>2026</v>
      </c>
      <c r="B523" s="13" t="str">
        <v>Jan</v>
      </c>
      <c r="C523" s="42">
        <f>DAY('RETAIL SALES DATA.'!K522)</f>
        <v>27</v>
      </c>
      <c r="D523" s="13">
        <v>2026</v>
      </c>
      <c r="E523" s="13" t="str">
        <v>Feb</v>
      </c>
      <c r="F523" s="13">
        <v>3</v>
      </c>
      <c r="G523" s="10"/>
      <c r="H523" s="13">
        <f>NETWORKDAYS('RETAIL SALES DATA.'!K522,'RETAIL SALES DATA.'!L522)</f>
        <v>6</v>
      </c>
      <c r="I523" s="13">
        <v>7</v>
      </c>
      <c r="J523" s="10"/>
      <c r="K523" s="13">
        <v>21</v>
      </c>
      <c r="L523" s="13">
        <v>9</v>
      </c>
      <c r="M523" s="13">
        <v>16</v>
      </c>
      <c r="N523" s="13">
        <v>0</v>
      </c>
      <c r="O523" s="54">
        <f t="shared" si="16"/>
        <v>0.38611111111111113</v>
      </c>
      <c r="P523" s="55">
        <f t="shared" si="17"/>
        <v>0.88611111111111107</v>
      </c>
    </row>
    <row r="524" spans="1:16" x14ac:dyDescent="0.3">
      <c r="A524" s="25">
        <f>YEAR('RETAIL SALES DATA.'!K523)</f>
        <v>2025</v>
      </c>
      <c r="B524" s="13" t="str">
        <v>Aug</v>
      </c>
      <c r="C524" s="42">
        <f>DAY('RETAIL SALES DATA.'!K523)</f>
        <v>15</v>
      </c>
      <c r="D524" s="13">
        <v>2025</v>
      </c>
      <c r="E524" s="13" t="str">
        <v>Aug</v>
      </c>
      <c r="F524" s="13">
        <v>25</v>
      </c>
      <c r="G524" s="10"/>
      <c r="H524" s="13">
        <f>NETWORKDAYS('RETAIL SALES DATA.'!K523,'RETAIL SALES DATA.'!L523)</f>
        <v>7</v>
      </c>
      <c r="I524" s="13">
        <v>10</v>
      </c>
      <c r="J524" s="10"/>
      <c r="K524" s="13">
        <v>16</v>
      </c>
      <c r="L524" s="13">
        <v>11</v>
      </c>
      <c r="M524" s="13">
        <v>0</v>
      </c>
      <c r="N524" s="13">
        <v>0</v>
      </c>
      <c r="O524" s="54">
        <f t="shared" si="16"/>
        <v>0.45833333333333331</v>
      </c>
      <c r="P524" s="55">
        <f t="shared" si="17"/>
        <v>0.66666666666666663</v>
      </c>
    </row>
    <row r="525" spans="1:16" x14ac:dyDescent="0.3">
      <c r="A525" s="25">
        <f>YEAR('RETAIL SALES DATA.'!K524)</f>
        <v>2025</v>
      </c>
      <c r="B525" s="13" t="str">
        <v>Aug</v>
      </c>
      <c r="C525" s="42">
        <f>DAY('RETAIL SALES DATA.'!K524)</f>
        <v>21</v>
      </c>
      <c r="D525" s="13">
        <v>2025</v>
      </c>
      <c r="E525" s="13" t="str">
        <v>Aug</v>
      </c>
      <c r="F525" s="13">
        <v>29</v>
      </c>
      <c r="G525" s="10"/>
      <c r="H525" s="13">
        <f>NETWORKDAYS('RETAIL SALES DATA.'!K524,'RETAIL SALES DATA.'!L524)</f>
        <v>7</v>
      </c>
      <c r="I525" s="13">
        <v>8</v>
      </c>
      <c r="J525" s="10"/>
      <c r="K525" s="13">
        <v>0</v>
      </c>
      <c r="L525" s="13">
        <v>8</v>
      </c>
      <c r="M525" s="13">
        <v>48</v>
      </c>
      <c r="N525" s="13">
        <v>0</v>
      </c>
      <c r="O525" s="54">
        <f t="shared" si="16"/>
        <v>0.36666666666666664</v>
      </c>
      <c r="P525" s="55">
        <f t="shared" si="17"/>
        <v>3.3333333333333333E-2</v>
      </c>
    </row>
    <row r="526" spans="1:16" x14ac:dyDescent="0.3">
      <c r="A526" s="25">
        <f>YEAR('RETAIL SALES DATA.'!K525)</f>
        <v>2024</v>
      </c>
      <c r="B526" s="13" t="str">
        <v>Jun</v>
      </c>
      <c r="C526" s="42">
        <f>DAY('RETAIL SALES DATA.'!K525)</f>
        <v>26</v>
      </c>
      <c r="D526" s="13">
        <v>2024</v>
      </c>
      <c r="E526" s="13" t="str">
        <v>Jun</v>
      </c>
      <c r="F526" s="13">
        <v>30</v>
      </c>
      <c r="G526" s="10"/>
      <c r="H526" s="13">
        <f>NETWORKDAYS('RETAIL SALES DATA.'!K525,'RETAIL SALES DATA.'!L525)</f>
        <v>3</v>
      </c>
      <c r="I526" s="13">
        <v>4</v>
      </c>
      <c r="J526" s="10"/>
      <c r="K526" s="13">
        <v>21</v>
      </c>
      <c r="L526" s="13">
        <v>11</v>
      </c>
      <c r="M526" s="13">
        <v>34</v>
      </c>
      <c r="N526" s="13">
        <v>0</v>
      </c>
      <c r="O526" s="54">
        <f t="shared" si="16"/>
        <v>0.48194444444444445</v>
      </c>
      <c r="P526" s="55">
        <f t="shared" si="17"/>
        <v>0.89861111111111114</v>
      </c>
    </row>
    <row r="527" spans="1:16" x14ac:dyDescent="0.3">
      <c r="A527" s="25">
        <f>YEAR('RETAIL SALES DATA.'!K526)</f>
        <v>2025</v>
      </c>
      <c r="B527" s="13" t="str">
        <v>Jan</v>
      </c>
      <c r="C527" s="42">
        <f>DAY('RETAIL SALES DATA.'!K526)</f>
        <v>1</v>
      </c>
      <c r="D527" s="13">
        <v>2025</v>
      </c>
      <c r="E527" s="13" t="str">
        <v>Jan</v>
      </c>
      <c r="F527" s="13">
        <v>6</v>
      </c>
      <c r="G527" s="10"/>
      <c r="H527" s="13">
        <f>NETWORKDAYS('RETAIL SALES DATA.'!K526,'RETAIL SALES DATA.'!L526)</f>
        <v>4</v>
      </c>
      <c r="I527" s="13">
        <v>5</v>
      </c>
      <c r="J527" s="10"/>
      <c r="K527" s="13">
        <v>14</v>
      </c>
      <c r="L527" s="13">
        <v>10</v>
      </c>
      <c r="M527" s="13">
        <v>12</v>
      </c>
      <c r="N527" s="13">
        <v>0</v>
      </c>
      <c r="O527" s="54">
        <f t="shared" si="16"/>
        <v>0.42499999999999999</v>
      </c>
      <c r="P527" s="55">
        <f t="shared" si="17"/>
        <v>0.59166666666666667</v>
      </c>
    </row>
    <row r="528" spans="1:16" x14ac:dyDescent="0.3">
      <c r="A528" s="25">
        <f>YEAR('RETAIL SALES DATA.'!K527)</f>
        <v>2025</v>
      </c>
      <c r="B528" s="13" t="str">
        <v>Jan</v>
      </c>
      <c r="C528" s="42">
        <f>DAY('RETAIL SALES DATA.'!K527)</f>
        <v>3</v>
      </c>
      <c r="D528" s="13">
        <v>2025</v>
      </c>
      <c r="E528" s="13" t="str">
        <v>Jan</v>
      </c>
      <c r="F528" s="13">
        <v>10</v>
      </c>
      <c r="G528" s="10"/>
      <c r="H528" s="13">
        <f>NETWORKDAYS('RETAIL SALES DATA.'!K527,'RETAIL SALES DATA.'!L527)</f>
        <v>6</v>
      </c>
      <c r="I528" s="13">
        <v>7</v>
      </c>
      <c r="J528" s="10"/>
      <c r="K528" s="13">
        <v>14</v>
      </c>
      <c r="L528" s="13">
        <v>8</v>
      </c>
      <c r="M528" s="13">
        <v>42</v>
      </c>
      <c r="N528" s="13">
        <v>0</v>
      </c>
      <c r="O528" s="54">
        <f t="shared" si="16"/>
        <v>0.36249999999999999</v>
      </c>
      <c r="P528" s="55">
        <f t="shared" si="17"/>
        <v>0.61250000000000004</v>
      </c>
    </row>
    <row r="529" spans="1:16" x14ac:dyDescent="0.3">
      <c r="A529" s="25">
        <f>YEAR('RETAIL SALES DATA.'!K528)</f>
        <v>2025</v>
      </c>
      <c r="B529" s="13" t="str">
        <v>Aug</v>
      </c>
      <c r="C529" s="42">
        <f>DAY('RETAIL SALES DATA.'!K528)</f>
        <v>26</v>
      </c>
      <c r="D529" s="13">
        <v>2025</v>
      </c>
      <c r="E529" s="13" t="str">
        <v>Aug</v>
      </c>
      <c r="F529" s="13">
        <v>31</v>
      </c>
      <c r="G529" s="10"/>
      <c r="H529" s="13">
        <f>NETWORKDAYS('RETAIL SALES DATA.'!K528,'RETAIL SALES DATA.'!L528)</f>
        <v>4</v>
      </c>
      <c r="I529" s="13">
        <v>5</v>
      </c>
      <c r="J529" s="10"/>
      <c r="K529" s="13">
        <v>14</v>
      </c>
      <c r="L529" s="13">
        <v>8</v>
      </c>
      <c r="M529" s="13">
        <v>52</v>
      </c>
      <c r="N529" s="13">
        <v>0</v>
      </c>
      <c r="O529" s="54">
        <f t="shared" si="16"/>
        <v>0.36944444444444446</v>
      </c>
      <c r="P529" s="55">
        <f t="shared" si="17"/>
        <v>0.61944444444444446</v>
      </c>
    </row>
    <row r="530" spans="1:16" x14ac:dyDescent="0.3">
      <c r="A530" s="25">
        <f>YEAR('RETAIL SALES DATA.'!K529)</f>
        <v>2026</v>
      </c>
      <c r="B530" s="13" t="str">
        <v>May</v>
      </c>
      <c r="C530" s="42">
        <f>DAY('RETAIL SALES DATA.'!K529)</f>
        <v>4</v>
      </c>
      <c r="D530" s="13">
        <v>2026</v>
      </c>
      <c r="E530" s="13" t="str">
        <v>May</v>
      </c>
      <c r="F530" s="13">
        <v>6</v>
      </c>
      <c r="G530" s="10"/>
      <c r="H530" s="13">
        <f>NETWORKDAYS('RETAIL SALES DATA.'!K529,'RETAIL SALES DATA.'!L529)</f>
        <v>3</v>
      </c>
      <c r="I530" s="13">
        <v>2</v>
      </c>
      <c r="J530" s="10"/>
      <c r="K530" s="13">
        <v>21</v>
      </c>
      <c r="L530" s="13">
        <v>11</v>
      </c>
      <c r="M530" s="13">
        <v>44</v>
      </c>
      <c r="N530" s="13">
        <v>0</v>
      </c>
      <c r="O530" s="54">
        <f t="shared" si="16"/>
        <v>0.48888888888888887</v>
      </c>
      <c r="P530" s="55">
        <f t="shared" si="17"/>
        <v>0.90555555555555556</v>
      </c>
    </row>
    <row r="531" spans="1:16" x14ac:dyDescent="0.3">
      <c r="A531" s="25">
        <f>YEAR('RETAIL SALES DATA.'!K530)</f>
        <v>2026</v>
      </c>
      <c r="B531" s="13" t="str">
        <v>Mar</v>
      </c>
      <c r="C531" s="42">
        <f>DAY('RETAIL SALES DATA.'!K530)</f>
        <v>3</v>
      </c>
      <c r="D531" s="13">
        <v>2026</v>
      </c>
      <c r="E531" s="13" t="str">
        <v>Mar</v>
      </c>
      <c r="F531" s="13">
        <v>9</v>
      </c>
      <c r="G531" s="10"/>
      <c r="H531" s="13">
        <f>NETWORKDAYS('RETAIL SALES DATA.'!K530,'RETAIL SALES DATA.'!L530)</f>
        <v>5</v>
      </c>
      <c r="I531" s="13">
        <v>6</v>
      </c>
      <c r="J531" s="10"/>
      <c r="K531" s="13">
        <v>0</v>
      </c>
      <c r="L531" s="13">
        <v>8</v>
      </c>
      <c r="M531" s="13">
        <v>14</v>
      </c>
      <c r="N531" s="13">
        <v>0</v>
      </c>
      <c r="O531" s="54">
        <f t="shared" si="16"/>
        <v>0.34305555555555556</v>
      </c>
      <c r="P531" s="55">
        <f t="shared" si="17"/>
        <v>9.7222222222222224E-3</v>
      </c>
    </row>
    <row r="532" spans="1:16" x14ac:dyDescent="0.3">
      <c r="A532" s="25">
        <f>YEAR('RETAIL SALES DATA.'!K531)</f>
        <v>2024</v>
      </c>
      <c r="B532" s="13" t="str">
        <v>Sep</v>
      </c>
      <c r="C532" s="42">
        <f>DAY('RETAIL SALES DATA.'!K531)</f>
        <v>24</v>
      </c>
      <c r="D532" s="13">
        <v>2024</v>
      </c>
      <c r="E532" s="13" t="str">
        <v>Sep</v>
      </c>
      <c r="F532" s="13">
        <v>30</v>
      </c>
      <c r="G532" s="10"/>
      <c r="H532" s="13">
        <f>NETWORKDAYS('RETAIL SALES DATA.'!K531,'RETAIL SALES DATA.'!L531)</f>
        <v>5</v>
      </c>
      <c r="I532" s="13">
        <v>6</v>
      </c>
      <c r="J532" s="10"/>
      <c r="K532" s="13">
        <v>0</v>
      </c>
      <c r="L532" s="13">
        <v>11</v>
      </c>
      <c r="M532" s="13">
        <v>18</v>
      </c>
      <c r="N532" s="13">
        <v>0</v>
      </c>
      <c r="O532" s="54">
        <f t="shared" si="16"/>
        <v>0.47083333333333333</v>
      </c>
      <c r="P532" s="55">
        <f t="shared" si="17"/>
        <v>1.2500000000000001E-2</v>
      </c>
    </row>
    <row r="533" spans="1:16" x14ac:dyDescent="0.3">
      <c r="A533" s="25">
        <f>YEAR('RETAIL SALES DATA.'!K532)</f>
        <v>2025</v>
      </c>
      <c r="B533" s="13" t="str">
        <v>Oct</v>
      </c>
      <c r="C533" s="42">
        <f>DAY('RETAIL SALES DATA.'!K532)</f>
        <v>24</v>
      </c>
      <c r="D533" s="13">
        <v>2025</v>
      </c>
      <c r="E533" s="13" t="str">
        <v>Oct</v>
      </c>
      <c r="F533" s="13">
        <v>29</v>
      </c>
      <c r="G533" s="10"/>
      <c r="H533" s="13">
        <f>NETWORKDAYS('RETAIL SALES DATA.'!K532,'RETAIL SALES DATA.'!L532)</f>
        <v>4</v>
      </c>
      <c r="I533" s="13">
        <v>5</v>
      </c>
      <c r="J533" s="10"/>
      <c r="K533" s="13">
        <v>2</v>
      </c>
      <c r="L533" s="13">
        <v>10</v>
      </c>
      <c r="M533" s="13">
        <v>0</v>
      </c>
      <c r="N533" s="13">
        <v>0</v>
      </c>
      <c r="O533" s="54">
        <f t="shared" si="16"/>
        <v>0.41666666666666669</v>
      </c>
      <c r="P533" s="55">
        <f t="shared" si="17"/>
        <v>8.3333333333333329E-2</v>
      </c>
    </row>
    <row r="534" spans="1:16" x14ac:dyDescent="0.3">
      <c r="A534" s="25">
        <f>YEAR('RETAIL SALES DATA.'!K533)</f>
        <v>2026</v>
      </c>
      <c r="B534" s="13" t="str">
        <v>May</v>
      </c>
      <c r="C534" s="42">
        <f>DAY('RETAIL SALES DATA.'!K533)</f>
        <v>18</v>
      </c>
      <c r="D534" s="13">
        <v>2026</v>
      </c>
      <c r="E534" s="13" t="str">
        <v>May</v>
      </c>
      <c r="F534" s="13">
        <v>22</v>
      </c>
      <c r="G534" s="10"/>
      <c r="H534" s="13">
        <f>NETWORKDAYS('RETAIL SALES DATA.'!K533,'RETAIL SALES DATA.'!L533)</f>
        <v>5</v>
      </c>
      <c r="I534" s="13">
        <v>4</v>
      </c>
      <c r="J534" s="10"/>
      <c r="K534" s="13">
        <v>4</v>
      </c>
      <c r="L534" s="13">
        <v>8</v>
      </c>
      <c r="M534" s="13">
        <v>22</v>
      </c>
      <c r="N534" s="13">
        <v>0</v>
      </c>
      <c r="O534" s="54">
        <f t="shared" si="16"/>
        <v>0.34861111111111109</v>
      </c>
      <c r="P534" s="55">
        <f t="shared" si="17"/>
        <v>0.18194444444444444</v>
      </c>
    </row>
    <row r="535" spans="1:16" x14ac:dyDescent="0.3">
      <c r="A535" s="25">
        <f>YEAR('RETAIL SALES DATA.'!K534)</f>
        <v>2024</v>
      </c>
      <c r="B535" s="13" t="str">
        <v>Nov</v>
      </c>
      <c r="C535" s="42">
        <f>DAY('RETAIL SALES DATA.'!K534)</f>
        <v>16</v>
      </c>
      <c r="D535" s="13">
        <v>2024</v>
      </c>
      <c r="E535" s="13" t="str">
        <v>Nov</v>
      </c>
      <c r="F535" s="13">
        <v>18</v>
      </c>
      <c r="G535" s="10"/>
      <c r="H535" s="13">
        <f>NETWORKDAYS('RETAIL SALES DATA.'!K534,'RETAIL SALES DATA.'!L534)</f>
        <v>1</v>
      </c>
      <c r="I535" s="13">
        <v>2</v>
      </c>
      <c r="J535" s="10"/>
      <c r="K535" s="13">
        <v>9</v>
      </c>
      <c r="L535" s="13">
        <v>8</v>
      </c>
      <c r="M535" s="13">
        <v>6</v>
      </c>
      <c r="N535" s="13">
        <v>0</v>
      </c>
      <c r="O535" s="54">
        <f t="shared" si="16"/>
        <v>0.33750000000000002</v>
      </c>
      <c r="P535" s="55">
        <f t="shared" si="17"/>
        <v>0.37916666666666665</v>
      </c>
    </row>
    <row r="536" spans="1:16" x14ac:dyDescent="0.3">
      <c r="A536" s="25">
        <f>YEAR('RETAIL SALES DATA.'!K535)</f>
        <v>2024</v>
      </c>
      <c r="B536" s="13" t="str">
        <v>Aug</v>
      </c>
      <c r="C536" s="42">
        <f>DAY('RETAIL SALES DATA.'!K535)</f>
        <v>17</v>
      </c>
      <c r="D536" s="13">
        <v>2024</v>
      </c>
      <c r="E536" s="13" t="str">
        <v>Aug</v>
      </c>
      <c r="F536" s="13">
        <v>22</v>
      </c>
      <c r="G536" s="10"/>
      <c r="H536" s="13">
        <f>NETWORKDAYS('RETAIL SALES DATA.'!K535,'RETAIL SALES DATA.'!L535)</f>
        <v>4</v>
      </c>
      <c r="I536" s="13">
        <v>5</v>
      </c>
      <c r="J536" s="10"/>
      <c r="K536" s="13">
        <v>2</v>
      </c>
      <c r="L536" s="13">
        <v>10</v>
      </c>
      <c r="M536" s="13">
        <v>46</v>
      </c>
      <c r="N536" s="13">
        <v>0</v>
      </c>
      <c r="O536" s="54">
        <f t="shared" si="16"/>
        <v>0.44861111111111113</v>
      </c>
      <c r="P536" s="55">
        <f t="shared" si="17"/>
        <v>0.11527777777777778</v>
      </c>
    </row>
    <row r="537" spans="1:16" x14ac:dyDescent="0.3">
      <c r="A537" s="25">
        <f>YEAR('RETAIL SALES DATA.'!K536)</f>
        <v>2024</v>
      </c>
      <c r="B537" s="13" t="str">
        <v>Dec</v>
      </c>
      <c r="C537" s="42">
        <f>DAY('RETAIL SALES DATA.'!K536)</f>
        <v>26</v>
      </c>
      <c r="D537" s="13">
        <v>2025</v>
      </c>
      <c r="E537" s="13" t="str">
        <v>Jan</v>
      </c>
      <c r="F537" s="13">
        <v>4</v>
      </c>
      <c r="G537" s="10"/>
      <c r="H537" s="13">
        <f>NETWORKDAYS('RETAIL SALES DATA.'!K536,'RETAIL SALES DATA.'!L536)</f>
        <v>7</v>
      </c>
      <c r="I537" s="13">
        <v>9</v>
      </c>
      <c r="J537" s="10"/>
      <c r="K537" s="13">
        <v>4</v>
      </c>
      <c r="L537" s="13">
        <v>10</v>
      </c>
      <c r="M537" s="13">
        <v>2</v>
      </c>
      <c r="N537" s="13">
        <v>0</v>
      </c>
      <c r="O537" s="54">
        <f t="shared" si="16"/>
        <v>0.41805555555555557</v>
      </c>
      <c r="P537" s="55">
        <f t="shared" si="17"/>
        <v>0.16805555555555557</v>
      </c>
    </row>
    <row r="538" spans="1:16" x14ac:dyDescent="0.3">
      <c r="A538" s="25">
        <f>YEAR('RETAIL SALES DATA.'!K537)</f>
        <v>2025</v>
      </c>
      <c r="B538" s="13" t="str">
        <v>May</v>
      </c>
      <c r="C538" s="42">
        <f>DAY('RETAIL SALES DATA.'!K537)</f>
        <v>28</v>
      </c>
      <c r="D538" s="13">
        <v>2025</v>
      </c>
      <c r="E538" s="13" t="str">
        <v>May</v>
      </c>
      <c r="F538" s="13">
        <v>31</v>
      </c>
      <c r="G538" s="10"/>
      <c r="H538" s="13">
        <f>NETWORKDAYS('RETAIL SALES DATA.'!K537,'RETAIL SALES DATA.'!L537)</f>
        <v>3</v>
      </c>
      <c r="I538" s="13">
        <v>3</v>
      </c>
      <c r="J538" s="10"/>
      <c r="K538" s="13">
        <v>12</v>
      </c>
      <c r="L538" s="13">
        <v>11</v>
      </c>
      <c r="M538" s="13">
        <v>38</v>
      </c>
      <c r="N538" s="13">
        <v>0</v>
      </c>
      <c r="O538" s="54">
        <f t="shared" si="16"/>
        <v>0.48472222222222222</v>
      </c>
      <c r="P538" s="55">
        <f t="shared" si="17"/>
        <v>0.52638888888888891</v>
      </c>
    </row>
    <row r="539" spans="1:16" x14ac:dyDescent="0.3">
      <c r="A539" s="25">
        <f>YEAR('RETAIL SALES DATA.'!K538)</f>
        <v>2024</v>
      </c>
      <c r="B539" s="13" t="str">
        <v>Nov</v>
      </c>
      <c r="C539" s="42">
        <f>DAY('RETAIL SALES DATA.'!K538)</f>
        <v>7</v>
      </c>
      <c r="D539" s="13">
        <v>2024</v>
      </c>
      <c r="E539" s="13" t="str">
        <v>Nov</v>
      </c>
      <c r="F539" s="13">
        <v>11</v>
      </c>
      <c r="G539" s="10"/>
      <c r="H539" s="13">
        <f>NETWORKDAYS('RETAIL SALES DATA.'!K538,'RETAIL SALES DATA.'!L538)</f>
        <v>3</v>
      </c>
      <c r="I539" s="13">
        <v>4</v>
      </c>
      <c r="J539" s="10"/>
      <c r="K539" s="13">
        <v>14</v>
      </c>
      <c r="L539" s="13">
        <v>8</v>
      </c>
      <c r="M539" s="13">
        <v>1</v>
      </c>
      <c r="N539" s="13">
        <v>0</v>
      </c>
      <c r="O539" s="54">
        <f t="shared" si="16"/>
        <v>0.33402777777777776</v>
      </c>
      <c r="P539" s="55">
        <f t="shared" si="17"/>
        <v>0.58402777777777781</v>
      </c>
    </row>
    <row r="540" spans="1:16" x14ac:dyDescent="0.3">
      <c r="A540" s="25">
        <f>YEAR('RETAIL SALES DATA.'!K539)</f>
        <v>2024</v>
      </c>
      <c r="B540" s="13" t="str">
        <v>Jun</v>
      </c>
      <c r="C540" s="42">
        <f>DAY('RETAIL SALES DATA.'!K539)</f>
        <v>10</v>
      </c>
      <c r="D540" s="13">
        <v>2024</v>
      </c>
      <c r="E540" s="13" t="str">
        <v>Jun</v>
      </c>
      <c r="F540" s="13">
        <v>13</v>
      </c>
      <c r="G540" s="10"/>
      <c r="H540" s="13">
        <f>NETWORKDAYS('RETAIL SALES DATA.'!K539,'RETAIL SALES DATA.'!L539)</f>
        <v>4</v>
      </c>
      <c r="I540" s="13">
        <v>3</v>
      </c>
      <c r="J540" s="10"/>
      <c r="K540" s="13">
        <v>14</v>
      </c>
      <c r="L540" s="13">
        <v>11</v>
      </c>
      <c r="M540" s="13">
        <v>54</v>
      </c>
      <c r="N540" s="13">
        <v>0</v>
      </c>
      <c r="O540" s="54">
        <f t="shared" si="16"/>
        <v>0.49583333333333335</v>
      </c>
      <c r="P540" s="55">
        <f t="shared" si="17"/>
        <v>0.62083333333333335</v>
      </c>
    </row>
    <row r="541" spans="1:16" x14ac:dyDescent="0.3">
      <c r="A541" s="25">
        <f>YEAR('RETAIL SALES DATA.'!K540)</f>
        <v>2024</v>
      </c>
      <c r="B541" s="13" t="str">
        <v>Sep</v>
      </c>
      <c r="C541" s="42">
        <f>DAY('RETAIL SALES DATA.'!K540)</f>
        <v>12</v>
      </c>
      <c r="D541" s="13">
        <v>2024</v>
      </c>
      <c r="E541" s="13" t="str">
        <v>Sep</v>
      </c>
      <c r="F541" s="13">
        <v>15</v>
      </c>
      <c r="G541" s="10"/>
      <c r="H541" s="13">
        <f>NETWORKDAYS('RETAIL SALES DATA.'!K540,'RETAIL SALES DATA.'!L540)</f>
        <v>2</v>
      </c>
      <c r="I541" s="13">
        <v>3</v>
      </c>
      <c r="J541" s="10"/>
      <c r="K541" s="13">
        <v>0</v>
      </c>
      <c r="L541" s="13">
        <v>10</v>
      </c>
      <c r="M541" s="13">
        <v>9</v>
      </c>
      <c r="N541" s="13">
        <v>0</v>
      </c>
      <c r="O541" s="54">
        <f t="shared" si="16"/>
        <v>0.42291666666666666</v>
      </c>
      <c r="P541" s="55">
        <f t="shared" si="17"/>
        <v>6.2500000000000003E-3</v>
      </c>
    </row>
    <row r="542" spans="1:16" x14ac:dyDescent="0.3">
      <c r="A542" s="25">
        <f>YEAR('RETAIL SALES DATA.'!K541)</f>
        <v>2025</v>
      </c>
      <c r="B542" s="13" t="str">
        <v>Jun</v>
      </c>
      <c r="C542" s="42">
        <f>DAY('RETAIL SALES DATA.'!K541)</f>
        <v>27</v>
      </c>
      <c r="D542" s="13">
        <v>2025</v>
      </c>
      <c r="E542" s="13" t="str">
        <v>Jun</v>
      </c>
      <c r="F542" s="13">
        <v>30</v>
      </c>
      <c r="G542" s="10"/>
      <c r="H542" s="13">
        <f>NETWORKDAYS('RETAIL SALES DATA.'!K541,'RETAIL SALES DATA.'!L541)</f>
        <v>2</v>
      </c>
      <c r="I542" s="13">
        <v>3</v>
      </c>
      <c r="J542" s="10"/>
      <c r="K542" s="13">
        <v>14</v>
      </c>
      <c r="L542" s="13">
        <v>11</v>
      </c>
      <c r="M542" s="13">
        <v>49</v>
      </c>
      <c r="N542" s="13">
        <v>0</v>
      </c>
      <c r="O542" s="54">
        <f t="shared" si="16"/>
        <v>0.49236111111111114</v>
      </c>
      <c r="P542" s="55">
        <f t="shared" si="17"/>
        <v>0.61736111111111114</v>
      </c>
    </row>
    <row r="543" spans="1:16" x14ac:dyDescent="0.3">
      <c r="A543" s="25">
        <f>YEAR('RETAIL SALES DATA.'!K542)</f>
        <v>2025</v>
      </c>
      <c r="B543" s="13" t="str">
        <v>Sep</v>
      </c>
      <c r="C543" s="42">
        <f>DAY('RETAIL SALES DATA.'!K542)</f>
        <v>28</v>
      </c>
      <c r="D543" s="13">
        <v>2025</v>
      </c>
      <c r="E543" s="13" t="str">
        <v>Sep</v>
      </c>
      <c r="F543" s="13">
        <v>29</v>
      </c>
      <c r="G543" s="10"/>
      <c r="H543" s="13">
        <f>NETWORKDAYS('RETAIL SALES DATA.'!K542,'RETAIL SALES DATA.'!L542)</f>
        <v>1</v>
      </c>
      <c r="I543" s="13">
        <v>1</v>
      </c>
      <c r="J543" s="10"/>
      <c r="K543" s="13">
        <v>2</v>
      </c>
      <c r="L543" s="13">
        <v>9</v>
      </c>
      <c r="M543" s="13">
        <v>23</v>
      </c>
      <c r="N543" s="13">
        <v>0</v>
      </c>
      <c r="O543" s="54">
        <f t="shared" si="16"/>
        <v>0.39097222222222222</v>
      </c>
      <c r="P543" s="55">
        <f t="shared" si="17"/>
        <v>9.930555555555555E-2</v>
      </c>
    </row>
    <row r="544" spans="1:16" x14ac:dyDescent="0.3">
      <c r="A544" s="25">
        <f>YEAR('RETAIL SALES DATA.'!K543)</f>
        <v>2025</v>
      </c>
      <c r="B544" s="13" t="str">
        <v>Oct</v>
      </c>
      <c r="C544" s="42">
        <f>DAY('RETAIL SALES DATA.'!K543)</f>
        <v>18</v>
      </c>
      <c r="D544" s="13">
        <v>2025</v>
      </c>
      <c r="E544" s="13" t="str">
        <v>Oct</v>
      </c>
      <c r="F544" s="13">
        <v>20</v>
      </c>
      <c r="G544" s="10"/>
      <c r="H544" s="13">
        <f>NETWORKDAYS('RETAIL SALES DATA.'!K543,'RETAIL SALES DATA.'!L543)</f>
        <v>1</v>
      </c>
      <c r="I544" s="13">
        <v>2</v>
      </c>
      <c r="J544" s="10"/>
      <c r="K544" s="13">
        <v>14</v>
      </c>
      <c r="L544" s="13">
        <v>10</v>
      </c>
      <c r="M544" s="13">
        <v>17</v>
      </c>
      <c r="N544" s="13">
        <v>0</v>
      </c>
      <c r="O544" s="54">
        <f t="shared" si="16"/>
        <v>0.4284722222222222</v>
      </c>
      <c r="P544" s="55">
        <f t="shared" si="17"/>
        <v>0.59513888888888888</v>
      </c>
    </row>
    <row r="545" spans="1:16" x14ac:dyDescent="0.3">
      <c r="A545" s="25">
        <f>YEAR('RETAIL SALES DATA.'!K544)</f>
        <v>2026</v>
      </c>
      <c r="B545" s="13" t="str">
        <v>Feb</v>
      </c>
      <c r="C545" s="42">
        <f>DAY('RETAIL SALES DATA.'!K544)</f>
        <v>27</v>
      </c>
      <c r="D545" s="13">
        <v>2026</v>
      </c>
      <c r="E545" s="13" t="str">
        <v>Mar</v>
      </c>
      <c r="F545" s="13">
        <v>3</v>
      </c>
      <c r="G545" s="10"/>
      <c r="H545" s="13">
        <f>NETWORKDAYS('RETAIL SALES DATA.'!K544,'RETAIL SALES DATA.'!L544)</f>
        <v>3</v>
      </c>
      <c r="I545" s="13">
        <v>4</v>
      </c>
      <c r="J545" s="10"/>
      <c r="K545" s="13">
        <v>7</v>
      </c>
      <c r="L545" s="13">
        <v>10</v>
      </c>
      <c r="M545" s="13">
        <v>50</v>
      </c>
      <c r="N545" s="13">
        <v>0</v>
      </c>
      <c r="O545" s="54">
        <f t="shared" si="16"/>
        <v>0.4513888888888889</v>
      </c>
      <c r="P545" s="55">
        <f t="shared" si="17"/>
        <v>0.3263888888888889</v>
      </c>
    </row>
    <row r="546" spans="1:16" x14ac:dyDescent="0.3">
      <c r="A546" s="25">
        <f>YEAR('RETAIL SALES DATA.'!K545)</f>
        <v>2025</v>
      </c>
      <c r="B546" s="13" t="str">
        <v>Jul</v>
      </c>
      <c r="C546" s="42">
        <f>DAY('RETAIL SALES DATA.'!K545)</f>
        <v>8</v>
      </c>
      <c r="D546" s="13">
        <v>2025</v>
      </c>
      <c r="E546" s="13" t="str">
        <v>Jul</v>
      </c>
      <c r="F546" s="13">
        <v>17</v>
      </c>
      <c r="G546" s="10"/>
      <c r="H546" s="13">
        <f>NETWORKDAYS('RETAIL SALES DATA.'!K545,'RETAIL SALES DATA.'!L545)</f>
        <v>8</v>
      </c>
      <c r="I546" s="13">
        <v>9</v>
      </c>
      <c r="J546" s="10"/>
      <c r="K546" s="13">
        <v>14</v>
      </c>
      <c r="L546" s="13">
        <v>11</v>
      </c>
      <c r="M546" s="13">
        <v>46</v>
      </c>
      <c r="N546" s="13">
        <v>0</v>
      </c>
      <c r="O546" s="54">
        <f t="shared" si="16"/>
        <v>0.49027777777777776</v>
      </c>
      <c r="P546" s="55">
        <f t="shared" si="17"/>
        <v>0.61527777777777781</v>
      </c>
    </row>
    <row r="547" spans="1:16" x14ac:dyDescent="0.3">
      <c r="A547" s="25">
        <f>YEAR('RETAIL SALES DATA.'!K546)</f>
        <v>2024</v>
      </c>
      <c r="B547" s="13" t="str">
        <v>Sep</v>
      </c>
      <c r="C547" s="42">
        <f>DAY('RETAIL SALES DATA.'!K546)</f>
        <v>19</v>
      </c>
      <c r="D547" s="13">
        <v>2024</v>
      </c>
      <c r="E547" s="13" t="str">
        <v>Sep</v>
      </c>
      <c r="F547" s="13">
        <v>22</v>
      </c>
      <c r="G547" s="10"/>
      <c r="H547" s="13">
        <f>NETWORKDAYS('RETAIL SALES DATA.'!K546,'RETAIL SALES DATA.'!L546)</f>
        <v>2</v>
      </c>
      <c r="I547" s="13">
        <v>3</v>
      </c>
      <c r="J547" s="10"/>
      <c r="K547" s="13">
        <v>4</v>
      </c>
      <c r="L547" s="13">
        <v>10</v>
      </c>
      <c r="M547" s="13">
        <v>29</v>
      </c>
      <c r="N547" s="13">
        <v>0</v>
      </c>
      <c r="O547" s="54">
        <f t="shared" si="16"/>
        <v>0.43680555555555556</v>
      </c>
      <c r="P547" s="55">
        <f t="shared" si="17"/>
        <v>0.18680555555555556</v>
      </c>
    </row>
    <row r="548" spans="1:16" x14ac:dyDescent="0.3">
      <c r="A548" s="25">
        <f>YEAR('RETAIL SALES DATA.'!K547)</f>
        <v>2024</v>
      </c>
      <c r="B548" s="13" t="str">
        <v>Aug</v>
      </c>
      <c r="C548" s="42">
        <f>DAY('RETAIL SALES DATA.'!K547)</f>
        <v>15</v>
      </c>
      <c r="D548" s="13">
        <v>2024</v>
      </c>
      <c r="E548" s="13" t="str">
        <v>Aug</v>
      </c>
      <c r="F548" s="13">
        <v>24</v>
      </c>
      <c r="G548" s="10"/>
      <c r="H548" s="13">
        <f>NETWORKDAYS('RETAIL SALES DATA.'!K547,'RETAIL SALES DATA.'!L547)</f>
        <v>7</v>
      </c>
      <c r="I548" s="13">
        <v>9</v>
      </c>
      <c r="J548" s="10"/>
      <c r="K548" s="13">
        <v>9</v>
      </c>
      <c r="L548" s="13">
        <v>8</v>
      </c>
      <c r="M548" s="13">
        <v>2</v>
      </c>
      <c r="N548" s="13">
        <v>0</v>
      </c>
      <c r="O548" s="54">
        <f t="shared" si="16"/>
        <v>0.3347222222222222</v>
      </c>
      <c r="P548" s="55">
        <f t="shared" si="17"/>
        <v>0.37638888888888888</v>
      </c>
    </row>
    <row r="549" spans="1:16" x14ac:dyDescent="0.3">
      <c r="A549" s="25">
        <f>YEAR('RETAIL SALES DATA.'!K548)</f>
        <v>2025</v>
      </c>
      <c r="B549" s="13" t="str">
        <v>Nov</v>
      </c>
      <c r="C549" s="42">
        <f>DAY('RETAIL SALES DATA.'!K548)</f>
        <v>2</v>
      </c>
      <c r="D549" s="13">
        <v>2025</v>
      </c>
      <c r="E549" s="13" t="str">
        <v>Nov</v>
      </c>
      <c r="F549" s="13">
        <v>4</v>
      </c>
      <c r="G549" s="10"/>
      <c r="H549" s="13">
        <f>NETWORKDAYS('RETAIL SALES DATA.'!K548,'RETAIL SALES DATA.'!L548)</f>
        <v>2</v>
      </c>
      <c r="I549" s="13">
        <v>2</v>
      </c>
      <c r="J549" s="10"/>
      <c r="K549" s="13">
        <v>0</v>
      </c>
      <c r="L549" s="13">
        <v>9</v>
      </c>
      <c r="M549" s="13">
        <v>13</v>
      </c>
      <c r="N549" s="13">
        <v>0</v>
      </c>
      <c r="O549" s="54">
        <f t="shared" si="16"/>
        <v>0.3840277777777778</v>
      </c>
      <c r="P549" s="55">
        <f t="shared" si="17"/>
        <v>9.0277777777777769E-3</v>
      </c>
    </row>
    <row r="550" spans="1:16" x14ac:dyDescent="0.3">
      <c r="A550" s="25">
        <f>YEAR('RETAIL SALES DATA.'!K549)</f>
        <v>2026</v>
      </c>
      <c r="B550" s="13" t="str">
        <v>Jan</v>
      </c>
      <c r="C550" s="42">
        <f>DAY('RETAIL SALES DATA.'!K549)</f>
        <v>28</v>
      </c>
      <c r="D550" s="13">
        <v>2026</v>
      </c>
      <c r="E550" s="13" t="str">
        <v>Jan</v>
      </c>
      <c r="F550" s="13">
        <v>29</v>
      </c>
      <c r="G550" s="10"/>
      <c r="H550" s="13">
        <f>NETWORKDAYS('RETAIL SALES DATA.'!K549,'RETAIL SALES DATA.'!L549)</f>
        <v>2</v>
      </c>
      <c r="I550" s="13">
        <v>1</v>
      </c>
      <c r="J550" s="10"/>
      <c r="K550" s="13">
        <v>19</v>
      </c>
      <c r="L550" s="13">
        <v>9</v>
      </c>
      <c r="M550" s="13">
        <v>35</v>
      </c>
      <c r="N550" s="13">
        <v>0</v>
      </c>
      <c r="O550" s="54">
        <f t="shared" si="16"/>
        <v>0.39930555555555558</v>
      </c>
      <c r="P550" s="55">
        <f t="shared" si="17"/>
        <v>0.81597222222222221</v>
      </c>
    </row>
    <row r="551" spans="1:16" x14ac:dyDescent="0.3">
      <c r="A551" s="25">
        <f>YEAR('RETAIL SALES DATA.'!K550)</f>
        <v>2024</v>
      </c>
      <c r="B551" s="13" t="str">
        <v>Jun</v>
      </c>
      <c r="C551" s="42">
        <f>DAY('RETAIL SALES DATA.'!K550)</f>
        <v>7</v>
      </c>
      <c r="D551" s="13">
        <v>2024</v>
      </c>
      <c r="E551" s="13" t="str">
        <v>Jun</v>
      </c>
      <c r="F551" s="13">
        <v>11</v>
      </c>
      <c r="G551" s="10"/>
      <c r="H551" s="13">
        <f>NETWORKDAYS('RETAIL SALES DATA.'!K550,'RETAIL SALES DATA.'!L550)</f>
        <v>3</v>
      </c>
      <c r="I551" s="13">
        <v>4</v>
      </c>
      <c r="J551" s="10"/>
      <c r="K551" s="13">
        <v>0</v>
      </c>
      <c r="L551" s="13">
        <v>11</v>
      </c>
      <c r="M551" s="13">
        <v>1</v>
      </c>
      <c r="N551" s="13">
        <v>0</v>
      </c>
      <c r="O551" s="54">
        <f t="shared" si="16"/>
        <v>0.45902777777777776</v>
      </c>
      <c r="P551" s="55">
        <f t="shared" si="17"/>
        <v>6.9444444444444447E-4</v>
      </c>
    </row>
    <row r="552" spans="1:16" x14ac:dyDescent="0.3">
      <c r="A552" s="25">
        <f>YEAR('RETAIL SALES DATA.'!K551)</f>
        <v>2024</v>
      </c>
      <c r="B552" s="13" t="str">
        <v>Jun</v>
      </c>
      <c r="C552" s="42">
        <f>DAY('RETAIL SALES DATA.'!K551)</f>
        <v>26</v>
      </c>
      <c r="D552" s="13">
        <v>2024</v>
      </c>
      <c r="E552" s="13" t="str">
        <v>Jun</v>
      </c>
      <c r="F552" s="13">
        <v>29</v>
      </c>
      <c r="G552" s="10"/>
      <c r="H552" s="13">
        <f>NETWORKDAYS('RETAIL SALES DATA.'!K551,'RETAIL SALES DATA.'!L551)</f>
        <v>3</v>
      </c>
      <c r="I552" s="13">
        <v>3</v>
      </c>
      <c r="J552" s="10"/>
      <c r="K552" s="13">
        <v>0</v>
      </c>
      <c r="L552" s="13">
        <v>8</v>
      </c>
      <c r="M552" s="13">
        <v>12</v>
      </c>
      <c r="N552" s="13">
        <v>0</v>
      </c>
      <c r="O552" s="54">
        <f t="shared" si="16"/>
        <v>0.34166666666666667</v>
      </c>
      <c r="P552" s="55">
        <f t="shared" si="17"/>
        <v>8.3333333333333332E-3</v>
      </c>
    </row>
    <row r="553" spans="1:16" x14ac:dyDescent="0.3">
      <c r="A553" s="25">
        <f>YEAR('RETAIL SALES DATA.'!K552)</f>
        <v>2026</v>
      </c>
      <c r="B553" s="13" t="str">
        <v>Apr</v>
      </c>
      <c r="C553" s="42">
        <f>DAY('RETAIL SALES DATA.'!K552)</f>
        <v>2</v>
      </c>
      <c r="D553" s="13">
        <v>2026</v>
      </c>
      <c r="E553" s="13" t="str">
        <v>Apr</v>
      </c>
      <c r="F553" s="13">
        <v>6</v>
      </c>
      <c r="G553" s="10"/>
      <c r="H553" s="13">
        <f>NETWORKDAYS('RETAIL SALES DATA.'!K552,'RETAIL SALES DATA.'!L552)</f>
        <v>3</v>
      </c>
      <c r="I553" s="13">
        <v>4</v>
      </c>
      <c r="J553" s="10"/>
      <c r="K553" s="13">
        <v>2</v>
      </c>
      <c r="L553" s="13">
        <v>8</v>
      </c>
      <c r="M553" s="13">
        <v>49</v>
      </c>
      <c r="N553" s="13">
        <v>0</v>
      </c>
      <c r="O553" s="54">
        <f t="shared" si="16"/>
        <v>0.36736111111111114</v>
      </c>
      <c r="P553" s="55">
        <f t="shared" si="17"/>
        <v>0.11736111111111111</v>
      </c>
    </row>
    <row r="554" spans="1:16" x14ac:dyDescent="0.3">
      <c r="A554" s="25">
        <f>YEAR('RETAIL SALES DATA.'!K553)</f>
        <v>2025</v>
      </c>
      <c r="B554" s="13" t="str">
        <v>Mar</v>
      </c>
      <c r="C554" s="42">
        <f>DAY('RETAIL SALES DATA.'!K553)</f>
        <v>23</v>
      </c>
      <c r="D554" s="13">
        <v>2025</v>
      </c>
      <c r="E554" s="13" t="str">
        <v>Mar</v>
      </c>
      <c r="F554" s="13">
        <v>25</v>
      </c>
      <c r="G554" s="10"/>
      <c r="H554" s="13">
        <f>NETWORKDAYS('RETAIL SALES DATA.'!K553,'RETAIL SALES DATA.'!L553)</f>
        <v>2</v>
      </c>
      <c r="I554" s="13">
        <v>2</v>
      </c>
      <c r="J554" s="10"/>
      <c r="K554" s="13">
        <v>16</v>
      </c>
      <c r="L554" s="13">
        <v>9</v>
      </c>
      <c r="M554" s="13">
        <v>57</v>
      </c>
      <c r="N554" s="13">
        <v>0</v>
      </c>
      <c r="O554" s="54">
        <f t="shared" si="16"/>
        <v>0.41458333333333336</v>
      </c>
      <c r="P554" s="55">
        <f t="shared" si="17"/>
        <v>0.70625000000000004</v>
      </c>
    </row>
    <row r="555" spans="1:16" x14ac:dyDescent="0.3">
      <c r="A555" s="25">
        <f>YEAR('RETAIL SALES DATA.'!K554)</f>
        <v>2025</v>
      </c>
      <c r="B555" s="13" t="str">
        <v>Mar</v>
      </c>
      <c r="C555" s="42">
        <f>DAY('RETAIL SALES DATA.'!K554)</f>
        <v>7</v>
      </c>
      <c r="D555" s="13">
        <v>2025</v>
      </c>
      <c r="E555" s="13" t="str">
        <v>Mar</v>
      </c>
      <c r="F555" s="13">
        <v>17</v>
      </c>
      <c r="G555" s="10"/>
      <c r="H555" s="13">
        <f>NETWORKDAYS('RETAIL SALES DATA.'!K554,'RETAIL SALES DATA.'!L554)</f>
        <v>7</v>
      </c>
      <c r="I555" s="13">
        <v>10</v>
      </c>
      <c r="J555" s="10"/>
      <c r="K555" s="13">
        <v>7</v>
      </c>
      <c r="L555" s="13">
        <v>8</v>
      </c>
      <c r="M555" s="13">
        <v>52</v>
      </c>
      <c r="N555" s="13">
        <v>0</v>
      </c>
      <c r="O555" s="54">
        <f t="shared" si="16"/>
        <v>0.36944444444444446</v>
      </c>
      <c r="P555" s="55">
        <f t="shared" si="17"/>
        <v>0.32777777777777778</v>
      </c>
    </row>
    <row r="556" spans="1:16" x14ac:dyDescent="0.3">
      <c r="A556" s="25">
        <f>YEAR('RETAIL SALES DATA.'!K555)</f>
        <v>2025</v>
      </c>
      <c r="B556" s="13" t="str">
        <v>Apr</v>
      </c>
      <c r="C556" s="42">
        <f>DAY('RETAIL SALES DATA.'!K555)</f>
        <v>8</v>
      </c>
      <c r="D556" s="13">
        <v>2025</v>
      </c>
      <c r="E556" s="13" t="str">
        <v>Apr</v>
      </c>
      <c r="F556" s="13">
        <v>12</v>
      </c>
      <c r="G556" s="10"/>
      <c r="H556" s="13">
        <f>NETWORKDAYS('RETAIL SALES DATA.'!K555,'RETAIL SALES DATA.'!L555)</f>
        <v>4</v>
      </c>
      <c r="I556" s="13">
        <v>4</v>
      </c>
      <c r="J556" s="10"/>
      <c r="K556" s="13">
        <v>9</v>
      </c>
      <c r="L556" s="13">
        <v>9</v>
      </c>
      <c r="M556" s="13">
        <v>5</v>
      </c>
      <c r="N556" s="13">
        <v>0</v>
      </c>
      <c r="O556" s="54">
        <f t="shared" si="16"/>
        <v>0.37847222222222221</v>
      </c>
      <c r="P556" s="55">
        <f t="shared" si="17"/>
        <v>0.37847222222222221</v>
      </c>
    </row>
    <row r="557" spans="1:16" x14ac:dyDescent="0.3">
      <c r="A557" s="25">
        <f>YEAR('RETAIL SALES DATA.'!K556)</f>
        <v>2025</v>
      </c>
      <c r="B557" s="13" t="str">
        <v>Mar</v>
      </c>
      <c r="C557" s="42">
        <f>DAY('RETAIL SALES DATA.'!K556)</f>
        <v>16</v>
      </c>
      <c r="D557" s="13">
        <v>2025</v>
      </c>
      <c r="E557" s="13" t="str">
        <v>Mar</v>
      </c>
      <c r="F557" s="13">
        <v>23</v>
      </c>
      <c r="G557" s="10"/>
      <c r="H557" s="13">
        <f>NETWORKDAYS('RETAIL SALES DATA.'!K556,'RETAIL SALES DATA.'!L556)</f>
        <v>5</v>
      </c>
      <c r="I557" s="13">
        <v>7</v>
      </c>
      <c r="J557" s="10"/>
      <c r="K557" s="13">
        <v>7</v>
      </c>
      <c r="L557" s="13">
        <v>8</v>
      </c>
      <c r="M557" s="13">
        <v>6</v>
      </c>
      <c r="N557" s="13">
        <v>0</v>
      </c>
      <c r="O557" s="54">
        <f t="shared" si="16"/>
        <v>0.33750000000000002</v>
      </c>
      <c r="P557" s="55">
        <f t="shared" si="17"/>
        <v>0.29583333333333334</v>
      </c>
    </row>
    <row r="558" spans="1:16" x14ac:dyDescent="0.3">
      <c r="A558" s="25">
        <f>YEAR('RETAIL SALES DATA.'!K557)</f>
        <v>2026</v>
      </c>
      <c r="B558" s="13" t="str">
        <v>Apr</v>
      </c>
      <c r="C558" s="42">
        <f>DAY('RETAIL SALES DATA.'!K557)</f>
        <v>27</v>
      </c>
      <c r="D558" s="13">
        <v>2026</v>
      </c>
      <c r="E558" s="13" t="str">
        <v>Apr</v>
      </c>
      <c r="F558" s="13">
        <v>28</v>
      </c>
      <c r="G558" s="10"/>
      <c r="H558" s="13">
        <f>NETWORKDAYS('RETAIL SALES DATA.'!K557,'RETAIL SALES DATA.'!L557)</f>
        <v>2</v>
      </c>
      <c r="I558" s="13">
        <v>1</v>
      </c>
      <c r="J558" s="10"/>
      <c r="K558" s="13">
        <v>9</v>
      </c>
      <c r="L558" s="13">
        <v>8</v>
      </c>
      <c r="M558" s="13">
        <v>0</v>
      </c>
      <c r="N558" s="13">
        <v>0</v>
      </c>
      <c r="O558" s="54">
        <f t="shared" si="16"/>
        <v>0.33333333333333331</v>
      </c>
      <c r="P558" s="55">
        <f t="shared" si="17"/>
        <v>0.375</v>
      </c>
    </row>
    <row r="559" spans="1:16" x14ac:dyDescent="0.3">
      <c r="A559" s="25">
        <f>YEAR('RETAIL SALES DATA.'!K558)</f>
        <v>2026</v>
      </c>
      <c r="B559" s="13" t="str">
        <v>Apr</v>
      </c>
      <c r="C559" s="42">
        <f>DAY('RETAIL SALES DATA.'!K558)</f>
        <v>3</v>
      </c>
      <c r="D559" s="13">
        <v>2026</v>
      </c>
      <c r="E559" s="13" t="str">
        <v>Apr</v>
      </c>
      <c r="F559" s="13">
        <v>6</v>
      </c>
      <c r="G559" s="10"/>
      <c r="H559" s="13">
        <f>NETWORKDAYS('RETAIL SALES DATA.'!K558,'RETAIL SALES DATA.'!L558)</f>
        <v>2</v>
      </c>
      <c r="I559" s="13">
        <v>3</v>
      </c>
      <c r="J559" s="10"/>
      <c r="K559" s="13">
        <v>4</v>
      </c>
      <c r="L559" s="13">
        <v>11</v>
      </c>
      <c r="M559" s="13">
        <v>48</v>
      </c>
      <c r="N559" s="13">
        <v>0</v>
      </c>
      <c r="O559" s="54">
        <f t="shared" si="16"/>
        <v>0.49166666666666664</v>
      </c>
      <c r="P559" s="55">
        <f t="shared" si="17"/>
        <v>0.2</v>
      </c>
    </row>
    <row r="560" spans="1:16" x14ac:dyDescent="0.3">
      <c r="A560" s="25">
        <f>YEAR('RETAIL SALES DATA.'!K559)</f>
        <v>2026</v>
      </c>
      <c r="B560" s="13" t="str">
        <v>Mar</v>
      </c>
      <c r="C560" s="42">
        <f>DAY('RETAIL SALES DATA.'!K559)</f>
        <v>28</v>
      </c>
      <c r="D560" s="13">
        <v>2026</v>
      </c>
      <c r="E560" s="13" t="str">
        <v>Apr</v>
      </c>
      <c r="F560" s="13">
        <v>6</v>
      </c>
      <c r="G560" s="10"/>
      <c r="H560" s="13">
        <f>NETWORKDAYS('RETAIL SALES DATA.'!K559,'RETAIL SALES DATA.'!L559)</f>
        <v>6</v>
      </c>
      <c r="I560" s="13">
        <v>9</v>
      </c>
      <c r="J560" s="10"/>
      <c r="K560" s="13">
        <v>14</v>
      </c>
      <c r="L560" s="13">
        <v>11</v>
      </c>
      <c r="M560" s="13">
        <v>43</v>
      </c>
      <c r="N560" s="13">
        <v>0</v>
      </c>
      <c r="O560" s="54">
        <f t="shared" si="16"/>
        <v>0.48819444444444443</v>
      </c>
      <c r="P560" s="55">
        <f t="shared" si="17"/>
        <v>0.61319444444444449</v>
      </c>
    </row>
    <row r="561" spans="1:16" x14ac:dyDescent="0.3">
      <c r="A561" s="25">
        <f>YEAR('RETAIL SALES DATA.'!K560)</f>
        <v>2024</v>
      </c>
      <c r="B561" s="13" t="str">
        <v>Aug</v>
      </c>
      <c r="C561" s="42">
        <f>DAY('RETAIL SALES DATA.'!K560)</f>
        <v>25</v>
      </c>
      <c r="D561" s="13">
        <v>2024</v>
      </c>
      <c r="E561" s="13" t="str">
        <v>Aug</v>
      </c>
      <c r="F561" s="13">
        <v>26</v>
      </c>
      <c r="G561" s="10"/>
      <c r="H561" s="13">
        <f>NETWORKDAYS('RETAIL SALES DATA.'!K560,'RETAIL SALES DATA.'!L560)</f>
        <v>1</v>
      </c>
      <c r="I561" s="13">
        <v>1</v>
      </c>
      <c r="J561" s="10"/>
      <c r="K561" s="13">
        <v>0</v>
      </c>
      <c r="L561" s="13">
        <v>8</v>
      </c>
      <c r="M561" s="13">
        <v>41</v>
      </c>
      <c r="N561" s="13">
        <v>0</v>
      </c>
      <c r="O561" s="54">
        <f t="shared" si="16"/>
        <v>0.36180555555555555</v>
      </c>
      <c r="P561" s="55">
        <f t="shared" si="17"/>
        <v>2.8472222222222222E-2</v>
      </c>
    </row>
    <row r="562" spans="1:16" x14ac:dyDescent="0.3">
      <c r="A562" s="25">
        <f>YEAR('RETAIL SALES DATA.'!K561)</f>
        <v>2024</v>
      </c>
      <c r="B562" s="13" t="str">
        <v>Nov</v>
      </c>
      <c r="C562" s="42">
        <f>DAY('RETAIL SALES DATA.'!K561)</f>
        <v>7</v>
      </c>
      <c r="D562" s="13">
        <v>2024</v>
      </c>
      <c r="E562" s="13" t="str">
        <v>Nov</v>
      </c>
      <c r="F562" s="13">
        <v>13</v>
      </c>
      <c r="G562" s="10"/>
      <c r="H562" s="13">
        <f>NETWORKDAYS('RETAIL SALES DATA.'!K561,'RETAIL SALES DATA.'!L561)</f>
        <v>5</v>
      </c>
      <c r="I562" s="13">
        <v>6</v>
      </c>
      <c r="J562" s="10"/>
      <c r="K562" s="13">
        <v>14</v>
      </c>
      <c r="L562" s="13">
        <v>9</v>
      </c>
      <c r="M562" s="13">
        <v>47</v>
      </c>
      <c r="N562" s="13">
        <v>0</v>
      </c>
      <c r="O562" s="54">
        <f t="shared" si="16"/>
        <v>0.40763888888888888</v>
      </c>
      <c r="P562" s="55">
        <f t="shared" si="17"/>
        <v>0.61597222222222225</v>
      </c>
    </row>
    <row r="563" spans="1:16" x14ac:dyDescent="0.3">
      <c r="A563" s="25">
        <f>YEAR('RETAIL SALES DATA.'!K562)</f>
        <v>2026</v>
      </c>
      <c r="B563" s="13" t="str">
        <v>Apr</v>
      </c>
      <c r="C563" s="42">
        <f>DAY('RETAIL SALES DATA.'!K562)</f>
        <v>13</v>
      </c>
      <c r="D563" s="13">
        <v>2026</v>
      </c>
      <c r="E563" s="13" t="str">
        <v>Apr</v>
      </c>
      <c r="F563" s="13">
        <v>20</v>
      </c>
      <c r="G563" s="10"/>
      <c r="H563" s="13">
        <f>NETWORKDAYS('RETAIL SALES DATA.'!K562,'RETAIL SALES DATA.'!L562)</f>
        <v>6</v>
      </c>
      <c r="I563" s="13">
        <v>7</v>
      </c>
      <c r="J563" s="10"/>
      <c r="K563" s="13">
        <v>19</v>
      </c>
      <c r="L563" s="13">
        <v>11</v>
      </c>
      <c r="M563" s="13">
        <v>7</v>
      </c>
      <c r="N563" s="13">
        <v>0</v>
      </c>
      <c r="O563" s="54">
        <f t="shared" si="16"/>
        <v>0.46319444444444446</v>
      </c>
      <c r="P563" s="55">
        <f t="shared" si="17"/>
        <v>0.79652777777777772</v>
      </c>
    </row>
    <row r="564" spans="1:16" x14ac:dyDescent="0.3">
      <c r="A564" s="25">
        <f>YEAR('RETAIL SALES DATA.'!K563)</f>
        <v>2024</v>
      </c>
      <c r="B564" s="13" t="str">
        <v>Jun</v>
      </c>
      <c r="C564" s="42">
        <f>DAY('RETAIL SALES DATA.'!K563)</f>
        <v>19</v>
      </c>
      <c r="D564" s="13">
        <v>2024</v>
      </c>
      <c r="E564" s="13" t="str">
        <v>Jun</v>
      </c>
      <c r="F564" s="13">
        <v>27</v>
      </c>
      <c r="G564" s="10"/>
      <c r="H564" s="13">
        <f>NETWORKDAYS('RETAIL SALES DATA.'!K563,'RETAIL SALES DATA.'!L563)</f>
        <v>7</v>
      </c>
      <c r="I564" s="13">
        <v>8</v>
      </c>
      <c r="J564" s="10"/>
      <c r="K564" s="13">
        <v>14</v>
      </c>
      <c r="L564" s="13">
        <v>10</v>
      </c>
      <c r="M564" s="13">
        <v>4</v>
      </c>
      <c r="N564" s="13">
        <v>0</v>
      </c>
      <c r="O564" s="54">
        <f t="shared" si="16"/>
        <v>0.41944444444444445</v>
      </c>
      <c r="P564" s="55">
        <f t="shared" si="17"/>
        <v>0.58611111111111114</v>
      </c>
    </row>
    <row r="565" spans="1:16" x14ac:dyDescent="0.3">
      <c r="A565" s="25">
        <f>YEAR('RETAIL SALES DATA.'!K564)</f>
        <v>2025</v>
      </c>
      <c r="B565" s="13" t="str">
        <v>Dec</v>
      </c>
      <c r="C565" s="42">
        <f>DAY('RETAIL SALES DATA.'!K564)</f>
        <v>10</v>
      </c>
      <c r="D565" s="13">
        <v>2025</v>
      </c>
      <c r="E565" s="13" t="str">
        <v>Dec</v>
      </c>
      <c r="F565" s="13">
        <v>17</v>
      </c>
      <c r="G565" s="10"/>
      <c r="H565" s="13">
        <f>NETWORKDAYS('RETAIL SALES DATA.'!K564,'RETAIL SALES DATA.'!L564)</f>
        <v>6</v>
      </c>
      <c r="I565" s="13">
        <v>7</v>
      </c>
      <c r="J565" s="10"/>
      <c r="K565" s="13">
        <v>4</v>
      </c>
      <c r="L565" s="13">
        <v>9</v>
      </c>
      <c r="M565" s="13">
        <v>53</v>
      </c>
      <c r="N565" s="13">
        <v>0</v>
      </c>
      <c r="O565" s="54">
        <f t="shared" si="16"/>
        <v>0.41180555555555554</v>
      </c>
      <c r="P565" s="55">
        <f t="shared" si="17"/>
        <v>0.20347222222222222</v>
      </c>
    </row>
    <row r="566" spans="1:16" x14ac:dyDescent="0.3">
      <c r="A566" s="25">
        <f>YEAR('RETAIL SALES DATA.'!K565)</f>
        <v>2025</v>
      </c>
      <c r="B566" s="13" t="str">
        <v>Feb</v>
      </c>
      <c r="C566" s="42">
        <f>DAY('RETAIL SALES DATA.'!K565)</f>
        <v>21</v>
      </c>
      <c r="D566" s="13">
        <v>2025</v>
      </c>
      <c r="E566" s="13" t="str">
        <v>Feb</v>
      </c>
      <c r="F566" s="13">
        <v>23</v>
      </c>
      <c r="G566" s="10"/>
      <c r="H566" s="13">
        <f>NETWORKDAYS('RETAIL SALES DATA.'!K565,'RETAIL SALES DATA.'!L565)</f>
        <v>1</v>
      </c>
      <c r="I566" s="13">
        <v>2</v>
      </c>
      <c r="J566" s="10"/>
      <c r="K566" s="13">
        <v>14</v>
      </c>
      <c r="L566" s="13">
        <v>9</v>
      </c>
      <c r="M566" s="13">
        <v>39</v>
      </c>
      <c r="N566" s="13">
        <v>0</v>
      </c>
      <c r="O566" s="54">
        <f t="shared" si="16"/>
        <v>0.40208333333333335</v>
      </c>
      <c r="P566" s="55">
        <f t="shared" si="17"/>
        <v>0.61041666666666672</v>
      </c>
    </row>
    <row r="567" spans="1:16" x14ac:dyDescent="0.3">
      <c r="A567" s="25">
        <f>YEAR('RETAIL SALES DATA.'!K566)</f>
        <v>2024</v>
      </c>
      <c r="B567" s="13" t="str">
        <v>Nov</v>
      </c>
      <c r="C567" s="42">
        <f>DAY('RETAIL SALES DATA.'!K566)</f>
        <v>9</v>
      </c>
      <c r="D567" s="13">
        <v>2024</v>
      </c>
      <c r="E567" s="13" t="str">
        <v>Nov</v>
      </c>
      <c r="F567" s="13">
        <v>18</v>
      </c>
      <c r="G567" s="10"/>
      <c r="H567" s="13">
        <f>NETWORKDAYS('RETAIL SALES DATA.'!K566,'RETAIL SALES DATA.'!L566)</f>
        <v>6</v>
      </c>
      <c r="I567" s="13">
        <v>9</v>
      </c>
      <c r="J567" s="10"/>
      <c r="K567" s="13">
        <v>0</v>
      </c>
      <c r="L567" s="13">
        <v>9</v>
      </c>
      <c r="M567" s="13">
        <v>44</v>
      </c>
      <c r="N567" s="13">
        <v>0</v>
      </c>
      <c r="O567" s="54">
        <f t="shared" si="16"/>
        <v>0.40555555555555556</v>
      </c>
      <c r="P567" s="55">
        <f t="shared" si="17"/>
        <v>3.0555555555555555E-2</v>
      </c>
    </row>
    <row r="568" spans="1:16" x14ac:dyDescent="0.3">
      <c r="A568" s="25">
        <f>YEAR('RETAIL SALES DATA.'!K567)</f>
        <v>2024</v>
      </c>
      <c r="B568" s="13" t="str">
        <v>Aug</v>
      </c>
      <c r="C568" s="42">
        <f>DAY('RETAIL SALES DATA.'!K567)</f>
        <v>18</v>
      </c>
      <c r="D568" s="13">
        <v>2024</v>
      </c>
      <c r="E568" s="13" t="str">
        <v>Aug</v>
      </c>
      <c r="F568" s="13">
        <v>28</v>
      </c>
      <c r="G568" s="10"/>
      <c r="H568" s="13">
        <f>NETWORKDAYS('RETAIL SALES DATA.'!K567,'RETAIL SALES DATA.'!L567)</f>
        <v>8</v>
      </c>
      <c r="I568" s="13">
        <v>10</v>
      </c>
      <c r="J568" s="10"/>
      <c r="K568" s="13">
        <v>21</v>
      </c>
      <c r="L568" s="13">
        <v>10</v>
      </c>
      <c r="M568" s="13">
        <v>0</v>
      </c>
      <c r="N568" s="13">
        <v>0</v>
      </c>
      <c r="O568" s="54">
        <f t="shared" si="16"/>
        <v>0.41666666666666669</v>
      </c>
      <c r="P568" s="55">
        <f t="shared" si="17"/>
        <v>0.875</v>
      </c>
    </row>
    <row r="569" spans="1:16" x14ac:dyDescent="0.3">
      <c r="A569" s="25">
        <f>YEAR('RETAIL SALES DATA.'!K568)</f>
        <v>2025</v>
      </c>
      <c r="B569" s="13" t="str">
        <v>Sep</v>
      </c>
      <c r="C569" s="42">
        <f>DAY('RETAIL SALES DATA.'!K568)</f>
        <v>3</v>
      </c>
      <c r="D569" s="13">
        <v>2025</v>
      </c>
      <c r="E569" s="13" t="str">
        <v>Sep</v>
      </c>
      <c r="F569" s="13">
        <v>7</v>
      </c>
      <c r="G569" s="10"/>
      <c r="H569" s="13">
        <f>NETWORKDAYS('RETAIL SALES DATA.'!K568,'RETAIL SALES DATA.'!L568)</f>
        <v>3</v>
      </c>
      <c r="I569" s="13">
        <v>4</v>
      </c>
      <c r="J569" s="10"/>
      <c r="K569" s="13">
        <v>14</v>
      </c>
      <c r="L569" s="13">
        <v>10</v>
      </c>
      <c r="M569" s="13">
        <v>48</v>
      </c>
      <c r="N569" s="13">
        <v>0</v>
      </c>
      <c r="O569" s="54">
        <f t="shared" si="16"/>
        <v>0.45</v>
      </c>
      <c r="P569" s="55">
        <f t="shared" si="17"/>
        <v>0.6166666666666667</v>
      </c>
    </row>
    <row r="570" spans="1:16" x14ac:dyDescent="0.3">
      <c r="A570" s="25">
        <f>YEAR('RETAIL SALES DATA.'!K569)</f>
        <v>2026</v>
      </c>
      <c r="B570" s="13" t="str">
        <v>Apr</v>
      </c>
      <c r="C570" s="42">
        <f>DAY('RETAIL SALES DATA.'!K569)</f>
        <v>19</v>
      </c>
      <c r="D570" s="13">
        <v>2026</v>
      </c>
      <c r="E570" s="13" t="str">
        <v>Apr</v>
      </c>
      <c r="F570" s="13">
        <v>27</v>
      </c>
      <c r="G570" s="10"/>
      <c r="H570" s="13">
        <f>NETWORKDAYS('RETAIL SALES DATA.'!K569,'RETAIL SALES DATA.'!L569)</f>
        <v>6</v>
      </c>
      <c r="I570" s="13">
        <v>8</v>
      </c>
      <c r="J570" s="10"/>
      <c r="K570" s="13">
        <v>4</v>
      </c>
      <c r="L570" s="13">
        <v>11</v>
      </c>
      <c r="M570" s="13">
        <v>26</v>
      </c>
      <c r="N570" s="13">
        <v>0</v>
      </c>
      <c r="O570" s="54">
        <f t="shared" si="16"/>
        <v>0.47638888888888886</v>
      </c>
      <c r="P570" s="55">
        <f t="shared" si="17"/>
        <v>0.18472222222222223</v>
      </c>
    </row>
    <row r="571" spans="1:16" x14ac:dyDescent="0.3">
      <c r="A571" s="25">
        <f>YEAR('RETAIL SALES DATA.'!K570)</f>
        <v>2024</v>
      </c>
      <c r="B571" s="13" t="str">
        <v>Nov</v>
      </c>
      <c r="C571" s="42">
        <f>DAY('RETAIL SALES DATA.'!K570)</f>
        <v>8</v>
      </c>
      <c r="D571" s="13">
        <v>2024</v>
      </c>
      <c r="E571" s="13" t="str">
        <v>Nov</v>
      </c>
      <c r="F571" s="13">
        <v>18</v>
      </c>
      <c r="G571" s="10"/>
      <c r="H571" s="13">
        <f>NETWORKDAYS('RETAIL SALES DATA.'!K570,'RETAIL SALES DATA.'!L570)</f>
        <v>7</v>
      </c>
      <c r="I571" s="13">
        <v>10</v>
      </c>
      <c r="J571" s="10"/>
      <c r="K571" s="13">
        <v>12</v>
      </c>
      <c r="L571" s="13">
        <v>9</v>
      </c>
      <c r="M571" s="13">
        <v>37</v>
      </c>
      <c r="N571" s="13">
        <v>0</v>
      </c>
      <c r="O571" s="54">
        <f t="shared" si="16"/>
        <v>0.40069444444444446</v>
      </c>
      <c r="P571" s="55">
        <f t="shared" si="17"/>
        <v>0.52569444444444446</v>
      </c>
    </row>
    <row r="572" spans="1:16" x14ac:dyDescent="0.3">
      <c r="A572" s="25">
        <f>YEAR('RETAIL SALES DATA.'!K571)</f>
        <v>2025</v>
      </c>
      <c r="B572" s="13" t="str">
        <v>Sep</v>
      </c>
      <c r="C572" s="42">
        <f>DAY('RETAIL SALES DATA.'!K571)</f>
        <v>3</v>
      </c>
      <c r="D572" s="13">
        <v>2025</v>
      </c>
      <c r="E572" s="13" t="str">
        <v>Sep</v>
      </c>
      <c r="F572" s="13">
        <v>8</v>
      </c>
      <c r="G572" s="10"/>
      <c r="H572" s="13">
        <f>NETWORKDAYS('RETAIL SALES DATA.'!K571,'RETAIL SALES DATA.'!L571)</f>
        <v>4</v>
      </c>
      <c r="I572" s="13">
        <v>5</v>
      </c>
      <c r="J572" s="10"/>
      <c r="K572" s="13">
        <v>21</v>
      </c>
      <c r="L572" s="13">
        <v>9</v>
      </c>
      <c r="M572" s="13">
        <v>4</v>
      </c>
      <c r="N572" s="13">
        <v>0</v>
      </c>
      <c r="O572" s="54">
        <f t="shared" si="16"/>
        <v>0.37777777777777777</v>
      </c>
      <c r="P572" s="55">
        <f t="shared" si="17"/>
        <v>0.87777777777777777</v>
      </c>
    </row>
    <row r="573" spans="1:16" x14ac:dyDescent="0.3">
      <c r="A573" s="25">
        <f>YEAR('RETAIL SALES DATA.'!K572)</f>
        <v>2026</v>
      </c>
      <c r="B573" s="13" t="str">
        <v>Mar</v>
      </c>
      <c r="C573" s="42">
        <f>DAY('RETAIL SALES DATA.'!K572)</f>
        <v>13</v>
      </c>
      <c r="D573" s="13">
        <v>2026</v>
      </c>
      <c r="E573" s="13" t="str">
        <v>Mar</v>
      </c>
      <c r="F573" s="13">
        <v>23</v>
      </c>
      <c r="G573" s="10"/>
      <c r="H573" s="13">
        <f>NETWORKDAYS('RETAIL SALES DATA.'!K572,'RETAIL SALES DATA.'!L572)</f>
        <v>7</v>
      </c>
      <c r="I573" s="13">
        <v>10</v>
      </c>
      <c r="J573" s="10"/>
      <c r="K573" s="13">
        <v>0</v>
      </c>
      <c r="L573" s="13">
        <v>11</v>
      </c>
      <c r="M573" s="13">
        <v>9</v>
      </c>
      <c r="N573" s="13">
        <v>0</v>
      </c>
      <c r="O573" s="54">
        <f t="shared" si="16"/>
        <v>0.46458333333333335</v>
      </c>
      <c r="P573" s="55">
        <f t="shared" si="17"/>
        <v>6.2500000000000003E-3</v>
      </c>
    </row>
    <row r="574" spans="1:16" x14ac:dyDescent="0.3">
      <c r="A574" s="25">
        <f>YEAR('RETAIL SALES DATA.'!K573)</f>
        <v>2024</v>
      </c>
      <c r="B574" s="13" t="str">
        <v>Nov</v>
      </c>
      <c r="C574" s="42">
        <f>DAY('RETAIL SALES DATA.'!K573)</f>
        <v>30</v>
      </c>
      <c r="D574" s="13">
        <v>2024</v>
      </c>
      <c r="E574" s="13" t="str">
        <v>Dec</v>
      </c>
      <c r="F574" s="13">
        <v>6</v>
      </c>
      <c r="G574" s="10"/>
      <c r="H574" s="13">
        <f>NETWORKDAYS('RETAIL SALES DATA.'!K573,'RETAIL SALES DATA.'!L573)</f>
        <v>5</v>
      </c>
      <c r="I574" s="13">
        <v>6</v>
      </c>
      <c r="J574" s="10"/>
      <c r="K574" s="13">
        <v>12</v>
      </c>
      <c r="L574" s="13">
        <v>11</v>
      </c>
      <c r="M574" s="13">
        <v>2</v>
      </c>
      <c r="N574" s="13">
        <v>0</v>
      </c>
      <c r="O574" s="54">
        <f t="shared" si="16"/>
        <v>0.4597222222222222</v>
      </c>
      <c r="P574" s="55">
        <f t="shared" si="17"/>
        <v>0.50138888888888888</v>
      </c>
    </row>
    <row r="575" spans="1:16" x14ac:dyDescent="0.3">
      <c r="A575" s="25">
        <f>YEAR('RETAIL SALES DATA.'!K574)</f>
        <v>2026</v>
      </c>
      <c r="B575" s="13" t="str">
        <v>Apr</v>
      </c>
      <c r="C575" s="42">
        <f>DAY('RETAIL SALES DATA.'!K574)</f>
        <v>12</v>
      </c>
      <c r="D575" s="13">
        <v>2026</v>
      </c>
      <c r="E575" s="13" t="str">
        <v>Apr</v>
      </c>
      <c r="F575" s="13">
        <v>17</v>
      </c>
      <c r="G575" s="10"/>
      <c r="H575" s="13">
        <f>NETWORKDAYS('RETAIL SALES DATA.'!K574,'RETAIL SALES DATA.'!L574)</f>
        <v>5</v>
      </c>
      <c r="I575" s="13">
        <v>5</v>
      </c>
      <c r="J575" s="10"/>
      <c r="K575" s="13">
        <v>16</v>
      </c>
      <c r="L575" s="13">
        <v>10</v>
      </c>
      <c r="M575" s="13">
        <v>27</v>
      </c>
      <c r="N575" s="13">
        <v>0</v>
      </c>
      <c r="O575" s="54">
        <f t="shared" si="16"/>
        <v>0.43541666666666667</v>
      </c>
      <c r="P575" s="55">
        <f t="shared" si="17"/>
        <v>0.68541666666666667</v>
      </c>
    </row>
    <row r="576" spans="1:16" x14ac:dyDescent="0.3">
      <c r="A576" s="25">
        <f>YEAR('RETAIL SALES DATA.'!K575)</f>
        <v>2026</v>
      </c>
      <c r="B576" s="13" t="str">
        <v>Apr</v>
      </c>
      <c r="C576" s="42">
        <f>DAY('RETAIL SALES DATA.'!K575)</f>
        <v>4</v>
      </c>
      <c r="D576" s="13">
        <v>2026</v>
      </c>
      <c r="E576" s="13" t="str">
        <v>Apr</v>
      </c>
      <c r="F576" s="13">
        <v>13</v>
      </c>
      <c r="G576" s="10"/>
      <c r="H576" s="13">
        <f>NETWORKDAYS('RETAIL SALES DATA.'!K575,'RETAIL SALES DATA.'!L575)</f>
        <v>6</v>
      </c>
      <c r="I576" s="13">
        <v>9</v>
      </c>
      <c r="J576" s="10"/>
      <c r="K576" s="13">
        <v>19</v>
      </c>
      <c r="L576" s="13">
        <v>10</v>
      </c>
      <c r="M576" s="13">
        <v>26</v>
      </c>
      <c r="N576" s="13">
        <v>0</v>
      </c>
      <c r="O576" s="54">
        <f t="shared" si="16"/>
        <v>0.43472222222222223</v>
      </c>
      <c r="P576" s="55">
        <f t="shared" si="17"/>
        <v>0.80972222222222223</v>
      </c>
    </row>
    <row r="577" spans="1:16" x14ac:dyDescent="0.3">
      <c r="A577" s="25">
        <f>YEAR('RETAIL SALES DATA.'!K576)</f>
        <v>2026</v>
      </c>
      <c r="B577" s="13" t="str">
        <v>May</v>
      </c>
      <c r="C577" s="42">
        <f>DAY('RETAIL SALES DATA.'!K576)</f>
        <v>19</v>
      </c>
      <c r="D577" s="13">
        <v>2026</v>
      </c>
      <c r="E577" s="13" t="str">
        <v>May</v>
      </c>
      <c r="F577" s="13">
        <v>29</v>
      </c>
      <c r="G577" s="10"/>
      <c r="H577" s="13">
        <f>NETWORKDAYS('RETAIL SALES DATA.'!K576,'RETAIL SALES DATA.'!L576)</f>
        <v>9</v>
      </c>
      <c r="I577" s="13">
        <v>10</v>
      </c>
      <c r="J577" s="10"/>
      <c r="K577" s="13">
        <v>19</v>
      </c>
      <c r="L577" s="13">
        <v>11</v>
      </c>
      <c r="M577" s="13">
        <v>25</v>
      </c>
      <c r="N577" s="13">
        <v>0</v>
      </c>
      <c r="O577" s="54">
        <f t="shared" si="16"/>
        <v>0.47569444444444442</v>
      </c>
      <c r="P577" s="55">
        <f t="shared" si="17"/>
        <v>0.80902777777777779</v>
      </c>
    </row>
    <row r="578" spans="1:16" x14ac:dyDescent="0.3">
      <c r="A578" s="25">
        <f>YEAR('RETAIL SALES DATA.'!K577)</f>
        <v>2024</v>
      </c>
      <c r="B578" s="13" t="str">
        <v>Oct</v>
      </c>
      <c r="C578" s="42">
        <f>DAY('RETAIL SALES DATA.'!K577)</f>
        <v>25</v>
      </c>
      <c r="D578" s="13">
        <v>2024</v>
      </c>
      <c r="E578" s="13" t="str">
        <v>Nov</v>
      </c>
      <c r="F578" s="13">
        <v>4</v>
      </c>
      <c r="G578" s="10"/>
      <c r="H578" s="13">
        <f>NETWORKDAYS('RETAIL SALES DATA.'!K577,'RETAIL SALES DATA.'!L577)</f>
        <v>7</v>
      </c>
      <c r="I578" s="13">
        <v>10</v>
      </c>
      <c r="J578" s="10"/>
      <c r="K578" s="13">
        <v>2</v>
      </c>
      <c r="L578" s="13">
        <v>10</v>
      </c>
      <c r="M578" s="13">
        <v>11</v>
      </c>
      <c r="N578" s="13">
        <v>0</v>
      </c>
      <c r="O578" s="54">
        <f t="shared" si="16"/>
        <v>0.42430555555555555</v>
      </c>
      <c r="P578" s="55">
        <f t="shared" si="17"/>
        <v>9.0972222222222218E-2</v>
      </c>
    </row>
    <row r="579" spans="1:16" x14ac:dyDescent="0.3">
      <c r="A579" s="25">
        <f>YEAR('RETAIL SALES DATA.'!K578)</f>
        <v>2024</v>
      </c>
      <c r="B579" s="13" t="str">
        <v>May</v>
      </c>
      <c r="C579" s="42">
        <f>DAY('RETAIL SALES DATA.'!K578)</f>
        <v>25</v>
      </c>
      <c r="D579" s="13">
        <v>2024</v>
      </c>
      <c r="E579" s="13" t="str">
        <v>May</v>
      </c>
      <c r="F579" s="13">
        <v>26</v>
      </c>
      <c r="G579" s="10"/>
      <c r="H579" s="13">
        <f>NETWORKDAYS('RETAIL SALES DATA.'!K578,'RETAIL SALES DATA.'!L578)</f>
        <v>0</v>
      </c>
      <c r="I579" s="13">
        <v>1</v>
      </c>
      <c r="J579" s="10"/>
      <c r="K579" s="13">
        <v>21</v>
      </c>
      <c r="L579" s="13">
        <v>9</v>
      </c>
      <c r="M579" s="13">
        <v>8</v>
      </c>
      <c r="N579" s="13">
        <v>0</v>
      </c>
      <c r="O579" s="54">
        <f t="shared" si="16"/>
        <v>0.38055555555555554</v>
      </c>
      <c r="P579" s="55">
        <f t="shared" si="17"/>
        <v>0.88055555555555554</v>
      </c>
    </row>
    <row r="580" spans="1:16" x14ac:dyDescent="0.3">
      <c r="A580" s="25">
        <f>YEAR('RETAIL SALES DATA.'!K579)</f>
        <v>2024</v>
      </c>
      <c r="B580" s="13" t="str">
        <v>Aug</v>
      </c>
      <c r="C580" s="42">
        <f>DAY('RETAIL SALES DATA.'!K579)</f>
        <v>22</v>
      </c>
      <c r="D580" s="13">
        <v>2024</v>
      </c>
      <c r="E580" s="13" t="str">
        <v>Aug</v>
      </c>
      <c r="F580" s="13">
        <v>31</v>
      </c>
      <c r="G580" s="10"/>
      <c r="H580" s="13">
        <f>NETWORKDAYS('RETAIL SALES DATA.'!K579,'RETAIL SALES DATA.'!L579)</f>
        <v>7</v>
      </c>
      <c r="I580" s="13">
        <v>9</v>
      </c>
      <c r="J580" s="10"/>
      <c r="K580" s="13">
        <v>16</v>
      </c>
      <c r="L580" s="13">
        <v>8</v>
      </c>
      <c r="M580" s="13">
        <v>15</v>
      </c>
      <c r="N580" s="13">
        <v>0</v>
      </c>
      <c r="O580" s="54">
        <f t="shared" ref="O580:O643" si="18">TIME(L580,M580,N580)</f>
        <v>0.34375</v>
      </c>
      <c r="P580" s="55">
        <f t="shared" ref="P580:P643" si="19">TIME(K580,M580,N580)</f>
        <v>0.67708333333333337</v>
      </c>
    </row>
    <row r="581" spans="1:16" x14ac:dyDescent="0.3">
      <c r="A581" s="25">
        <f>YEAR('RETAIL SALES DATA.'!K580)</f>
        <v>2024</v>
      </c>
      <c r="B581" s="13" t="str">
        <v>Aug</v>
      </c>
      <c r="C581" s="42">
        <f>DAY('RETAIL SALES DATA.'!K580)</f>
        <v>3</v>
      </c>
      <c r="D581" s="13">
        <v>2024</v>
      </c>
      <c r="E581" s="13" t="str">
        <v>Aug</v>
      </c>
      <c r="F581" s="13">
        <v>13</v>
      </c>
      <c r="G581" s="10"/>
      <c r="H581" s="13">
        <f>NETWORKDAYS('RETAIL SALES DATA.'!K580,'RETAIL SALES DATA.'!L580)</f>
        <v>7</v>
      </c>
      <c r="I581" s="13">
        <v>10</v>
      </c>
      <c r="J581" s="10"/>
      <c r="K581" s="13">
        <v>14</v>
      </c>
      <c r="L581" s="13">
        <v>10</v>
      </c>
      <c r="M581" s="13">
        <v>5</v>
      </c>
      <c r="N581" s="13">
        <v>0</v>
      </c>
      <c r="O581" s="54">
        <f t="shared" si="18"/>
        <v>0.4201388888888889</v>
      </c>
      <c r="P581" s="55">
        <f t="shared" si="19"/>
        <v>0.58680555555555558</v>
      </c>
    </row>
    <row r="582" spans="1:16" x14ac:dyDescent="0.3">
      <c r="A582" s="25">
        <f>YEAR('RETAIL SALES DATA.'!K581)</f>
        <v>2025</v>
      </c>
      <c r="B582" s="13" t="str">
        <v>Feb</v>
      </c>
      <c r="C582" s="42">
        <f>DAY('RETAIL SALES DATA.'!K581)</f>
        <v>15</v>
      </c>
      <c r="D582" s="13">
        <v>2025</v>
      </c>
      <c r="E582" s="13" t="str">
        <v>Feb</v>
      </c>
      <c r="F582" s="13">
        <v>16</v>
      </c>
      <c r="G582" s="10"/>
      <c r="H582" s="13">
        <f>NETWORKDAYS('RETAIL SALES DATA.'!K581,'RETAIL SALES DATA.'!L581)</f>
        <v>0</v>
      </c>
      <c r="I582" s="13">
        <v>1</v>
      </c>
      <c r="J582" s="10"/>
      <c r="K582" s="13">
        <v>21</v>
      </c>
      <c r="L582" s="13">
        <v>8</v>
      </c>
      <c r="M582" s="13">
        <v>15</v>
      </c>
      <c r="N582" s="13">
        <v>0</v>
      </c>
      <c r="O582" s="54">
        <f t="shared" si="18"/>
        <v>0.34375</v>
      </c>
      <c r="P582" s="55">
        <f t="shared" si="19"/>
        <v>0.88541666666666663</v>
      </c>
    </row>
    <row r="583" spans="1:16" x14ac:dyDescent="0.3">
      <c r="A583" s="25">
        <f>YEAR('RETAIL SALES DATA.'!K582)</f>
        <v>2025</v>
      </c>
      <c r="B583" s="13" t="str">
        <v>Aug</v>
      </c>
      <c r="C583" s="42">
        <f>DAY('RETAIL SALES DATA.'!K582)</f>
        <v>31</v>
      </c>
      <c r="D583" s="13">
        <v>2025</v>
      </c>
      <c r="E583" s="13" t="str">
        <v>Sep</v>
      </c>
      <c r="F583" s="13">
        <v>9</v>
      </c>
      <c r="G583" s="10"/>
      <c r="H583" s="13">
        <f>NETWORKDAYS('RETAIL SALES DATA.'!K582,'RETAIL SALES DATA.'!L582)</f>
        <v>7</v>
      </c>
      <c r="I583" s="13">
        <v>9</v>
      </c>
      <c r="J583" s="10"/>
      <c r="K583" s="13">
        <v>16</v>
      </c>
      <c r="L583" s="13">
        <v>11</v>
      </c>
      <c r="M583" s="13">
        <v>45</v>
      </c>
      <c r="N583" s="13">
        <v>0</v>
      </c>
      <c r="O583" s="54">
        <f t="shared" si="18"/>
        <v>0.48958333333333331</v>
      </c>
      <c r="P583" s="55">
        <f t="shared" si="19"/>
        <v>0.69791666666666663</v>
      </c>
    </row>
    <row r="584" spans="1:16" x14ac:dyDescent="0.3">
      <c r="A584" s="25">
        <f>YEAR('RETAIL SALES DATA.'!K583)</f>
        <v>2025</v>
      </c>
      <c r="B584" s="13" t="str">
        <v>Sep</v>
      </c>
      <c r="C584" s="42">
        <f>DAY('RETAIL SALES DATA.'!K583)</f>
        <v>29</v>
      </c>
      <c r="D584" s="13">
        <v>2025</v>
      </c>
      <c r="E584" s="13" t="str">
        <v>Oct</v>
      </c>
      <c r="F584" s="13">
        <v>7</v>
      </c>
      <c r="G584" s="10"/>
      <c r="H584" s="13">
        <f>NETWORKDAYS('RETAIL SALES DATA.'!K583,'RETAIL SALES DATA.'!L583)</f>
        <v>7</v>
      </c>
      <c r="I584" s="13">
        <v>8</v>
      </c>
      <c r="J584" s="10"/>
      <c r="K584" s="13">
        <v>21</v>
      </c>
      <c r="L584" s="13">
        <v>9</v>
      </c>
      <c r="M584" s="13">
        <v>40</v>
      </c>
      <c r="N584" s="13">
        <v>0</v>
      </c>
      <c r="O584" s="54">
        <f t="shared" si="18"/>
        <v>0.40277777777777779</v>
      </c>
      <c r="P584" s="55">
        <f t="shared" si="19"/>
        <v>0.90277777777777779</v>
      </c>
    </row>
    <row r="585" spans="1:16" x14ac:dyDescent="0.3">
      <c r="A585" s="25">
        <f>YEAR('RETAIL SALES DATA.'!K584)</f>
        <v>2024</v>
      </c>
      <c r="B585" s="13" t="str">
        <v>Jun</v>
      </c>
      <c r="C585" s="42">
        <f>DAY('RETAIL SALES DATA.'!K584)</f>
        <v>14</v>
      </c>
      <c r="D585" s="13">
        <v>2024</v>
      </c>
      <c r="E585" s="13" t="str">
        <v>Jun</v>
      </c>
      <c r="F585" s="13">
        <v>19</v>
      </c>
      <c r="G585" s="10"/>
      <c r="H585" s="13">
        <f>NETWORKDAYS('RETAIL SALES DATA.'!K584,'RETAIL SALES DATA.'!L584)</f>
        <v>4</v>
      </c>
      <c r="I585" s="13">
        <v>5</v>
      </c>
      <c r="J585" s="10"/>
      <c r="K585" s="13">
        <v>16</v>
      </c>
      <c r="L585" s="13">
        <v>10</v>
      </c>
      <c r="M585" s="13">
        <v>59</v>
      </c>
      <c r="N585" s="13">
        <v>0</v>
      </c>
      <c r="O585" s="54">
        <f t="shared" si="18"/>
        <v>0.45763888888888887</v>
      </c>
      <c r="P585" s="55">
        <f t="shared" si="19"/>
        <v>0.70763888888888893</v>
      </c>
    </row>
    <row r="586" spans="1:16" x14ac:dyDescent="0.3">
      <c r="A586" s="25">
        <f>YEAR('RETAIL SALES DATA.'!K585)</f>
        <v>2025</v>
      </c>
      <c r="B586" s="13" t="str">
        <v>Jan</v>
      </c>
      <c r="C586" s="42">
        <f>DAY('RETAIL SALES DATA.'!K585)</f>
        <v>15</v>
      </c>
      <c r="D586" s="13">
        <v>2025</v>
      </c>
      <c r="E586" s="13" t="str">
        <v>Jan</v>
      </c>
      <c r="F586" s="13">
        <v>25</v>
      </c>
      <c r="G586" s="10"/>
      <c r="H586" s="13">
        <f>NETWORKDAYS('RETAIL SALES DATA.'!K585,'RETAIL SALES DATA.'!L585)</f>
        <v>8</v>
      </c>
      <c r="I586" s="13">
        <v>10</v>
      </c>
      <c r="J586" s="10"/>
      <c r="K586" s="13">
        <v>21</v>
      </c>
      <c r="L586" s="13">
        <v>9</v>
      </c>
      <c r="M586" s="13">
        <v>4</v>
      </c>
      <c r="N586" s="13">
        <v>0</v>
      </c>
      <c r="O586" s="54">
        <f t="shared" si="18"/>
        <v>0.37777777777777777</v>
      </c>
      <c r="P586" s="55">
        <f t="shared" si="19"/>
        <v>0.87777777777777777</v>
      </c>
    </row>
    <row r="587" spans="1:16" x14ac:dyDescent="0.3">
      <c r="A587" s="25">
        <f>YEAR('RETAIL SALES DATA.'!K586)</f>
        <v>2025</v>
      </c>
      <c r="B587" s="13" t="str">
        <v>Jul</v>
      </c>
      <c r="C587" s="42">
        <f>DAY('RETAIL SALES DATA.'!K586)</f>
        <v>26</v>
      </c>
      <c r="D587" s="13">
        <v>2025</v>
      </c>
      <c r="E587" s="13" t="str">
        <v>Aug</v>
      </c>
      <c r="F587" s="13">
        <v>3</v>
      </c>
      <c r="G587" s="10"/>
      <c r="H587" s="13">
        <f>NETWORKDAYS('RETAIL SALES DATA.'!K586,'RETAIL SALES DATA.'!L586)</f>
        <v>5</v>
      </c>
      <c r="I587" s="13">
        <v>8</v>
      </c>
      <c r="J587" s="10"/>
      <c r="K587" s="13">
        <v>2</v>
      </c>
      <c r="L587" s="13">
        <v>10</v>
      </c>
      <c r="M587" s="13">
        <v>20</v>
      </c>
      <c r="N587" s="13">
        <v>0</v>
      </c>
      <c r="O587" s="54">
        <f t="shared" si="18"/>
        <v>0.43055555555555558</v>
      </c>
      <c r="P587" s="55">
        <f t="shared" si="19"/>
        <v>9.7222222222222224E-2</v>
      </c>
    </row>
    <row r="588" spans="1:16" x14ac:dyDescent="0.3">
      <c r="A588" s="25">
        <f>YEAR('RETAIL SALES DATA.'!K587)</f>
        <v>2026</v>
      </c>
      <c r="B588" s="13" t="str">
        <v>Jan</v>
      </c>
      <c r="C588" s="42">
        <f>DAY('RETAIL SALES DATA.'!K587)</f>
        <v>15</v>
      </c>
      <c r="D588" s="13">
        <v>2026</v>
      </c>
      <c r="E588" s="13" t="str">
        <v>Jan</v>
      </c>
      <c r="F588" s="13">
        <v>22</v>
      </c>
      <c r="G588" s="10"/>
      <c r="H588" s="13">
        <f>NETWORKDAYS('RETAIL SALES DATA.'!K587,'RETAIL SALES DATA.'!L587)</f>
        <v>6</v>
      </c>
      <c r="I588" s="13">
        <v>7</v>
      </c>
      <c r="J588" s="10"/>
      <c r="K588" s="13">
        <v>4</v>
      </c>
      <c r="L588" s="13">
        <v>9</v>
      </c>
      <c r="M588" s="13">
        <v>13</v>
      </c>
      <c r="N588" s="13">
        <v>0</v>
      </c>
      <c r="O588" s="54">
        <f t="shared" si="18"/>
        <v>0.3840277777777778</v>
      </c>
      <c r="P588" s="55">
        <f t="shared" si="19"/>
        <v>0.17569444444444443</v>
      </c>
    </row>
    <row r="589" spans="1:16" x14ac:dyDescent="0.3">
      <c r="A589" s="25">
        <f>YEAR('RETAIL SALES DATA.'!K588)</f>
        <v>2024</v>
      </c>
      <c r="B589" s="13" t="str">
        <v>Aug</v>
      </c>
      <c r="C589" s="42">
        <f>DAY('RETAIL SALES DATA.'!K588)</f>
        <v>14</v>
      </c>
      <c r="D589" s="13">
        <v>2024</v>
      </c>
      <c r="E589" s="13" t="str">
        <v>Aug</v>
      </c>
      <c r="F589" s="13">
        <v>24</v>
      </c>
      <c r="G589" s="10"/>
      <c r="H589" s="13">
        <f>NETWORKDAYS('RETAIL SALES DATA.'!K588,'RETAIL SALES DATA.'!L588)</f>
        <v>8</v>
      </c>
      <c r="I589" s="13">
        <v>10</v>
      </c>
      <c r="J589" s="10"/>
      <c r="K589" s="13">
        <v>9</v>
      </c>
      <c r="L589" s="13">
        <v>10</v>
      </c>
      <c r="M589" s="13">
        <v>56</v>
      </c>
      <c r="N589" s="13">
        <v>0</v>
      </c>
      <c r="O589" s="54">
        <f t="shared" si="18"/>
        <v>0.45555555555555555</v>
      </c>
      <c r="P589" s="55">
        <f t="shared" si="19"/>
        <v>0.41388888888888886</v>
      </c>
    </row>
    <row r="590" spans="1:16" x14ac:dyDescent="0.3">
      <c r="A590" s="25">
        <f>YEAR('RETAIL SALES DATA.'!K589)</f>
        <v>2025</v>
      </c>
      <c r="B590" s="13" t="str">
        <v>Jan</v>
      </c>
      <c r="C590" s="42">
        <f>DAY('RETAIL SALES DATA.'!K589)</f>
        <v>26</v>
      </c>
      <c r="D590" s="13">
        <v>2025</v>
      </c>
      <c r="E590" s="13" t="str">
        <v>Feb</v>
      </c>
      <c r="F590" s="13">
        <v>1</v>
      </c>
      <c r="G590" s="10"/>
      <c r="H590" s="13">
        <f>NETWORKDAYS('RETAIL SALES DATA.'!K589,'RETAIL SALES DATA.'!L589)</f>
        <v>5</v>
      </c>
      <c r="I590" s="13">
        <v>6</v>
      </c>
      <c r="J590" s="10"/>
      <c r="K590" s="13">
        <v>12</v>
      </c>
      <c r="L590" s="13">
        <v>9</v>
      </c>
      <c r="M590" s="13">
        <v>53</v>
      </c>
      <c r="N590" s="13">
        <v>0</v>
      </c>
      <c r="O590" s="54">
        <f t="shared" si="18"/>
        <v>0.41180555555555554</v>
      </c>
      <c r="P590" s="55">
        <f t="shared" si="19"/>
        <v>0.53680555555555554</v>
      </c>
    </row>
    <row r="591" spans="1:16" x14ac:dyDescent="0.3">
      <c r="A591" s="25">
        <f>YEAR('RETAIL SALES DATA.'!K590)</f>
        <v>2025</v>
      </c>
      <c r="B591" s="13" t="str">
        <v>Apr</v>
      </c>
      <c r="C591" s="42">
        <f>DAY('RETAIL SALES DATA.'!K590)</f>
        <v>8</v>
      </c>
      <c r="D591" s="13">
        <v>2025</v>
      </c>
      <c r="E591" s="13" t="str">
        <v>Apr</v>
      </c>
      <c r="F591" s="13">
        <v>18</v>
      </c>
      <c r="G591" s="10"/>
      <c r="H591" s="13">
        <f>NETWORKDAYS('RETAIL SALES DATA.'!K590,'RETAIL SALES DATA.'!L590)</f>
        <v>9</v>
      </c>
      <c r="I591" s="13">
        <v>10</v>
      </c>
      <c r="J591" s="10"/>
      <c r="K591" s="13">
        <v>16</v>
      </c>
      <c r="L591" s="13">
        <v>10</v>
      </c>
      <c r="M591" s="13">
        <v>26</v>
      </c>
      <c r="N591" s="13">
        <v>0</v>
      </c>
      <c r="O591" s="54">
        <f t="shared" si="18"/>
        <v>0.43472222222222223</v>
      </c>
      <c r="P591" s="55">
        <f t="shared" si="19"/>
        <v>0.68472222222222223</v>
      </c>
    </row>
    <row r="592" spans="1:16" x14ac:dyDescent="0.3">
      <c r="A592" s="25">
        <f>YEAR('RETAIL SALES DATA.'!K591)</f>
        <v>2025</v>
      </c>
      <c r="B592" s="13" t="str">
        <v>Dec</v>
      </c>
      <c r="C592" s="42">
        <f>DAY('RETAIL SALES DATA.'!K591)</f>
        <v>23</v>
      </c>
      <c r="D592" s="13">
        <v>2025</v>
      </c>
      <c r="E592" s="13" t="str">
        <v>Dec</v>
      </c>
      <c r="F592" s="13">
        <v>31</v>
      </c>
      <c r="G592" s="10"/>
      <c r="H592" s="13">
        <f>NETWORKDAYS('RETAIL SALES DATA.'!K591,'RETAIL SALES DATA.'!L591)</f>
        <v>7</v>
      </c>
      <c r="I592" s="13">
        <v>8</v>
      </c>
      <c r="J592" s="10"/>
      <c r="K592" s="13">
        <v>19</v>
      </c>
      <c r="L592" s="13">
        <v>10</v>
      </c>
      <c r="M592" s="13">
        <v>7</v>
      </c>
      <c r="N592" s="13">
        <v>0</v>
      </c>
      <c r="O592" s="54">
        <f t="shared" si="18"/>
        <v>0.42152777777777778</v>
      </c>
      <c r="P592" s="55">
        <f t="shared" si="19"/>
        <v>0.79652777777777772</v>
      </c>
    </row>
    <row r="593" spans="1:16" x14ac:dyDescent="0.3">
      <c r="A593" s="25">
        <f>YEAR('RETAIL SALES DATA.'!K592)</f>
        <v>2026</v>
      </c>
      <c r="B593" s="13" t="str">
        <v>Mar</v>
      </c>
      <c r="C593" s="42">
        <f>DAY('RETAIL SALES DATA.'!K592)</f>
        <v>28</v>
      </c>
      <c r="D593" s="13">
        <v>2026</v>
      </c>
      <c r="E593" s="13" t="str">
        <v>Mar</v>
      </c>
      <c r="F593" s="13">
        <v>29</v>
      </c>
      <c r="G593" s="10"/>
      <c r="H593" s="13">
        <f>NETWORKDAYS('RETAIL SALES DATA.'!K592,'RETAIL SALES DATA.'!L592)</f>
        <v>0</v>
      </c>
      <c r="I593" s="13">
        <v>1</v>
      </c>
      <c r="J593" s="10"/>
      <c r="K593" s="13">
        <v>16</v>
      </c>
      <c r="L593" s="13">
        <v>11</v>
      </c>
      <c r="M593" s="13">
        <v>11</v>
      </c>
      <c r="N593" s="13">
        <v>0</v>
      </c>
      <c r="O593" s="54">
        <f t="shared" si="18"/>
        <v>0.46597222222222223</v>
      </c>
      <c r="P593" s="55">
        <f t="shared" si="19"/>
        <v>0.6743055555555556</v>
      </c>
    </row>
    <row r="594" spans="1:16" x14ac:dyDescent="0.3">
      <c r="A594" s="25">
        <f>YEAR('RETAIL SALES DATA.'!K593)</f>
        <v>2024</v>
      </c>
      <c r="B594" s="13" t="str">
        <v>Jun</v>
      </c>
      <c r="C594" s="42">
        <f>DAY('RETAIL SALES DATA.'!K593)</f>
        <v>27</v>
      </c>
      <c r="D594" s="13">
        <v>2024</v>
      </c>
      <c r="E594" s="13" t="str">
        <v>Jul</v>
      </c>
      <c r="F594" s="13">
        <v>5</v>
      </c>
      <c r="G594" s="10"/>
      <c r="H594" s="13">
        <f>NETWORKDAYS('RETAIL SALES DATA.'!K593,'RETAIL SALES DATA.'!L593)</f>
        <v>7</v>
      </c>
      <c r="I594" s="13">
        <v>8</v>
      </c>
      <c r="J594" s="10"/>
      <c r="K594" s="13">
        <v>21</v>
      </c>
      <c r="L594" s="13">
        <v>9</v>
      </c>
      <c r="M594" s="13">
        <v>40</v>
      </c>
      <c r="N594" s="13">
        <v>0</v>
      </c>
      <c r="O594" s="54">
        <f t="shared" si="18"/>
        <v>0.40277777777777779</v>
      </c>
      <c r="P594" s="55">
        <f t="shared" si="19"/>
        <v>0.90277777777777779</v>
      </c>
    </row>
    <row r="595" spans="1:16" x14ac:dyDescent="0.3">
      <c r="A595" s="25">
        <f>YEAR('RETAIL SALES DATA.'!K594)</f>
        <v>2025</v>
      </c>
      <c r="B595" s="13" t="str">
        <v>Feb</v>
      </c>
      <c r="C595" s="42">
        <f>DAY('RETAIL SALES DATA.'!K594)</f>
        <v>27</v>
      </c>
      <c r="D595" s="13">
        <v>2025</v>
      </c>
      <c r="E595" s="13" t="str">
        <v>Feb</v>
      </c>
      <c r="F595" s="13">
        <v>28</v>
      </c>
      <c r="G595" s="10"/>
      <c r="H595" s="13">
        <f>NETWORKDAYS('RETAIL SALES DATA.'!K594,'RETAIL SALES DATA.'!L594)</f>
        <v>2</v>
      </c>
      <c r="I595" s="13">
        <v>1</v>
      </c>
      <c r="J595" s="10"/>
      <c r="K595" s="13">
        <v>12</v>
      </c>
      <c r="L595" s="13">
        <v>11</v>
      </c>
      <c r="M595" s="13">
        <v>11</v>
      </c>
      <c r="N595" s="13">
        <v>0</v>
      </c>
      <c r="O595" s="54">
        <f t="shared" si="18"/>
        <v>0.46597222222222223</v>
      </c>
      <c r="P595" s="55">
        <f t="shared" si="19"/>
        <v>0.50763888888888886</v>
      </c>
    </row>
    <row r="596" spans="1:16" x14ac:dyDescent="0.3">
      <c r="A596" s="25">
        <f>YEAR('RETAIL SALES DATA.'!K595)</f>
        <v>2025</v>
      </c>
      <c r="B596" s="13" t="str">
        <v>May</v>
      </c>
      <c r="C596" s="42">
        <f>DAY('RETAIL SALES DATA.'!K595)</f>
        <v>12</v>
      </c>
      <c r="D596" s="13">
        <v>2025</v>
      </c>
      <c r="E596" s="13" t="str">
        <v>May</v>
      </c>
      <c r="F596" s="13">
        <v>15</v>
      </c>
      <c r="G596" s="10"/>
      <c r="H596" s="13">
        <f>NETWORKDAYS('RETAIL SALES DATA.'!K595,'RETAIL SALES DATA.'!L595)</f>
        <v>4</v>
      </c>
      <c r="I596" s="13">
        <v>3</v>
      </c>
      <c r="J596" s="10"/>
      <c r="K596" s="13">
        <v>21</v>
      </c>
      <c r="L596" s="13">
        <v>10</v>
      </c>
      <c r="M596" s="13">
        <v>22</v>
      </c>
      <c r="N596" s="13">
        <v>0</v>
      </c>
      <c r="O596" s="54">
        <f t="shared" si="18"/>
        <v>0.43194444444444446</v>
      </c>
      <c r="P596" s="55">
        <f t="shared" si="19"/>
        <v>0.89027777777777772</v>
      </c>
    </row>
    <row r="597" spans="1:16" x14ac:dyDescent="0.3">
      <c r="A597" s="25">
        <f>YEAR('RETAIL SALES DATA.'!K596)</f>
        <v>2025</v>
      </c>
      <c r="B597" s="13" t="str">
        <v>May</v>
      </c>
      <c r="C597" s="42">
        <f>DAY('RETAIL SALES DATA.'!K596)</f>
        <v>28</v>
      </c>
      <c r="D597" s="13">
        <v>2025</v>
      </c>
      <c r="E597" s="13" t="str">
        <v>May</v>
      </c>
      <c r="F597" s="13">
        <v>31</v>
      </c>
      <c r="G597" s="10"/>
      <c r="H597" s="13">
        <f>NETWORKDAYS('RETAIL SALES DATA.'!K596,'RETAIL SALES DATA.'!L596)</f>
        <v>3</v>
      </c>
      <c r="I597" s="13">
        <v>3</v>
      </c>
      <c r="J597" s="10"/>
      <c r="K597" s="13">
        <v>16</v>
      </c>
      <c r="L597" s="13">
        <v>10</v>
      </c>
      <c r="M597" s="13">
        <v>15</v>
      </c>
      <c r="N597" s="13">
        <v>0</v>
      </c>
      <c r="O597" s="54">
        <f t="shared" si="18"/>
        <v>0.42708333333333331</v>
      </c>
      <c r="P597" s="55">
        <f t="shared" si="19"/>
        <v>0.67708333333333337</v>
      </c>
    </row>
    <row r="598" spans="1:16" x14ac:dyDescent="0.3">
      <c r="A598" s="25">
        <f>YEAR('RETAIL SALES DATA.'!K597)</f>
        <v>2025</v>
      </c>
      <c r="B598" s="13" t="str">
        <v>Nov</v>
      </c>
      <c r="C598" s="42">
        <f>DAY('RETAIL SALES DATA.'!K597)</f>
        <v>21</v>
      </c>
      <c r="D598" s="13">
        <v>2025</v>
      </c>
      <c r="E598" s="13" t="str">
        <v>Nov</v>
      </c>
      <c r="F598" s="13">
        <v>22</v>
      </c>
      <c r="G598" s="10"/>
      <c r="H598" s="13">
        <f>NETWORKDAYS('RETAIL SALES DATA.'!K597,'RETAIL SALES DATA.'!L597)</f>
        <v>1</v>
      </c>
      <c r="I598" s="13">
        <v>1</v>
      </c>
      <c r="J598" s="10"/>
      <c r="K598" s="13">
        <v>2</v>
      </c>
      <c r="L598" s="13">
        <v>10</v>
      </c>
      <c r="M598" s="13">
        <v>53</v>
      </c>
      <c r="N598" s="13">
        <v>0</v>
      </c>
      <c r="O598" s="54">
        <f t="shared" si="18"/>
        <v>0.45347222222222222</v>
      </c>
      <c r="P598" s="55">
        <f t="shared" si="19"/>
        <v>0.12013888888888889</v>
      </c>
    </row>
    <row r="599" spans="1:16" x14ac:dyDescent="0.3">
      <c r="A599" s="25">
        <f>YEAR('RETAIL SALES DATA.'!K598)</f>
        <v>2025</v>
      </c>
      <c r="B599" s="13" t="str">
        <v>May</v>
      </c>
      <c r="C599" s="42">
        <f>DAY('RETAIL SALES DATA.'!K598)</f>
        <v>23</v>
      </c>
      <c r="D599" s="13">
        <v>2025</v>
      </c>
      <c r="E599" s="13" t="str">
        <v>May</v>
      </c>
      <c r="F599" s="13">
        <v>26</v>
      </c>
      <c r="G599" s="10"/>
      <c r="H599" s="13">
        <f>NETWORKDAYS('RETAIL SALES DATA.'!K598,'RETAIL SALES DATA.'!L598)</f>
        <v>2</v>
      </c>
      <c r="I599" s="13">
        <v>3</v>
      </c>
      <c r="J599" s="10"/>
      <c r="K599" s="13">
        <v>19</v>
      </c>
      <c r="L599" s="13">
        <v>10</v>
      </c>
      <c r="M599" s="13">
        <v>5</v>
      </c>
      <c r="N599" s="13">
        <v>0</v>
      </c>
      <c r="O599" s="54">
        <f t="shared" si="18"/>
        <v>0.4201388888888889</v>
      </c>
      <c r="P599" s="55">
        <f t="shared" si="19"/>
        <v>0.79513888888888884</v>
      </c>
    </row>
    <row r="600" spans="1:16" x14ac:dyDescent="0.3">
      <c r="A600" s="25">
        <f>YEAR('RETAIL SALES DATA.'!K599)</f>
        <v>2026</v>
      </c>
      <c r="B600" s="13" t="str">
        <v>Mar</v>
      </c>
      <c r="C600" s="42">
        <f>DAY('RETAIL SALES DATA.'!K599)</f>
        <v>21</v>
      </c>
      <c r="D600" s="13">
        <v>2026</v>
      </c>
      <c r="E600" s="13" t="str">
        <v>Mar</v>
      </c>
      <c r="F600" s="13">
        <v>24</v>
      </c>
      <c r="G600" s="10"/>
      <c r="H600" s="13">
        <f>NETWORKDAYS('RETAIL SALES DATA.'!K599,'RETAIL SALES DATA.'!L599)</f>
        <v>2</v>
      </c>
      <c r="I600" s="13">
        <v>3</v>
      </c>
      <c r="J600" s="10"/>
      <c r="K600" s="13">
        <v>12</v>
      </c>
      <c r="L600" s="13">
        <v>10</v>
      </c>
      <c r="M600" s="13">
        <v>2</v>
      </c>
      <c r="N600" s="13">
        <v>0</v>
      </c>
      <c r="O600" s="54">
        <f t="shared" si="18"/>
        <v>0.41805555555555557</v>
      </c>
      <c r="P600" s="55">
        <f t="shared" si="19"/>
        <v>0.50138888888888888</v>
      </c>
    </row>
    <row r="601" spans="1:16" x14ac:dyDescent="0.3">
      <c r="A601" s="25">
        <f>YEAR('RETAIL SALES DATA.'!K600)</f>
        <v>2026</v>
      </c>
      <c r="B601" s="13" t="str">
        <v>Jan</v>
      </c>
      <c r="C601" s="42">
        <f>DAY('RETAIL SALES DATA.'!K600)</f>
        <v>7</v>
      </c>
      <c r="D601" s="13">
        <v>2026</v>
      </c>
      <c r="E601" s="13" t="str">
        <v>Jan</v>
      </c>
      <c r="F601" s="13">
        <v>15</v>
      </c>
      <c r="G601" s="10"/>
      <c r="H601" s="13">
        <f>NETWORKDAYS('RETAIL SALES DATA.'!K600,'RETAIL SALES DATA.'!L600)</f>
        <v>7</v>
      </c>
      <c r="I601" s="13">
        <v>8</v>
      </c>
      <c r="J601" s="10"/>
      <c r="K601" s="13">
        <v>9</v>
      </c>
      <c r="L601" s="13">
        <v>10</v>
      </c>
      <c r="M601" s="13">
        <v>21</v>
      </c>
      <c r="N601" s="13">
        <v>0</v>
      </c>
      <c r="O601" s="54">
        <f t="shared" si="18"/>
        <v>0.43125000000000002</v>
      </c>
      <c r="P601" s="55">
        <f t="shared" si="19"/>
        <v>0.38958333333333334</v>
      </c>
    </row>
    <row r="602" spans="1:16" x14ac:dyDescent="0.3">
      <c r="A602" s="25">
        <f>YEAR('RETAIL SALES DATA.'!K601)</f>
        <v>2025</v>
      </c>
      <c r="B602" s="13" t="str">
        <v>Mar</v>
      </c>
      <c r="C602" s="42">
        <f>DAY('RETAIL SALES DATA.'!K601)</f>
        <v>21</v>
      </c>
      <c r="D602" s="13">
        <v>2025</v>
      </c>
      <c r="E602" s="13" t="str">
        <v>Mar</v>
      </c>
      <c r="F602" s="13">
        <v>27</v>
      </c>
      <c r="G602" s="10"/>
      <c r="H602" s="13">
        <f>NETWORKDAYS('RETAIL SALES DATA.'!K601,'RETAIL SALES DATA.'!L601)</f>
        <v>5</v>
      </c>
      <c r="I602" s="13">
        <v>6</v>
      </c>
      <c r="J602" s="10"/>
      <c r="K602" s="13">
        <v>21</v>
      </c>
      <c r="L602" s="13">
        <v>8</v>
      </c>
      <c r="M602" s="13">
        <v>49</v>
      </c>
      <c r="N602" s="13">
        <v>0</v>
      </c>
      <c r="O602" s="54">
        <f t="shared" si="18"/>
        <v>0.36736111111111114</v>
      </c>
      <c r="P602" s="55">
        <f t="shared" si="19"/>
        <v>0.90902777777777777</v>
      </c>
    </row>
    <row r="603" spans="1:16" x14ac:dyDescent="0.3">
      <c r="A603" s="25">
        <f>YEAR('RETAIL SALES DATA.'!K602)</f>
        <v>2025</v>
      </c>
      <c r="B603" s="13" t="str">
        <v>Aug</v>
      </c>
      <c r="C603" s="42">
        <f>DAY('RETAIL SALES DATA.'!K602)</f>
        <v>1</v>
      </c>
      <c r="D603" s="13">
        <v>2025</v>
      </c>
      <c r="E603" s="13" t="str">
        <v>Aug</v>
      </c>
      <c r="F603" s="13">
        <v>2</v>
      </c>
      <c r="G603" s="10"/>
      <c r="H603" s="13">
        <f>NETWORKDAYS('RETAIL SALES DATA.'!K602,'RETAIL SALES DATA.'!L602)</f>
        <v>1</v>
      </c>
      <c r="I603" s="13">
        <v>1</v>
      </c>
      <c r="J603" s="10"/>
      <c r="K603" s="13">
        <v>9</v>
      </c>
      <c r="L603" s="13">
        <v>9</v>
      </c>
      <c r="M603" s="13">
        <v>32</v>
      </c>
      <c r="N603" s="13">
        <v>0</v>
      </c>
      <c r="O603" s="54">
        <f t="shared" si="18"/>
        <v>0.3972222222222222</v>
      </c>
      <c r="P603" s="55">
        <f t="shared" si="19"/>
        <v>0.3972222222222222</v>
      </c>
    </row>
    <row r="604" spans="1:16" x14ac:dyDescent="0.3">
      <c r="A604" s="25">
        <f>YEAR('RETAIL SALES DATA.'!K603)</f>
        <v>2024</v>
      </c>
      <c r="B604" s="13" t="str">
        <v>Jun</v>
      </c>
      <c r="C604" s="42">
        <f>DAY('RETAIL SALES DATA.'!K603)</f>
        <v>15</v>
      </c>
      <c r="D604" s="13">
        <v>2024</v>
      </c>
      <c r="E604" s="13" t="str">
        <v>Jun</v>
      </c>
      <c r="F604" s="13">
        <v>23</v>
      </c>
      <c r="G604" s="10"/>
      <c r="H604" s="13">
        <f>NETWORKDAYS('RETAIL SALES DATA.'!K603,'RETAIL SALES DATA.'!L603)</f>
        <v>5</v>
      </c>
      <c r="I604" s="13">
        <v>8</v>
      </c>
      <c r="J604" s="10"/>
      <c r="K604" s="13">
        <v>0</v>
      </c>
      <c r="L604" s="13">
        <v>11</v>
      </c>
      <c r="M604" s="13">
        <v>42</v>
      </c>
      <c r="N604" s="13">
        <v>0</v>
      </c>
      <c r="O604" s="54">
        <f t="shared" si="18"/>
        <v>0.48749999999999999</v>
      </c>
      <c r="P604" s="55">
        <f t="shared" si="19"/>
        <v>2.9166666666666667E-2</v>
      </c>
    </row>
    <row r="605" spans="1:16" x14ac:dyDescent="0.3">
      <c r="A605" s="25">
        <f>YEAR('RETAIL SALES DATA.'!K604)</f>
        <v>2025</v>
      </c>
      <c r="B605" s="13" t="str">
        <v>May</v>
      </c>
      <c r="C605" s="42">
        <f>DAY('RETAIL SALES DATA.'!K604)</f>
        <v>28</v>
      </c>
      <c r="D605" s="13">
        <v>2025</v>
      </c>
      <c r="E605" s="13" t="str">
        <v>May</v>
      </c>
      <c r="F605" s="13">
        <v>30</v>
      </c>
      <c r="G605" s="10"/>
      <c r="H605" s="13">
        <f>NETWORKDAYS('RETAIL SALES DATA.'!K604,'RETAIL SALES DATA.'!L604)</f>
        <v>3</v>
      </c>
      <c r="I605" s="13">
        <v>2</v>
      </c>
      <c r="J605" s="10"/>
      <c r="K605" s="13">
        <v>16</v>
      </c>
      <c r="L605" s="13">
        <v>10</v>
      </c>
      <c r="M605" s="13">
        <v>31</v>
      </c>
      <c r="N605" s="13">
        <v>0</v>
      </c>
      <c r="O605" s="54">
        <f t="shared" si="18"/>
        <v>0.43819444444444444</v>
      </c>
      <c r="P605" s="55">
        <f t="shared" si="19"/>
        <v>0.68819444444444444</v>
      </c>
    </row>
    <row r="606" spans="1:16" x14ac:dyDescent="0.3">
      <c r="A606" s="25">
        <f>YEAR('RETAIL SALES DATA.'!K605)</f>
        <v>2025</v>
      </c>
      <c r="B606" s="13" t="str">
        <v>Jul</v>
      </c>
      <c r="C606" s="42">
        <f>DAY('RETAIL SALES DATA.'!K605)</f>
        <v>7</v>
      </c>
      <c r="D606" s="13">
        <v>2025</v>
      </c>
      <c r="E606" s="13" t="str">
        <v>Jul</v>
      </c>
      <c r="F606" s="13">
        <v>17</v>
      </c>
      <c r="G606" s="10"/>
      <c r="H606" s="13">
        <f>NETWORKDAYS('RETAIL SALES DATA.'!K605,'RETAIL SALES DATA.'!L605)</f>
        <v>9</v>
      </c>
      <c r="I606" s="13">
        <v>10</v>
      </c>
      <c r="J606" s="10"/>
      <c r="K606" s="13">
        <v>21</v>
      </c>
      <c r="L606" s="13">
        <v>11</v>
      </c>
      <c r="M606" s="13">
        <v>57</v>
      </c>
      <c r="N606" s="13">
        <v>0</v>
      </c>
      <c r="O606" s="54">
        <f t="shared" si="18"/>
        <v>0.49791666666666667</v>
      </c>
      <c r="P606" s="55">
        <f t="shared" si="19"/>
        <v>0.9145833333333333</v>
      </c>
    </row>
    <row r="607" spans="1:16" x14ac:dyDescent="0.3">
      <c r="A607" s="25">
        <f>YEAR('RETAIL SALES DATA.'!K606)</f>
        <v>2025</v>
      </c>
      <c r="B607" s="13" t="str">
        <v>Feb</v>
      </c>
      <c r="C607" s="42">
        <f>DAY('RETAIL SALES DATA.'!K606)</f>
        <v>11</v>
      </c>
      <c r="D607" s="13">
        <v>2025</v>
      </c>
      <c r="E607" s="13" t="str">
        <v>Feb</v>
      </c>
      <c r="F607" s="13">
        <v>16</v>
      </c>
      <c r="G607" s="10"/>
      <c r="H607" s="13">
        <f>NETWORKDAYS('RETAIL SALES DATA.'!K606,'RETAIL SALES DATA.'!L606)</f>
        <v>4</v>
      </c>
      <c r="I607" s="13">
        <v>5</v>
      </c>
      <c r="J607" s="10"/>
      <c r="K607" s="13">
        <v>4</v>
      </c>
      <c r="L607" s="13">
        <v>9</v>
      </c>
      <c r="M607" s="13">
        <v>35</v>
      </c>
      <c r="N607" s="13">
        <v>0</v>
      </c>
      <c r="O607" s="54">
        <f t="shared" si="18"/>
        <v>0.39930555555555558</v>
      </c>
      <c r="P607" s="55">
        <f t="shared" si="19"/>
        <v>0.19097222222222221</v>
      </c>
    </row>
    <row r="608" spans="1:16" x14ac:dyDescent="0.3">
      <c r="A608" s="25">
        <f>YEAR('RETAIL SALES DATA.'!K607)</f>
        <v>2026</v>
      </c>
      <c r="B608" s="13" t="str">
        <v>Apr</v>
      </c>
      <c r="C608" s="42">
        <f>DAY('RETAIL SALES DATA.'!K607)</f>
        <v>9</v>
      </c>
      <c r="D608" s="13">
        <v>2026</v>
      </c>
      <c r="E608" s="13" t="str">
        <v>Apr</v>
      </c>
      <c r="F608" s="13">
        <v>16</v>
      </c>
      <c r="G608" s="10"/>
      <c r="H608" s="13">
        <f>NETWORKDAYS('RETAIL SALES DATA.'!K607,'RETAIL SALES DATA.'!L607)</f>
        <v>6</v>
      </c>
      <c r="I608" s="13">
        <v>7</v>
      </c>
      <c r="J608" s="10"/>
      <c r="K608" s="13">
        <v>0</v>
      </c>
      <c r="L608" s="13">
        <v>10</v>
      </c>
      <c r="M608" s="13">
        <v>22</v>
      </c>
      <c r="N608" s="13">
        <v>0</v>
      </c>
      <c r="O608" s="54">
        <f t="shared" si="18"/>
        <v>0.43194444444444446</v>
      </c>
      <c r="P608" s="55">
        <f t="shared" si="19"/>
        <v>1.5277777777777777E-2</v>
      </c>
    </row>
    <row r="609" spans="1:16" x14ac:dyDescent="0.3">
      <c r="A609" s="25">
        <f>YEAR('RETAIL SALES DATA.'!K608)</f>
        <v>2024</v>
      </c>
      <c r="B609" s="13" t="str">
        <v>Sep</v>
      </c>
      <c r="C609" s="42">
        <f>DAY('RETAIL SALES DATA.'!K608)</f>
        <v>4</v>
      </c>
      <c r="D609" s="13">
        <v>2024</v>
      </c>
      <c r="E609" s="13" t="str">
        <v>Sep</v>
      </c>
      <c r="F609" s="13">
        <v>14</v>
      </c>
      <c r="G609" s="10"/>
      <c r="H609" s="13">
        <f>NETWORKDAYS('RETAIL SALES DATA.'!K608,'RETAIL SALES DATA.'!L608)</f>
        <v>8</v>
      </c>
      <c r="I609" s="13">
        <v>10</v>
      </c>
      <c r="J609" s="10"/>
      <c r="K609" s="13">
        <v>4</v>
      </c>
      <c r="L609" s="13">
        <v>9</v>
      </c>
      <c r="M609" s="13">
        <v>6</v>
      </c>
      <c r="N609" s="13">
        <v>0</v>
      </c>
      <c r="O609" s="54">
        <f t="shared" si="18"/>
        <v>0.37916666666666665</v>
      </c>
      <c r="P609" s="55">
        <f t="shared" si="19"/>
        <v>0.17083333333333334</v>
      </c>
    </row>
    <row r="610" spans="1:16" x14ac:dyDescent="0.3">
      <c r="A610" s="25">
        <f>YEAR('RETAIL SALES DATA.'!K609)</f>
        <v>2024</v>
      </c>
      <c r="B610" s="13" t="str">
        <v>Jul</v>
      </c>
      <c r="C610" s="42">
        <f>DAY('RETAIL SALES DATA.'!K609)</f>
        <v>1</v>
      </c>
      <c r="D610" s="13">
        <v>2024</v>
      </c>
      <c r="E610" s="13" t="str">
        <v>Jul</v>
      </c>
      <c r="F610" s="13">
        <v>7</v>
      </c>
      <c r="G610" s="10"/>
      <c r="H610" s="13">
        <f>NETWORKDAYS('RETAIL SALES DATA.'!K609,'RETAIL SALES DATA.'!L609)</f>
        <v>5</v>
      </c>
      <c r="I610" s="13">
        <v>6</v>
      </c>
      <c r="J610" s="10"/>
      <c r="K610" s="13">
        <v>0</v>
      </c>
      <c r="L610" s="13">
        <v>8</v>
      </c>
      <c r="M610" s="13">
        <v>58</v>
      </c>
      <c r="N610" s="13">
        <v>0</v>
      </c>
      <c r="O610" s="54">
        <f t="shared" si="18"/>
        <v>0.37361111111111112</v>
      </c>
      <c r="P610" s="55">
        <f t="shared" si="19"/>
        <v>4.027777777777778E-2</v>
      </c>
    </row>
    <row r="611" spans="1:16" x14ac:dyDescent="0.3">
      <c r="A611" s="25">
        <f>YEAR('RETAIL SALES DATA.'!K610)</f>
        <v>2025</v>
      </c>
      <c r="B611" s="13" t="str">
        <v>Jan</v>
      </c>
      <c r="C611" s="42">
        <f>DAY('RETAIL SALES DATA.'!K610)</f>
        <v>4</v>
      </c>
      <c r="D611" s="13">
        <v>2025</v>
      </c>
      <c r="E611" s="13" t="str">
        <v>Jan</v>
      </c>
      <c r="F611" s="13">
        <v>8</v>
      </c>
      <c r="G611" s="10"/>
      <c r="H611" s="13">
        <f>NETWORKDAYS('RETAIL SALES DATA.'!K610,'RETAIL SALES DATA.'!L610)</f>
        <v>3</v>
      </c>
      <c r="I611" s="13">
        <v>4</v>
      </c>
      <c r="J611" s="10"/>
      <c r="K611" s="13">
        <v>7</v>
      </c>
      <c r="L611" s="13">
        <v>9</v>
      </c>
      <c r="M611" s="13">
        <v>1</v>
      </c>
      <c r="N611" s="13">
        <v>0</v>
      </c>
      <c r="O611" s="54">
        <f t="shared" si="18"/>
        <v>0.37569444444444444</v>
      </c>
      <c r="P611" s="55">
        <f t="shared" si="19"/>
        <v>0.29236111111111113</v>
      </c>
    </row>
    <row r="612" spans="1:16" x14ac:dyDescent="0.3">
      <c r="A612" s="25">
        <f>YEAR('RETAIL SALES DATA.'!K611)</f>
        <v>2025</v>
      </c>
      <c r="B612" s="13" t="str">
        <v>Jan</v>
      </c>
      <c r="C612" s="42">
        <f>DAY('RETAIL SALES DATA.'!K611)</f>
        <v>17</v>
      </c>
      <c r="D612" s="13">
        <v>2025</v>
      </c>
      <c r="E612" s="13" t="str">
        <v>Jan</v>
      </c>
      <c r="F612" s="13">
        <v>22</v>
      </c>
      <c r="G612" s="10"/>
      <c r="H612" s="13">
        <f>NETWORKDAYS('RETAIL SALES DATA.'!K611,'RETAIL SALES DATA.'!L611)</f>
        <v>4</v>
      </c>
      <c r="I612" s="13">
        <v>5</v>
      </c>
      <c r="J612" s="10"/>
      <c r="K612" s="13">
        <v>9</v>
      </c>
      <c r="L612" s="13">
        <v>8</v>
      </c>
      <c r="M612" s="13">
        <v>42</v>
      </c>
      <c r="N612" s="13">
        <v>0</v>
      </c>
      <c r="O612" s="54">
        <f t="shared" si="18"/>
        <v>0.36249999999999999</v>
      </c>
      <c r="P612" s="55">
        <f t="shared" si="19"/>
        <v>0.40416666666666667</v>
      </c>
    </row>
    <row r="613" spans="1:16" x14ac:dyDescent="0.3">
      <c r="A613" s="25">
        <f>YEAR('RETAIL SALES DATA.'!K612)</f>
        <v>2025</v>
      </c>
      <c r="B613" s="13" t="str">
        <v>May</v>
      </c>
      <c r="C613" s="42">
        <f>DAY('RETAIL SALES DATA.'!K612)</f>
        <v>27</v>
      </c>
      <c r="D613" s="13">
        <v>2025</v>
      </c>
      <c r="E613" s="13" t="str">
        <v>Jun</v>
      </c>
      <c r="F613" s="13">
        <v>5</v>
      </c>
      <c r="G613" s="10"/>
      <c r="H613" s="13">
        <f>NETWORKDAYS('RETAIL SALES DATA.'!K612,'RETAIL SALES DATA.'!L612)</f>
        <v>8</v>
      </c>
      <c r="I613" s="13">
        <v>9</v>
      </c>
      <c r="J613" s="10"/>
      <c r="K613" s="13">
        <v>16</v>
      </c>
      <c r="L613" s="13">
        <v>11</v>
      </c>
      <c r="M613" s="13">
        <v>27</v>
      </c>
      <c r="N613" s="13">
        <v>0</v>
      </c>
      <c r="O613" s="54">
        <f t="shared" si="18"/>
        <v>0.47708333333333336</v>
      </c>
      <c r="P613" s="55">
        <f t="shared" si="19"/>
        <v>0.68541666666666667</v>
      </c>
    </row>
    <row r="614" spans="1:16" x14ac:dyDescent="0.3">
      <c r="A614" s="25">
        <f>YEAR('RETAIL SALES DATA.'!K613)</f>
        <v>2024</v>
      </c>
      <c r="B614" s="13" t="str">
        <v>Aug</v>
      </c>
      <c r="C614" s="42">
        <f>DAY('RETAIL SALES DATA.'!K613)</f>
        <v>9</v>
      </c>
      <c r="D614" s="13">
        <v>2024</v>
      </c>
      <c r="E614" s="13" t="str">
        <v>Aug</v>
      </c>
      <c r="F614" s="13">
        <v>14</v>
      </c>
      <c r="G614" s="10"/>
      <c r="H614" s="13">
        <f>NETWORKDAYS('RETAIL SALES DATA.'!K613,'RETAIL SALES DATA.'!L613)</f>
        <v>4</v>
      </c>
      <c r="I614" s="13">
        <v>5</v>
      </c>
      <c r="J614" s="10"/>
      <c r="K614" s="13">
        <v>19</v>
      </c>
      <c r="L614" s="13">
        <v>9</v>
      </c>
      <c r="M614" s="13">
        <v>7</v>
      </c>
      <c r="N614" s="13">
        <v>0</v>
      </c>
      <c r="O614" s="54">
        <f t="shared" si="18"/>
        <v>0.37986111111111109</v>
      </c>
      <c r="P614" s="55">
        <f t="shared" si="19"/>
        <v>0.79652777777777772</v>
      </c>
    </row>
    <row r="615" spans="1:16" x14ac:dyDescent="0.3">
      <c r="A615" s="25">
        <f>YEAR('RETAIL SALES DATA.'!K614)</f>
        <v>2026</v>
      </c>
      <c r="B615" s="13" t="str">
        <v>Jan</v>
      </c>
      <c r="C615" s="42">
        <f>DAY('RETAIL SALES DATA.'!K614)</f>
        <v>24</v>
      </c>
      <c r="D615" s="13">
        <v>2026</v>
      </c>
      <c r="E615" s="13" t="str">
        <v>Feb</v>
      </c>
      <c r="F615" s="13">
        <v>2</v>
      </c>
      <c r="G615" s="10"/>
      <c r="H615" s="13">
        <f>NETWORKDAYS('RETAIL SALES DATA.'!K614,'RETAIL SALES DATA.'!L614)</f>
        <v>6</v>
      </c>
      <c r="I615" s="13">
        <v>9</v>
      </c>
      <c r="J615" s="10"/>
      <c r="K615" s="13">
        <v>0</v>
      </c>
      <c r="L615" s="13">
        <v>10</v>
      </c>
      <c r="M615" s="13">
        <v>16</v>
      </c>
      <c r="N615" s="13">
        <v>0</v>
      </c>
      <c r="O615" s="54">
        <f t="shared" si="18"/>
        <v>0.42777777777777776</v>
      </c>
      <c r="P615" s="55">
        <f t="shared" si="19"/>
        <v>1.1111111111111112E-2</v>
      </c>
    </row>
    <row r="616" spans="1:16" x14ac:dyDescent="0.3">
      <c r="A616" s="25">
        <f>YEAR('RETAIL SALES DATA.'!K615)</f>
        <v>2025</v>
      </c>
      <c r="B616" s="13" t="str">
        <v>Jan</v>
      </c>
      <c r="C616" s="42">
        <f>DAY('RETAIL SALES DATA.'!K615)</f>
        <v>9</v>
      </c>
      <c r="D616" s="13">
        <v>2025</v>
      </c>
      <c r="E616" s="13" t="str">
        <v>Jan</v>
      </c>
      <c r="F616" s="13">
        <v>12</v>
      </c>
      <c r="G616" s="10"/>
      <c r="H616" s="13">
        <f>NETWORKDAYS('RETAIL SALES DATA.'!K615,'RETAIL SALES DATA.'!L615)</f>
        <v>2</v>
      </c>
      <c r="I616" s="13">
        <v>3</v>
      </c>
      <c r="J616" s="10"/>
      <c r="K616" s="13">
        <v>9</v>
      </c>
      <c r="L616" s="13">
        <v>9</v>
      </c>
      <c r="M616" s="13">
        <v>25</v>
      </c>
      <c r="N616" s="13">
        <v>0</v>
      </c>
      <c r="O616" s="54">
        <f t="shared" si="18"/>
        <v>0.3923611111111111</v>
      </c>
      <c r="P616" s="55">
        <f t="shared" si="19"/>
        <v>0.3923611111111111</v>
      </c>
    </row>
    <row r="617" spans="1:16" x14ac:dyDescent="0.3">
      <c r="A617" s="25">
        <f>YEAR('RETAIL SALES DATA.'!K616)</f>
        <v>2025</v>
      </c>
      <c r="B617" s="13" t="str">
        <v>Mar</v>
      </c>
      <c r="C617" s="42">
        <f>DAY('RETAIL SALES DATA.'!K616)</f>
        <v>16</v>
      </c>
      <c r="D617" s="13">
        <v>2025</v>
      </c>
      <c r="E617" s="13" t="str">
        <v>Mar</v>
      </c>
      <c r="F617" s="13">
        <v>26</v>
      </c>
      <c r="G617" s="10"/>
      <c r="H617" s="13">
        <f>NETWORKDAYS('RETAIL SALES DATA.'!K616,'RETAIL SALES DATA.'!L616)</f>
        <v>8</v>
      </c>
      <c r="I617" s="13">
        <v>10</v>
      </c>
      <c r="J617" s="10"/>
      <c r="K617" s="13">
        <v>14</v>
      </c>
      <c r="L617" s="13">
        <v>9</v>
      </c>
      <c r="M617" s="13">
        <v>3</v>
      </c>
      <c r="N617" s="13">
        <v>0</v>
      </c>
      <c r="O617" s="54">
        <f t="shared" si="18"/>
        <v>0.37708333333333333</v>
      </c>
      <c r="P617" s="55">
        <f t="shared" si="19"/>
        <v>0.5854166666666667</v>
      </c>
    </row>
    <row r="618" spans="1:16" x14ac:dyDescent="0.3">
      <c r="A618" s="25">
        <f>YEAR('RETAIL SALES DATA.'!K617)</f>
        <v>2025</v>
      </c>
      <c r="B618" s="13" t="str">
        <v>Sep</v>
      </c>
      <c r="C618" s="42">
        <f>DAY('RETAIL SALES DATA.'!K617)</f>
        <v>26</v>
      </c>
      <c r="D618" s="13">
        <v>2025</v>
      </c>
      <c r="E618" s="13" t="str">
        <v>Sep</v>
      </c>
      <c r="F618" s="13">
        <v>27</v>
      </c>
      <c r="G618" s="10"/>
      <c r="H618" s="13">
        <f>NETWORKDAYS('RETAIL SALES DATA.'!K617,'RETAIL SALES DATA.'!L617)</f>
        <v>1</v>
      </c>
      <c r="I618" s="13">
        <v>1</v>
      </c>
      <c r="J618" s="10"/>
      <c r="K618" s="13">
        <v>9</v>
      </c>
      <c r="L618" s="13">
        <v>9</v>
      </c>
      <c r="M618" s="13">
        <v>58</v>
      </c>
      <c r="N618" s="13">
        <v>0</v>
      </c>
      <c r="O618" s="54">
        <f t="shared" si="18"/>
        <v>0.4152777777777778</v>
      </c>
      <c r="P618" s="55">
        <f t="shared" si="19"/>
        <v>0.4152777777777778</v>
      </c>
    </row>
    <row r="619" spans="1:16" x14ac:dyDescent="0.3">
      <c r="A619" s="25">
        <f>YEAR('RETAIL SALES DATA.'!K618)</f>
        <v>2025</v>
      </c>
      <c r="B619" s="13" t="str">
        <v>Jan</v>
      </c>
      <c r="C619" s="42">
        <f>DAY('RETAIL SALES DATA.'!K618)</f>
        <v>30</v>
      </c>
      <c r="D619" s="13">
        <v>2025</v>
      </c>
      <c r="E619" s="13" t="str">
        <v>Feb</v>
      </c>
      <c r="F619" s="13">
        <v>6</v>
      </c>
      <c r="G619" s="10"/>
      <c r="H619" s="13">
        <f>NETWORKDAYS('RETAIL SALES DATA.'!K618,'RETAIL SALES DATA.'!L618)</f>
        <v>6</v>
      </c>
      <c r="I619" s="13">
        <v>7</v>
      </c>
      <c r="J619" s="10"/>
      <c r="K619" s="13">
        <v>4</v>
      </c>
      <c r="L619" s="13">
        <v>11</v>
      </c>
      <c r="M619" s="13">
        <v>35</v>
      </c>
      <c r="N619" s="13">
        <v>0</v>
      </c>
      <c r="O619" s="54">
        <f t="shared" si="18"/>
        <v>0.4826388888888889</v>
      </c>
      <c r="P619" s="55">
        <f t="shared" si="19"/>
        <v>0.19097222222222221</v>
      </c>
    </row>
    <row r="620" spans="1:16" x14ac:dyDescent="0.3">
      <c r="A620" s="25">
        <f>YEAR('RETAIL SALES DATA.'!K619)</f>
        <v>2026</v>
      </c>
      <c r="B620" s="13" t="str">
        <v>Apr</v>
      </c>
      <c r="C620" s="42">
        <f>DAY('RETAIL SALES DATA.'!K619)</f>
        <v>8</v>
      </c>
      <c r="D620" s="13">
        <v>2026</v>
      </c>
      <c r="E620" s="13" t="str">
        <v>Apr</v>
      </c>
      <c r="F620" s="13">
        <v>15</v>
      </c>
      <c r="G620" s="10"/>
      <c r="H620" s="13">
        <f>NETWORKDAYS('RETAIL SALES DATA.'!K619,'RETAIL SALES DATA.'!L619)</f>
        <v>6</v>
      </c>
      <c r="I620" s="13">
        <v>7</v>
      </c>
      <c r="J620" s="10"/>
      <c r="K620" s="13">
        <v>19</v>
      </c>
      <c r="L620" s="13">
        <v>10</v>
      </c>
      <c r="M620" s="13">
        <v>18</v>
      </c>
      <c r="N620" s="13">
        <v>0</v>
      </c>
      <c r="O620" s="54">
        <f t="shared" si="18"/>
        <v>0.42916666666666664</v>
      </c>
      <c r="P620" s="55">
        <f t="shared" si="19"/>
        <v>0.8041666666666667</v>
      </c>
    </row>
    <row r="621" spans="1:16" x14ac:dyDescent="0.3">
      <c r="A621" s="25">
        <f>YEAR('RETAIL SALES DATA.'!K620)</f>
        <v>2024</v>
      </c>
      <c r="B621" s="13" t="str">
        <v>Oct</v>
      </c>
      <c r="C621" s="42">
        <f>DAY('RETAIL SALES DATA.'!K620)</f>
        <v>21</v>
      </c>
      <c r="D621" s="13">
        <v>2024</v>
      </c>
      <c r="E621" s="13" t="str">
        <v>Oct</v>
      </c>
      <c r="F621" s="13">
        <v>22</v>
      </c>
      <c r="G621" s="10"/>
      <c r="H621" s="13">
        <f>NETWORKDAYS('RETAIL SALES DATA.'!K620,'RETAIL SALES DATA.'!L620)</f>
        <v>2</v>
      </c>
      <c r="I621" s="13">
        <v>1</v>
      </c>
      <c r="J621" s="10"/>
      <c r="K621" s="13">
        <v>4</v>
      </c>
      <c r="L621" s="13">
        <v>11</v>
      </c>
      <c r="M621" s="13">
        <v>59</v>
      </c>
      <c r="N621" s="13">
        <v>0</v>
      </c>
      <c r="O621" s="54">
        <f t="shared" si="18"/>
        <v>0.49930555555555556</v>
      </c>
      <c r="P621" s="55">
        <f t="shared" si="19"/>
        <v>0.2076388888888889</v>
      </c>
    </row>
    <row r="622" spans="1:16" x14ac:dyDescent="0.3">
      <c r="A622" s="25">
        <f>YEAR('RETAIL SALES DATA.'!K621)</f>
        <v>2025</v>
      </c>
      <c r="B622" s="13" t="str">
        <v>May</v>
      </c>
      <c r="C622" s="42">
        <f>DAY('RETAIL SALES DATA.'!K621)</f>
        <v>11</v>
      </c>
      <c r="D622" s="13">
        <v>2025</v>
      </c>
      <c r="E622" s="13" t="str">
        <v>May</v>
      </c>
      <c r="F622" s="13">
        <v>17</v>
      </c>
      <c r="G622" s="10"/>
      <c r="H622" s="13">
        <f>NETWORKDAYS('RETAIL SALES DATA.'!K621,'RETAIL SALES DATA.'!L621)</f>
        <v>5</v>
      </c>
      <c r="I622" s="13">
        <v>6</v>
      </c>
      <c r="J622" s="10"/>
      <c r="K622" s="13">
        <v>16</v>
      </c>
      <c r="L622" s="13">
        <v>10</v>
      </c>
      <c r="M622" s="13">
        <v>5</v>
      </c>
      <c r="N622" s="13">
        <v>0</v>
      </c>
      <c r="O622" s="54">
        <f t="shared" si="18"/>
        <v>0.4201388888888889</v>
      </c>
      <c r="P622" s="55">
        <f t="shared" si="19"/>
        <v>0.67013888888888884</v>
      </c>
    </row>
    <row r="623" spans="1:16" x14ac:dyDescent="0.3">
      <c r="A623" s="25">
        <f>YEAR('RETAIL SALES DATA.'!K622)</f>
        <v>2024</v>
      </c>
      <c r="B623" s="13" t="str">
        <v>Jul</v>
      </c>
      <c r="C623" s="42">
        <f>DAY('RETAIL SALES DATA.'!K622)</f>
        <v>18</v>
      </c>
      <c r="D623" s="13">
        <v>2024</v>
      </c>
      <c r="E623" s="13" t="str">
        <v>Jul</v>
      </c>
      <c r="F623" s="13">
        <v>27</v>
      </c>
      <c r="G623" s="10"/>
      <c r="H623" s="13">
        <f>NETWORKDAYS('RETAIL SALES DATA.'!K622,'RETAIL SALES DATA.'!L622)</f>
        <v>7</v>
      </c>
      <c r="I623" s="13">
        <v>9</v>
      </c>
      <c r="J623" s="10"/>
      <c r="K623" s="13">
        <v>0</v>
      </c>
      <c r="L623" s="13">
        <v>9</v>
      </c>
      <c r="M623" s="13">
        <v>51</v>
      </c>
      <c r="N623" s="13">
        <v>0</v>
      </c>
      <c r="O623" s="54">
        <f t="shared" si="18"/>
        <v>0.41041666666666665</v>
      </c>
      <c r="P623" s="55">
        <f t="shared" si="19"/>
        <v>3.5416666666666666E-2</v>
      </c>
    </row>
    <row r="624" spans="1:16" x14ac:dyDescent="0.3">
      <c r="A624" s="25">
        <f>YEAR('RETAIL SALES DATA.'!K623)</f>
        <v>2026</v>
      </c>
      <c r="B624" s="13" t="str">
        <v>Feb</v>
      </c>
      <c r="C624" s="42">
        <f>DAY('RETAIL SALES DATA.'!K623)</f>
        <v>7</v>
      </c>
      <c r="D624" s="13">
        <v>2026</v>
      </c>
      <c r="E624" s="13" t="str">
        <v>Feb</v>
      </c>
      <c r="F624" s="13">
        <v>12</v>
      </c>
      <c r="G624" s="10"/>
      <c r="H624" s="13">
        <f>NETWORKDAYS('RETAIL SALES DATA.'!K623,'RETAIL SALES DATA.'!L623)</f>
        <v>4</v>
      </c>
      <c r="I624" s="13">
        <v>5</v>
      </c>
      <c r="J624" s="10"/>
      <c r="K624" s="13">
        <v>0</v>
      </c>
      <c r="L624" s="13">
        <v>9</v>
      </c>
      <c r="M624" s="13">
        <v>23</v>
      </c>
      <c r="N624" s="13">
        <v>0</v>
      </c>
      <c r="O624" s="54">
        <f t="shared" si="18"/>
        <v>0.39097222222222222</v>
      </c>
      <c r="P624" s="55">
        <f t="shared" si="19"/>
        <v>1.5972222222222221E-2</v>
      </c>
    </row>
    <row r="625" spans="1:16" x14ac:dyDescent="0.3">
      <c r="A625" s="25">
        <f>YEAR('RETAIL SALES DATA.'!K624)</f>
        <v>2025</v>
      </c>
      <c r="B625" s="13" t="str">
        <v>Mar</v>
      </c>
      <c r="C625" s="42">
        <f>DAY('RETAIL SALES DATA.'!K624)</f>
        <v>4</v>
      </c>
      <c r="D625" s="13">
        <v>2025</v>
      </c>
      <c r="E625" s="13" t="str">
        <v>Mar</v>
      </c>
      <c r="F625" s="13">
        <v>12</v>
      </c>
      <c r="G625" s="10"/>
      <c r="H625" s="13">
        <f>NETWORKDAYS('RETAIL SALES DATA.'!K624,'RETAIL SALES DATA.'!L624)</f>
        <v>7</v>
      </c>
      <c r="I625" s="13">
        <v>8</v>
      </c>
      <c r="J625" s="10"/>
      <c r="K625" s="13">
        <v>0</v>
      </c>
      <c r="L625" s="13">
        <v>8</v>
      </c>
      <c r="M625" s="13">
        <v>24</v>
      </c>
      <c r="N625" s="13">
        <v>0</v>
      </c>
      <c r="O625" s="54">
        <f t="shared" si="18"/>
        <v>0.35</v>
      </c>
      <c r="P625" s="55">
        <f t="shared" si="19"/>
        <v>1.6666666666666666E-2</v>
      </c>
    </row>
    <row r="626" spans="1:16" x14ac:dyDescent="0.3">
      <c r="A626" s="25">
        <f>YEAR('RETAIL SALES DATA.'!K625)</f>
        <v>2024</v>
      </c>
      <c r="B626" s="13" t="str">
        <v>Oct</v>
      </c>
      <c r="C626" s="42">
        <f>DAY('RETAIL SALES DATA.'!K625)</f>
        <v>4</v>
      </c>
      <c r="D626" s="13">
        <v>2024</v>
      </c>
      <c r="E626" s="13" t="str">
        <v>Oct</v>
      </c>
      <c r="F626" s="13">
        <v>6</v>
      </c>
      <c r="G626" s="10"/>
      <c r="H626" s="13">
        <f>NETWORKDAYS('RETAIL SALES DATA.'!K625,'RETAIL SALES DATA.'!L625)</f>
        <v>1</v>
      </c>
      <c r="I626" s="13">
        <v>2</v>
      </c>
      <c r="J626" s="10"/>
      <c r="K626" s="13">
        <v>12</v>
      </c>
      <c r="L626" s="13">
        <v>8</v>
      </c>
      <c r="M626" s="13">
        <v>17</v>
      </c>
      <c r="N626" s="13">
        <v>0</v>
      </c>
      <c r="O626" s="54">
        <f t="shared" si="18"/>
        <v>0.34513888888888888</v>
      </c>
      <c r="P626" s="55">
        <f t="shared" si="19"/>
        <v>0.51180555555555551</v>
      </c>
    </row>
    <row r="627" spans="1:16" x14ac:dyDescent="0.3">
      <c r="A627" s="25">
        <f>YEAR('RETAIL SALES DATA.'!K626)</f>
        <v>2024</v>
      </c>
      <c r="B627" s="13" t="str">
        <v>Aug</v>
      </c>
      <c r="C627" s="42">
        <f>DAY('RETAIL SALES DATA.'!K626)</f>
        <v>2</v>
      </c>
      <c r="D627" s="13">
        <v>2024</v>
      </c>
      <c r="E627" s="13" t="str">
        <v>Aug</v>
      </c>
      <c r="F627" s="13">
        <v>4</v>
      </c>
      <c r="G627" s="10"/>
      <c r="H627" s="13">
        <f>NETWORKDAYS('RETAIL SALES DATA.'!K626,'RETAIL SALES DATA.'!L626)</f>
        <v>1</v>
      </c>
      <c r="I627" s="13">
        <v>2</v>
      </c>
      <c r="J627" s="10"/>
      <c r="K627" s="13">
        <v>2</v>
      </c>
      <c r="L627" s="13">
        <v>10</v>
      </c>
      <c r="M627" s="13">
        <v>46</v>
      </c>
      <c r="N627" s="13">
        <v>0</v>
      </c>
      <c r="O627" s="54">
        <f t="shared" si="18"/>
        <v>0.44861111111111113</v>
      </c>
      <c r="P627" s="55">
        <f t="shared" si="19"/>
        <v>0.11527777777777778</v>
      </c>
    </row>
    <row r="628" spans="1:16" x14ac:dyDescent="0.3">
      <c r="A628" s="25">
        <f>YEAR('RETAIL SALES DATA.'!K627)</f>
        <v>2024</v>
      </c>
      <c r="B628" s="13" t="str">
        <v>Sep</v>
      </c>
      <c r="C628" s="42">
        <f>DAY('RETAIL SALES DATA.'!K627)</f>
        <v>25</v>
      </c>
      <c r="D628" s="13">
        <v>2024</v>
      </c>
      <c r="E628" s="13" t="str">
        <v>Oct</v>
      </c>
      <c r="F628" s="13">
        <v>4</v>
      </c>
      <c r="G628" s="10"/>
      <c r="H628" s="13">
        <f>NETWORKDAYS('RETAIL SALES DATA.'!K627,'RETAIL SALES DATA.'!L627)</f>
        <v>8</v>
      </c>
      <c r="I628" s="13">
        <v>9</v>
      </c>
      <c r="J628" s="10"/>
      <c r="K628" s="13">
        <v>16</v>
      </c>
      <c r="L628" s="13">
        <v>9</v>
      </c>
      <c r="M628" s="13">
        <v>57</v>
      </c>
      <c r="N628" s="13">
        <v>0</v>
      </c>
      <c r="O628" s="54">
        <f t="shared" si="18"/>
        <v>0.41458333333333336</v>
      </c>
      <c r="P628" s="55">
        <f t="shared" si="19"/>
        <v>0.70625000000000004</v>
      </c>
    </row>
    <row r="629" spans="1:16" x14ac:dyDescent="0.3">
      <c r="A629" s="25">
        <f>YEAR('RETAIL SALES DATA.'!K628)</f>
        <v>2025</v>
      </c>
      <c r="B629" s="13" t="str">
        <v>Sep</v>
      </c>
      <c r="C629" s="42">
        <f>DAY('RETAIL SALES DATA.'!K628)</f>
        <v>22</v>
      </c>
      <c r="D629" s="13">
        <v>2025</v>
      </c>
      <c r="E629" s="13" t="str">
        <v>Sep</v>
      </c>
      <c r="F629" s="13">
        <v>24</v>
      </c>
      <c r="G629" s="10"/>
      <c r="H629" s="13">
        <f>NETWORKDAYS('RETAIL SALES DATA.'!K628,'RETAIL SALES DATA.'!L628)</f>
        <v>3</v>
      </c>
      <c r="I629" s="13">
        <v>2</v>
      </c>
      <c r="J629" s="10"/>
      <c r="K629" s="13">
        <v>12</v>
      </c>
      <c r="L629" s="13">
        <v>9</v>
      </c>
      <c r="M629" s="13">
        <v>54</v>
      </c>
      <c r="N629" s="13">
        <v>0</v>
      </c>
      <c r="O629" s="54">
        <f t="shared" si="18"/>
        <v>0.41249999999999998</v>
      </c>
      <c r="P629" s="55">
        <f t="shared" si="19"/>
        <v>0.53749999999999998</v>
      </c>
    </row>
    <row r="630" spans="1:16" x14ac:dyDescent="0.3">
      <c r="A630" s="25">
        <f>YEAR('RETAIL SALES DATA.'!K629)</f>
        <v>2024</v>
      </c>
      <c r="B630" s="13" t="str">
        <v>Jun</v>
      </c>
      <c r="C630" s="42">
        <f>DAY('RETAIL SALES DATA.'!K629)</f>
        <v>13</v>
      </c>
      <c r="D630" s="13">
        <v>2024</v>
      </c>
      <c r="E630" s="13" t="str">
        <v>Jun</v>
      </c>
      <c r="F630" s="13">
        <v>17</v>
      </c>
      <c r="G630" s="10"/>
      <c r="H630" s="13">
        <f>NETWORKDAYS('RETAIL SALES DATA.'!K629,'RETAIL SALES DATA.'!L629)</f>
        <v>3</v>
      </c>
      <c r="I630" s="13">
        <v>4</v>
      </c>
      <c r="J630" s="10"/>
      <c r="K630" s="13">
        <v>12</v>
      </c>
      <c r="L630" s="13">
        <v>10</v>
      </c>
      <c r="M630" s="13">
        <v>14</v>
      </c>
      <c r="N630" s="13">
        <v>0</v>
      </c>
      <c r="O630" s="54">
        <f t="shared" si="18"/>
        <v>0.42638888888888887</v>
      </c>
      <c r="P630" s="55">
        <f t="shared" si="19"/>
        <v>0.50972222222222219</v>
      </c>
    </row>
    <row r="631" spans="1:16" x14ac:dyDescent="0.3">
      <c r="A631" s="25">
        <f>YEAR('RETAIL SALES DATA.'!K630)</f>
        <v>2025</v>
      </c>
      <c r="B631" s="13" t="str">
        <v>May</v>
      </c>
      <c r="C631" s="42">
        <f>DAY('RETAIL SALES DATA.'!K630)</f>
        <v>13</v>
      </c>
      <c r="D631" s="13">
        <v>2025</v>
      </c>
      <c r="E631" s="13" t="str">
        <v>May</v>
      </c>
      <c r="F631" s="13">
        <v>20</v>
      </c>
      <c r="G631" s="10"/>
      <c r="H631" s="13">
        <f>NETWORKDAYS('RETAIL SALES DATA.'!K630,'RETAIL SALES DATA.'!L630)</f>
        <v>6</v>
      </c>
      <c r="I631" s="13">
        <v>7</v>
      </c>
      <c r="J631" s="10"/>
      <c r="K631" s="13">
        <v>21</v>
      </c>
      <c r="L631" s="13">
        <v>11</v>
      </c>
      <c r="M631" s="13">
        <v>17</v>
      </c>
      <c r="N631" s="13">
        <v>0</v>
      </c>
      <c r="O631" s="54">
        <f t="shared" si="18"/>
        <v>0.47013888888888888</v>
      </c>
      <c r="P631" s="55">
        <f t="shared" si="19"/>
        <v>0.88680555555555551</v>
      </c>
    </row>
    <row r="632" spans="1:16" x14ac:dyDescent="0.3">
      <c r="A632" s="25">
        <f>YEAR('RETAIL SALES DATA.'!K631)</f>
        <v>2024</v>
      </c>
      <c r="B632" s="13" t="str">
        <v>Oct</v>
      </c>
      <c r="C632" s="42">
        <f>DAY('RETAIL SALES DATA.'!K631)</f>
        <v>2</v>
      </c>
      <c r="D632" s="13">
        <v>2024</v>
      </c>
      <c r="E632" s="13" t="str">
        <v>Oct</v>
      </c>
      <c r="F632" s="13">
        <v>5</v>
      </c>
      <c r="G632" s="10"/>
      <c r="H632" s="13">
        <f>NETWORKDAYS('RETAIL SALES DATA.'!K631,'RETAIL SALES DATA.'!L631)</f>
        <v>3</v>
      </c>
      <c r="I632" s="13">
        <v>3</v>
      </c>
      <c r="J632" s="10"/>
      <c r="K632" s="13">
        <v>0</v>
      </c>
      <c r="L632" s="13">
        <v>9</v>
      </c>
      <c r="M632" s="13">
        <v>15</v>
      </c>
      <c r="N632" s="13">
        <v>0</v>
      </c>
      <c r="O632" s="54">
        <f t="shared" si="18"/>
        <v>0.38541666666666669</v>
      </c>
      <c r="P632" s="55">
        <f t="shared" si="19"/>
        <v>1.0416666666666666E-2</v>
      </c>
    </row>
    <row r="633" spans="1:16" x14ac:dyDescent="0.3">
      <c r="A633" s="25">
        <f>YEAR('RETAIL SALES DATA.'!K632)</f>
        <v>2024</v>
      </c>
      <c r="B633" s="13" t="str">
        <v>Sep</v>
      </c>
      <c r="C633" s="42">
        <f>DAY('RETAIL SALES DATA.'!K632)</f>
        <v>3</v>
      </c>
      <c r="D633" s="13">
        <v>2024</v>
      </c>
      <c r="E633" s="13" t="str">
        <v>Sep</v>
      </c>
      <c r="F633" s="13">
        <v>8</v>
      </c>
      <c r="G633" s="10"/>
      <c r="H633" s="13">
        <f>NETWORKDAYS('RETAIL SALES DATA.'!K632,'RETAIL SALES DATA.'!L632)</f>
        <v>4</v>
      </c>
      <c r="I633" s="13">
        <v>5</v>
      </c>
      <c r="J633" s="10"/>
      <c r="K633" s="13">
        <v>12</v>
      </c>
      <c r="L633" s="13">
        <v>11</v>
      </c>
      <c r="M633" s="13">
        <v>43</v>
      </c>
      <c r="N633" s="13">
        <v>0</v>
      </c>
      <c r="O633" s="54">
        <f t="shared" si="18"/>
        <v>0.48819444444444443</v>
      </c>
      <c r="P633" s="55">
        <f t="shared" si="19"/>
        <v>0.52986111111111112</v>
      </c>
    </row>
    <row r="634" spans="1:16" x14ac:dyDescent="0.3">
      <c r="A634" s="25">
        <f>YEAR('RETAIL SALES DATA.'!K633)</f>
        <v>2025</v>
      </c>
      <c r="B634" s="13" t="str">
        <v>Apr</v>
      </c>
      <c r="C634" s="42">
        <f>DAY('RETAIL SALES DATA.'!K633)</f>
        <v>14</v>
      </c>
      <c r="D634" s="13">
        <v>2025</v>
      </c>
      <c r="E634" s="13" t="str">
        <v>Apr</v>
      </c>
      <c r="F634" s="13">
        <v>22</v>
      </c>
      <c r="G634" s="10"/>
      <c r="H634" s="13">
        <f>NETWORKDAYS('RETAIL SALES DATA.'!K633,'RETAIL SALES DATA.'!L633)</f>
        <v>7</v>
      </c>
      <c r="I634" s="13">
        <v>8</v>
      </c>
      <c r="J634" s="10"/>
      <c r="K634" s="13">
        <v>14</v>
      </c>
      <c r="L634" s="13">
        <v>9</v>
      </c>
      <c r="M634" s="13">
        <v>29</v>
      </c>
      <c r="N634" s="13">
        <v>0</v>
      </c>
      <c r="O634" s="54">
        <f t="shared" si="18"/>
        <v>0.39513888888888887</v>
      </c>
      <c r="P634" s="55">
        <f t="shared" si="19"/>
        <v>0.60347222222222219</v>
      </c>
    </row>
    <row r="635" spans="1:16" x14ac:dyDescent="0.3">
      <c r="A635" s="25">
        <f>YEAR('RETAIL SALES DATA.'!K634)</f>
        <v>2025</v>
      </c>
      <c r="B635" s="13" t="str">
        <v>Mar</v>
      </c>
      <c r="C635" s="42">
        <f>DAY('RETAIL SALES DATA.'!K634)</f>
        <v>12</v>
      </c>
      <c r="D635" s="13">
        <v>2025</v>
      </c>
      <c r="E635" s="13" t="str">
        <v>Mar</v>
      </c>
      <c r="F635" s="13">
        <v>15</v>
      </c>
      <c r="G635" s="10"/>
      <c r="H635" s="13">
        <f>NETWORKDAYS('RETAIL SALES DATA.'!K634,'RETAIL SALES DATA.'!L634)</f>
        <v>3</v>
      </c>
      <c r="I635" s="13">
        <v>3</v>
      </c>
      <c r="J635" s="10"/>
      <c r="K635" s="13">
        <v>19</v>
      </c>
      <c r="L635" s="13">
        <v>8</v>
      </c>
      <c r="M635" s="13">
        <v>9</v>
      </c>
      <c r="N635" s="13">
        <v>0</v>
      </c>
      <c r="O635" s="54">
        <f t="shared" si="18"/>
        <v>0.33958333333333335</v>
      </c>
      <c r="P635" s="55">
        <f t="shared" si="19"/>
        <v>0.79791666666666672</v>
      </c>
    </row>
    <row r="636" spans="1:16" x14ac:dyDescent="0.3">
      <c r="A636" s="25">
        <f>YEAR('RETAIL SALES DATA.'!K635)</f>
        <v>2026</v>
      </c>
      <c r="B636" s="13" t="str">
        <v>Jan</v>
      </c>
      <c r="C636" s="42">
        <f>DAY('RETAIL SALES DATA.'!K635)</f>
        <v>23</v>
      </c>
      <c r="D636" s="13">
        <v>2026</v>
      </c>
      <c r="E636" s="13" t="str">
        <v>Jan</v>
      </c>
      <c r="F636" s="13">
        <v>30</v>
      </c>
      <c r="G636" s="10"/>
      <c r="H636" s="13">
        <f>NETWORKDAYS('RETAIL SALES DATA.'!K635,'RETAIL SALES DATA.'!L635)</f>
        <v>6</v>
      </c>
      <c r="I636" s="13">
        <v>7</v>
      </c>
      <c r="J636" s="10"/>
      <c r="K636" s="13">
        <v>0</v>
      </c>
      <c r="L636" s="13">
        <v>9</v>
      </c>
      <c r="M636" s="13">
        <v>47</v>
      </c>
      <c r="N636" s="13">
        <v>0</v>
      </c>
      <c r="O636" s="54">
        <f t="shared" si="18"/>
        <v>0.40763888888888888</v>
      </c>
      <c r="P636" s="55">
        <f t="shared" si="19"/>
        <v>3.2638888888888891E-2</v>
      </c>
    </row>
    <row r="637" spans="1:16" x14ac:dyDescent="0.3">
      <c r="A637" s="25">
        <f>YEAR('RETAIL SALES DATA.'!K636)</f>
        <v>2025</v>
      </c>
      <c r="B637" s="13" t="str">
        <v>Oct</v>
      </c>
      <c r="C637" s="42">
        <f>DAY('RETAIL SALES DATA.'!K636)</f>
        <v>26</v>
      </c>
      <c r="D637" s="13">
        <v>2025</v>
      </c>
      <c r="E637" s="13" t="str">
        <v>Nov</v>
      </c>
      <c r="F637" s="13">
        <v>4</v>
      </c>
      <c r="G637" s="10"/>
      <c r="H637" s="13">
        <f>NETWORKDAYS('RETAIL SALES DATA.'!K636,'RETAIL SALES DATA.'!L636)</f>
        <v>7</v>
      </c>
      <c r="I637" s="13">
        <v>9</v>
      </c>
      <c r="J637" s="10"/>
      <c r="K637" s="13">
        <v>9</v>
      </c>
      <c r="L637" s="13">
        <v>9</v>
      </c>
      <c r="M637" s="13">
        <v>14</v>
      </c>
      <c r="N637" s="13">
        <v>0</v>
      </c>
      <c r="O637" s="54">
        <f t="shared" si="18"/>
        <v>0.38472222222222224</v>
      </c>
      <c r="P637" s="55">
        <f t="shared" si="19"/>
        <v>0.38472222222222224</v>
      </c>
    </row>
    <row r="638" spans="1:16" x14ac:dyDescent="0.3">
      <c r="A638" s="25">
        <f>YEAR('RETAIL SALES DATA.'!K637)</f>
        <v>2026</v>
      </c>
      <c r="B638" s="13" t="str">
        <v>Jan</v>
      </c>
      <c r="C638" s="42">
        <f>DAY('RETAIL SALES DATA.'!K637)</f>
        <v>4</v>
      </c>
      <c r="D638" s="13">
        <v>2026</v>
      </c>
      <c r="E638" s="13" t="str">
        <v>Jan</v>
      </c>
      <c r="F638" s="13">
        <v>11</v>
      </c>
      <c r="G638" s="10"/>
      <c r="H638" s="13">
        <f>NETWORKDAYS('RETAIL SALES DATA.'!K637,'RETAIL SALES DATA.'!L637)</f>
        <v>5</v>
      </c>
      <c r="I638" s="13">
        <v>7</v>
      </c>
      <c r="J638" s="10"/>
      <c r="K638" s="13">
        <v>0</v>
      </c>
      <c r="L638" s="13">
        <v>9</v>
      </c>
      <c r="M638" s="13">
        <v>23</v>
      </c>
      <c r="N638" s="13">
        <v>0</v>
      </c>
      <c r="O638" s="54">
        <f t="shared" si="18"/>
        <v>0.39097222222222222</v>
      </c>
      <c r="P638" s="55">
        <f t="shared" si="19"/>
        <v>1.5972222222222221E-2</v>
      </c>
    </row>
    <row r="639" spans="1:16" x14ac:dyDescent="0.3">
      <c r="A639" s="25">
        <f>YEAR('RETAIL SALES DATA.'!K638)</f>
        <v>2025</v>
      </c>
      <c r="B639" s="13" t="str">
        <v>Jan</v>
      </c>
      <c r="C639" s="42">
        <f>DAY('RETAIL SALES DATA.'!K638)</f>
        <v>13</v>
      </c>
      <c r="D639" s="13">
        <v>2025</v>
      </c>
      <c r="E639" s="13" t="str">
        <v>Jan</v>
      </c>
      <c r="F639" s="13">
        <v>21</v>
      </c>
      <c r="G639" s="10"/>
      <c r="H639" s="13">
        <f>NETWORKDAYS('RETAIL SALES DATA.'!K638,'RETAIL SALES DATA.'!L638)</f>
        <v>7</v>
      </c>
      <c r="I639" s="13">
        <v>8</v>
      </c>
      <c r="J639" s="10"/>
      <c r="K639" s="13">
        <v>4</v>
      </c>
      <c r="L639" s="13">
        <v>8</v>
      </c>
      <c r="M639" s="13">
        <v>11</v>
      </c>
      <c r="N639" s="13">
        <v>0</v>
      </c>
      <c r="O639" s="54">
        <f t="shared" si="18"/>
        <v>0.34097222222222223</v>
      </c>
      <c r="P639" s="55">
        <f t="shared" si="19"/>
        <v>0.17430555555555555</v>
      </c>
    </row>
    <row r="640" spans="1:16" x14ac:dyDescent="0.3">
      <c r="A640" s="25">
        <f>YEAR('RETAIL SALES DATA.'!K639)</f>
        <v>2024</v>
      </c>
      <c r="B640" s="13" t="str">
        <v>Dec</v>
      </c>
      <c r="C640" s="42">
        <f>DAY('RETAIL SALES DATA.'!K639)</f>
        <v>9</v>
      </c>
      <c r="D640" s="13">
        <v>2024</v>
      </c>
      <c r="E640" s="13" t="str">
        <v>Dec</v>
      </c>
      <c r="F640" s="13">
        <v>18</v>
      </c>
      <c r="G640" s="10"/>
      <c r="H640" s="13">
        <f>NETWORKDAYS('RETAIL SALES DATA.'!K639,'RETAIL SALES DATA.'!L639)</f>
        <v>8</v>
      </c>
      <c r="I640" s="13">
        <v>9</v>
      </c>
      <c r="J640" s="10"/>
      <c r="K640" s="13">
        <v>14</v>
      </c>
      <c r="L640" s="13">
        <v>10</v>
      </c>
      <c r="M640" s="13">
        <v>52</v>
      </c>
      <c r="N640" s="13">
        <v>0</v>
      </c>
      <c r="O640" s="54">
        <f t="shared" si="18"/>
        <v>0.45277777777777778</v>
      </c>
      <c r="P640" s="55">
        <f t="shared" si="19"/>
        <v>0.61944444444444446</v>
      </c>
    </row>
    <row r="641" spans="1:16" x14ac:dyDescent="0.3">
      <c r="A641" s="25">
        <f>YEAR('RETAIL SALES DATA.'!K640)</f>
        <v>2024</v>
      </c>
      <c r="B641" s="13" t="str">
        <v>May</v>
      </c>
      <c r="C641" s="42">
        <f>DAY('RETAIL SALES DATA.'!K640)</f>
        <v>31</v>
      </c>
      <c r="D641" s="13">
        <v>2024</v>
      </c>
      <c r="E641" s="13" t="str">
        <v>Jun</v>
      </c>
      <c r="F641" s="13">
        <v>5</v>
      </c>
      <c r="G641" s="10"/>
      <c r="H641" s="13">
        <f>NETWORKDAYS('RETAIL SALES DATA.'!K640,'RETAIL SALES DATA.'!L640)</f>
        <v>4</v>
      </c>
      <c r="I641" s="13">
        <v>5</v>
      </c>
      <c r="J641" s="10"/>
      <c r="K641" s="13">
        <v>21</v>
      </c>
      <c r="L641" s="13">
        <v>9</v>
      </c>
      <c r="M641" s="13">
        <v>30</v>
      </c>
      <c r="N641" s="13">
        <v>0</v>
      </c>
      <c r="O641" s="54">
        <f t="shared" si="18"/>
        <v>0.39583333333333331</v>
      </c>
      <c r="P641" s="55">
        <f t="shared" si="19"/>
        <v>0.89583333333333337</v>
      </c>
    </row>
    <row r="642" spans="1:16" x14ac:dyDescent="0.3">
      <c r="A642" s="25">
        <f>YEAR('RETAIL SALES DATA.'!K641)</f>
        <v>2025</v>
      </c>
      <c r="B642" s="13" t="str">
        <v>May</v>
      </c>
      <c r="C642" s="42">
        <f>DAY('RETAIL SALES DATA.'!K641)</f>
        <v>31</v>
      </c>
      <c r="D642" s="13">
        <v>2025</v>
      </c>
      <c r="E642" s="13" t="str">
        <v>Jun</v>
      </c>
      <c r="F642" s="13">
        <v>8</v>
      </c>
      <c r="G642" s="10"/>
      <c r="H642" s="13">
        <f>NETWORKDAYS('RETAIL SALES DATA.'!K641,'RETAIL SALES DATA.'!L641)</f>
        <v>5</v>
      </c>
      <c r="I642" s="13">
        <v>8</v>
      </c>
      <c r="J642" s="10"/>
      <c r="K642" s="13">
        <v>0</v>
      </c>
      <c r="L642" s="13">
        <v>11</v>
      </c>
      <c r="M642" s="13">
        <v>18</v>
      </c>
      <c r="N642" s="13">
        <v>0</v>
      </c>
      <c r="O642" s="54">
        <f t="shared" si="18"/>
        <v>0.47083333333333333</v>
      </c>
      <c r="P642" s="55">
        <f t="shared" si="19"/>
        <v>1.2500000000000001E-2</v>
      </c>
    </row>
    <row r="643" spans="1:16" x14ac:dyDescent="0.3">
      <c r="A643" s="25">
        <f>YEAR('RETAIL SALES DATA.'!K642)</f>
        <v>2024</v>
      </c>
      <c r="B643" s="13" t="str">
        <v>Jul</v>
      </c>
      <c r="C643" s="42">
        <f>DAY('RETAIL SALES DATA.'!K642)</f>
        <v>21</v>
      </c>
      <c r="D643" s="13">
        <v>2024</v>
      </c>
      <c r="E643" s="13" t="str">
        <v>Jul</v>
      </c>
      <c r="F643" s="13">
        <v>25</v>
      </c>
      <c r="G643" s="10"/>
      <c r="H643" s="13">
        <f>NETWORKDAYS('RETAIL SALES DATA.'!K642,'RETAIL SALES DATA.'!L642)</f>
        <v>4</v>
      </c>
      <c r="I643" s="13">
        <v>4</v>
      </c>
      <c r="J643" s="10"/>
      <c r="K643" s="13">
        <v>4</v>
      </c>
      <c r="L643" s="13">
        <v>11</v>
      </c>
      <c r="M643" s="13">
        <v>4</v>
      </c>
      <c r="N643" s="13">
        <v>0</v>
      </c>
      <c r="O643" s="54">
        <f t="shared" si="18"/>
        <v>0.46111111111111114</v>
      </c>
      <c r="P643" s="55">
        <f t="shared" si="19"/>
        <v>0.16944444444444445</v>
      </c>
    </row>
    <row r="644" spans="1:16" x14ac:dyDescent="0.3">
      <c r="A644" s="25">
        <f>YEAR('RETAIL SALES DATA.'!K643)</f>
        <v>2025</v>
      </c>
      <c r="B644" s="13" t="str">
        <v>Dec</v>
      </c>
      <c r="C644" s="42">
        <f>DAY('RETAIL SALES DATA.'!K643)</f>
        <v>25</v>
      </c>
      <c r="D644" s="13">
        <v>2026</v>
      </c>
      <c r="E644" s="13" t="str">
        <v>Jan</v>
      </c>
      <c r="F644" s="13">
        <v>1</v>
      </c>
      <c r="G644" s="10"/>
      <c r="H644" s="13">
        <f>NETWORKDAYS('RETAIL SALES DATA.'!K643,'RETAIL SALES DATA.'!L643)</f>
        <v>6</v>
      </c>
      <c r="I644" s="13">
        <v>7</v>
      </c>
      <c r="J644" s="10"/>
      <c r="K644" s="13">
        <v>2</v>
      </c>
      <c r="L644" s="13">
        <v>10</v>
      </c>
      <c r="M644" s="13">
        <v>33</v>
      </c>
      <c r="N644" s="13">
        <v>0</v>
      </c>
      <c r="O644" s="54">
        <f t="shared" ref="O644:O707" si="20">TIME(L644,M644,N644)</f>
        <v>0.43958333333333333</v>
      </c>
      <c r="P644" s="55">
        <f t="shared" ref="P644:P707" si="21">TIME(K644,M644,N644)</f>
        <v>0.10625</v>
      </c>
    </row>
    <row r="645" spans="1:16" x14ac:dyDescent="0.3">
      <c r="A645" s="25">
        <f>YEAR('RETAIL SALES DATA.'!K644)</f>
        <v>2025</v>
      </c>
      <c r="B645" s="13" t="str">
        <v>Oct</v>
      </c>
      <c r="C645" s="42">
        <f>DAY('RETAIL SALES DATA.'!K644)</f>
        <v>10</v>
      </c>
      <c r="D645" s="13">
        <v>2025</v>
      </c>
      <c r="E645" s="13" t="str">
        <v>Oct</v>
      </c>
      <c r="F645" s="13">
        <v>18</v>
      </c>
      <c r="G645" s="10"/>
      <c r="H645" s="13">
        <f>NETWORKDAYS('RETAIL SALES DATA.'!K644,'RETAIL SALES DATA.'!L644)</f>
        <v>6</v>
      </c>
      <c r="I645" s="13">
        <v>8</v>
      </c>
      <c r="J645" s="10"/>
      <c r="K645" s="13">
        <v>7</v>
      </c>
      <c r="L645" s="13">
        <v>11</v>
      </c>
      <c r="M645" s="13">
        <v>33</v>
      </c>
      <c r="N645" s="13">
        <v>0</v>
      </c>
      <c r="O645" s="54">
        <f t="shared" si="20"/>
        <v>0.48125000000000001</v>
      </c>
      <c r="P645" s="55">
        <f t="shared" si="21"/>
        <v>0.31458333333333333</v>
      </c>
    </row>
    <row r="646" spans="1:16" x14ac:dyDescent="0.3">
      <c r="A646" s="25">
        <f>YEAR('RETAIL SALES DATA.'!K645)</f>
        <v>2025</v>
      </c>
      <c r="B646" s="13" t="str">
        <v>Sep</v>
      </c>
      <c r="C646" s="42">
        <f>DAY('RETAIL SALES DATA.'!K645)</f>
        <v>21</v>
      </c>
      <c r="D646" s="13">
        <v>2025</v>
      </c>
      <c r="E646" s="13" t="str">
        <v>Sep</v>
      </c>
      <c r="F646" s="13">
        <v>22</v>
      </c>
      <c r="G646" s="10"/>
      <c r="H646" s="13">
        <f>NETWORKDAYS('RETAIL SALES DATA.'!K645,'RETAIL SALES DATA.'!L645)</f>
        <v>1</v>
      </c>
      <c r="I646" s="13">
        <v>1</v>
      </c>
      <c r="J646" s="10"/>
      <c r="K646" s="13">
        <v>12</v>
      </c>
      <c r="L646" s="13">
        <v>10</v>
      </c>
      <c r="M646" s="13">
        <v>47</v>
      </c>
      <c r="N646" s="13">
        <v>0</v>
      </c>
      <c r="O646" s="54">
        <f t="shared" si="20"/>
        <v>0.44930555555555557</v>
      </c>
      <c r="P646" s="55">
        <f t="shared" si="21"/>
        <v>0.53263888888888888</v>
      </c>
    </row>
    <row r="647" spans="1:16" x14ac:dyDescent="0.3">
      <c r="A647" s="25">
        <f>YEAR('RETAIL SALES DATA.'!K646)</f>
        <v>2025</v>
      </c>
      <c r="B647" s="13" t="str">
        <v>Nov</v>
      </c>
      <c r="C647" s="42">
        <f>DAY('RETAIL SALES DATA.'!K646)</f>
        <v>27</v>
      </c>
      <c r="D647" s="13">
        <v>2025</v>
      </c>
      <c r="E647" s="13" t="str">
        <v>Dec</v>
      </c>
      <c r="F647" s="13">
        <v>1</v>
      </c>
      <c r="G647" s="10"/>
      <c r="H647" s="13">
        <f>NETWORKDAYS('RETAIL SALES DATA.'!K646,'RETAIL SALES DATA.'!L646)</f>
        <v>3</v>
      </c>
      <c r="I647" s="13">
        <v>4</v>
      </c>
      <c r="J647" s="10"/>
      <c r="K647" s="13">
        <v>0</v>
      </c>
      <c r="L647" s="13">
        <v>8</v>
      </c>
      <c r="M647" s="13">
        <v>56</v>
      </c>
      <c r="N647" s="13">
        <v>0</v>
      </c>
      <c r="O647" s="54">
        <f t="shared" si="20"/>
        <v>0.37222222222222223</v>
      </c>
      <c r="P647" s="55">
        <f t="shared" si="21"/>
        <v>3.888888888888889E-2</v>
      </c>
    </row>
    <row r="648" spans="1:16" x14ac:dyDescent="0.3">
      <c r="A648" s="25">
        <f>YEAR('RETAIL SALES DATA.'!K647)</f>
        <v>2025</v>
      </c>
      <c r="B648" s="13" t="str">
        <v>Aug</v>
      </c>
      <c r="C648" s="42">
        <f>DAY('RETAIL SALES DATA.'!K647)</f>
        <v>6</v>
      </c>
      <c r="D648" s="13">
        <v>2025</v>
      </c>
      <c r="E648" s="13" t="str">
        <v>Aug</v>
      </c>
      <c r="F648" s="13">
        <v>9</v>
      </c>
      <c r="G648" s="10"/>
      <c r="H648" s="13">
        <f>NETWORKDAYS('RETAIL SALES DATA.'!K647,'RETAIL SALES DATA.'!L647)</f>
        <v>3</v>
      </c>
      <c r="I648" s="13">
        <v>3</v>
      </c>
      <c r="J648" s="10"/>
      <c r="K648" s="13">
        <v>4</v>
      </c>
      <c r="L648" s="13">
        <v>9</v>
      </c>
      <c r="M648" s="13">
        <v>45</v>
      </c>
      <c r="N648" s="13">
        <v>0</v>
      </c>
      <c r="O648" s="54">
        <f t="shared" si="20"/>
        <v>0.40625</v>
      </c>
      <c r="P648" s="55">
        <f t="shared" si="21"/>
        <v>0.19791666666666666</v>
      </c>
    </row>
    <row r="649" spans="1:16" x14ac:dyDescent="0.3">
      <c r="A649" s="25">
        <f>YEAR('RETAIL SALES DATA.'!K648)</f>
        <v>2024</v>
      </c>
      <c r="B649" s="13" t="str">
        <v>Aug</v>
      </c>
      <c r="C649" s="42">
        <f>DAY('RETAIL SALES DATA.'!K648)</f>
        <v>13</v>
      </c>
      <c r="D649" s="13">
        <v>2024</v>
      </c>
      <c r="E649" s="13" t="str">
        <v>Aug</v>
      </c>
      <c r="F649" s="13">
        <v>17</v>
      </c>
      <c r="G649" s="10"/>
      <c r="H649" s="13">
        <f>NETWORKDAYS('RETAIL SALES DATA.'!K648,'RETAIL SALES DATA.'!L648)</f>
        <v>4</v>
      </c>
      <c r="I649" s="13">
        <v>4</v>
      </c>
      <c r="J649" s="10"/>
      <c r="K649" s="13">
        <v>12</v>
      </c>
      <c r="L649" s="13">
        <v>10</v>
      </c>
      <c r="M649" s="13">
        <v>43</v>
      </c>
      <c r="N649" s="13">
        <v>0</v>
      </c>
      <c r="O649" s="54">
        <f t="shared" si="20"/>
        <v>0.4465277777777778</v>
      </c>
      <c r="P649" s="55">
        <f t="shared" si="21"/>
        <v>0.52986111111111112</v>
      </c>
    </row>
    <row r="650" spans="1:16" x14ac:dyDescent="0.3">
      <c r="A650" s="25">
        <f>YEAR('RETAIL SALES DATA.'!K649)</f>
        <v>2025</v>
      </c>
      <c r="B650" s="13" t="str">
        <v>Feb</v>
      </c>
      <c r="C650" s="42">
        <f>DAY('RETAIL SALES DATA.'!K649)</f>
        <v>9</v>
      </c>
      <c r="D650" s="13">
        <v>2025</v>
      </c>
      <c r="E650" s="13" t="str">
        <v>Feb</v>
      </c>
      <c r="F650" s="13">
        <v>14</v>
      </c>
      <c r="G650" s="10"/>
      <c r="H650" s="13">
        <f>NETWORKDAYS('RETAIL SALES DATA.'!K649,'RETAIL SALES DATA.'!L649)</f>
        <v>5</v>
      </c>
      <c r="I650" s="13">
        <v>5</v>
      </c>
      <c r="J650" s="10"/>
      <c r="K650" s="13">
        <v>0</v>
      </c>
      <c r="L650" s="13">
        <v>10</v>
      </c>
      <c r="M650" s="13">
        <v>1</v>
      </c>
      <c r="N650" s="13">
        <v>0</v>
      </c>
      <c r="O650" s="54">
        <f t="shared" si="20"/>
        <v>0.41736111111111113</v>
      </c>
      <c r="P650" s="55">
        <f t="shared" si="21"/>
        <v>6.9444444444444447E-4</v>
      </c>
    </row>
    <row r="651" spans="1:16" x14ac:dyDescent="0.3">
      <c r="A651" s="25">
        <f>YEAR('RETAIL SALES DATA.'!K650)</f>
        <v>2025</v>
      </c>
      <c r="B651" s="13" t="str">
        <v>Feb</v>
      </c>
      <c r="C651" s="42">
        <f>DAY('RETAIL SALES DATA.'!K650)</f>
        <v>1</v>
      </c>
      <c r="D651" s="13">
        <v>2025</v>
      </c>
      <c r="E651" s="13" t="str">
        <v>Feb</v>
      </c>
      <c r="F651" s="13">
        <v>2</v>
      </c>
      <c r="G651" s="10"/>
      <c r="H651" s="13">
        <f>NETWORKDAYS('RETAIL SALES DATA.'!K650,'RETAIL SALES DATA.'!L650)</f>
        <v>0</v>
      </c>
      <c r="I651" s="13">
        <v>1</v>
      </c>
      <c r="J651" s="10"/>
      <c r="K651" s="13">
        <v>12</v>
      </c>
      <c r="L651" s="13">
        <v>11</v>
      </c>
      <c r="M651" s="13">
        <v>33</v>
      </c>
      <c r="N651" s="13">
        <v>0</v>
      </c>
      <c r="O651" s="54">
        <f t="shared" si="20"/>
        <v>0.48125000000000001</v>
      </c>
      <c r="P651" s="55">
        <f t="shared" si="21"/>
        <v>0.5229166666666667</v>
      </c>
    </row>
    <row r="652" spans="1:16" x14ac:dyDescent="0.3">
      <c r="A652" s="25">
        <f>YEAR('RETAIL SALES DATA.'!K651)</f>
        <v>2025</v>
      </c>
      <c r="B652" s="13" t="str">
        <v>Mar</v>
      </c>
      <c r="C652" s="42">
        <f>DAY('RETAIL SALES DATA.'!K651)</f>
        <v>2</v>
      </c>
      <c r="D652" s="13">
        <v>2025</v>
      </c>
      <c r="E652" s="13" t="str">
        <v>Mar</v>
      </c>
      <c r="F652" s="13">
        <v>5</v>
      </c>
      <c r="G652" s="10"/>
      <c r="H652" s="13">
        <f>NETWORKDAYS('RETAIL SALES DATA.'!K651,'RETAIL SALES DATA.'!L651)</f>
        <v>3</v>
      </c>
      <c r="I652" s="13">
        <v>3</v>
      </c>
      <c r="J652" s="10"/>
      <c r="K652" s="13">
        <v>12</v>
      </c>
      <c r="L652" s="13">
        <v>10</v>
      </c>
      <c r="M652" s="13">
        <v>24</v>
      </c>
      <c r="N652" s="13">
        <v>0</v>
      </c>
      <c r="O652" s="54">
        <f t="shared" si="20"/>
        <v>0.43333333333333335</v>
      </c>
      <c r="P652" s="55">
        <f t="shared" si="21"/>
        <v>0.51666666666666672</v>
      </c>
    </row>
    <row r="653" spans="1:16" x14ac:dyDescent="0.3">
      <c r="A653" s="25">
        <f>YEAR('RETAIL SALES DATA.'!K652)</f>
        <v>2025</v>
      </c>
      <c r="B653" s="13" t="str">
        <v>Sep</v>
      </c>
      <c r="C653" s="42">
        <f>DAY('RETAIL SALES DATA.'!K652)</f>
        <v>1</v>
      </c>
      <c r="D653" s="13">
        <v>2025</v>
      </c>
      <c r="E653" s="13" t="str">
        <v>Sep</v>
      </c>
      <c r="F653" s="13">
        <v>6</v>
      </c>
      <c r="G653" s="10"/>
      <c r="H653" s="13">
        <f>NETWORKDAYS('RETAIL SALES DATA.'!K652,'RETAIL SALES DATA.'!L652)</f>
        <v>5</v>
      </c>
      <c r="I653" s="13">
        <v>5</v>
      </c>
      <c r="J653" s="10"/>
      <c r="K653" s="13">
        <v>16</v>
      </c>
      <c r="L653" s="13">
        <v>9</v>
      </c>
      <c r="M653" s="13">
        <v>21</v>
      </c>
      <c r="N653" s="13">
        <v>0</v>
      </c>
      <c r="O653" s="54">
        <f t="shared" si="20"/>
        <v>0.38958333333333334</v>
      </c>
      <c r="P653" s="55">
        <f t="shared" si="21"/>
        <v>0.68125000000000002</v>
      </c>
    </row>
    <row r="654" spans="1:16" x14ac:dyDescent="0.3">
      <c r="A654" s="25">
        <f>YEAR('RETAIL SALES DATA.'!K653)</f>
        <v>2024</v>
      </c>
      <c r="B654" s="13" t="str">
        <v>Aug</v>
      </c>
      <c r="C654" s="42">
        <f>DAY('RETAIL SALES DATA.'!K653)</f>
        <v>19</v>
      </c>
      <c r="D654" s="13">
        <v>2024</v>
      </c>
      <c r="E654" s="13" t="str">
        <v>Aug</v>
      </c>
      <c r="F654" s="13">
        <v>21</v>
      </c>
      <c r="G654" s="10"/>
      <c r="H654" s="13">
        <f>NETWORKDAYS('RETAIL SALES DATA.'!K653,'RETAIL SALES DATA.'!L653)</f>
        <v>3</v>
      </c>
      <c r="I654" s="13">
        <v>2</v>
      </c>
      <c r="J654" s="10"/>
      <c r="K654" s="13">
        <v>2</v>
      </c>
      <c r="L654" s="13">
        <v>9</v>
      </c>
      <c r="M654" s="13">
        <v>33</v>
      </c>
      <c r="N654" s="13">
        <v>0</v>
      </c>
      <c r="O654" s="54">
        <f t="shared" si="20"/>
        <v>0.39791666666666664</v>
      </c>
      <c r="P654" s="55">
        <f t="shared" si="21"/>
        <v>0.10625</v>
      </c>
    </row>
    <row r="655" spans="1:16" x14ac:dyDescent="0.3">
      <c r="A655" s="25">
        <f>YEAR('RETAIL SALES DATA.'!K654)</f>
        <v>2025</v>
      </c>
      <c r="B655" s="13" t="str">
        <v>Sep</v>
      </c>
      <c r="C655" s="42">
        <f>DAY('RETAIL SALES DATA.'!K654)</f>
        <v>19</v>
      </c>
      <c r="D655" s="13">
        <v>2025</v>
      </c>
      <c r="E655" s="13" t="str">
        <v>Sep</v>
      </c>
      <c r="F655" s="13">
        <v>25</v>
      </c>
      <c r="G655" s="10"/>
      <c r="H655" s="13">
        <f>NETWORKDAYS('RETAIL SALES DATA.'!K654,'RETAIL SALES DATA.'!L654)</f>
        <v>5</v>
      </c>
      <c r="I655" s="13">
        <v>6</v>
      </c>
      <c r="J655" s="10"/>
      <c r="K655" s="13">
        <v>0</v>
      </c>
      <c r="L655" s="13">
        <v>9</v>
      </c>
      <c r="M655" s="13">
        <v>10</v>
      </c>
      <c r="N655" s="13">
        <v>0</v>
      </c>
      <c r="O655" s="54">
        <f t="shared" si="20"/>
        <v>0.38194444444444442</v>
      </c>
      <c r="P655" s="55">
        <f t="shared" si="21"/>
        <v>6.9444444444444441E-3</v>
      </c>
    </row>
    <row r="656" spans="1:16" x14ac:dyDescent="0.3">
      <c r="A656" s="25">
        <f>YEAR('RETAIL SALES DATA.'!K655)</f>
        <v>2024</v>
      </c>
      <c r="B656" s="13" t="str">
        <v>Jun</v>
      </c>
      <c r="C656" s="42">
        <f>DAY('RETAIL SALES DATA.'!K655)</f>
        <v>2</v>
      </c>
      <c r="D656" s="13">
        <v>2024</v>
      </c>
      <c r="E656" s="13" t="str">
        <v>Jun</v>
      </c>
      <c r="F656" s="13">
        <v>9</v>
      </c>
      <c r="G656" s="10"/>
      <c r="H656" s="13">
        <f>NETWORKDAYS('RETAIL SALES DATA.'!K655,'RETAIL SALES DATA.'!L655)</f>
        <v>5</v>
      </c>
      <c r="I656" s="13">
        <v>7</v>
      </c>
      <c r="J656" s="10"/>
      <c r="K656" s="13">
        <v>7</v>
      </c>
      <c r="L656" s="13">
        <v>10</v>
      </c>
      <c r="M656" s="13">
        <v>34</v>
      </c>
      <c r="N656" s="13">
        <v>0</v>
      </c>
      <c r="O656" s="54">
        <f t="shared" si="20"/>
        <v>0.44027777777777777</v>
      </c>
      <c r="P656" s="55">
        <f t="shared" si="21"/>
        <v>0.31527777777777777</v>
      </c>
    </row>
    <row r="657" spans="1:16" x14ac:dyDescent="0.3">
      <c r="A657" s="25">
        <f>YEAR('RETAIL SALES DATA.'!K656)</f>
        <v>2025</v>
      </c>
      <c r="B657" s="13" t="str">
        <v>Aug</v>
      </c>
      <c r="C657" s="42">
        <f>DAY('RETAIL SALES DATA.'!K656)</f>
        <v>4</v>
      </c>
      <c r="D657" s="13">
        <v>2025</v>
      </c>
      <c r="E657" s="13" t="str">
        <v>Aug</v>
      </c>
      <c r="F657" s="13">
        <v>9</v>
      </c>
      <c r="G657" s="10"/>
      <c r="H657" s="13">
        <f>NETWORKDAYS('RETAIL SALES DATA.'!K656,'RETAIL SALES DATA.'!L656)</f>
        <v>5</v>
      </c>
      <c r="I657" s="13">
        <v>5</v>
      </c>
      <c r="J657" s="10"/>
      <c r="K657" s="13">
        <v>19</v>
      </c>
      <c r="L657" s="13">
        <v>9</v>
      </c>
      <c r="M657" s="13">
        <v>32</v>
      </c>
      <c r="N657" s="13">
        <v>0</v>
      </c>
      <c r="O657" s="54">
        <f t="shared" si="20"/>
        <v>0.3972222222222222</v>
      </c>
      <c r="P657" s="55">
        <f t="shared" si="21"/>
        <v>0.81388888888888888</v>
      </c>
    </row>
    <row r="658" spans="1:16" x14ac:dyDescent="0.3">
      <c r="A658" s="25">
        <f>YEAR('RETAIL SALES DATA.'!K657)</f>
        <v>2025</v>
      </c>
      <c r="B658" s="13" t="str">
        <v>Mar</v>
      </c>
      <c r="C658" s="42">
        <f>DAY('RETAIL SALES DATA.'!K657)</f>
        <v>1</v>
      </c>
      <c r="D658" s="13">
        <v>2025</v>
      </c>
      <c r="E658" s="13" t="str">
        <v>Mar</v>
      </c>
      <c r="F658" s="13">
        <v>6</v>
      </c>
      <c r="G658" s="10"/>
      <c r="H658" s="13">
        <f>NETWORKDAYS('RETAIL SALES DATA.'!K657,'RETAIL SALES DATA.'!L657)</f>
        <v>4</v>
      </c>
      <c r="I658" s="13">
        <v>5</v>
      </c>
      <c r="J658" s="10"/>
      <c r="K658" s="13">
        <v>9</v>
      </c>
      <c r="L658" s="13">
        <v>11</v>
      </c>
      <c r="M658" s="13">
        <v>26</v>
      </c>
      <c r="N658" s="13">
        <v>0</v>
      </c>
      <c r="O658" s="54">
        <f t="shared" si="20"/>
        <v>0.47638888888888886</v>
      </c>
      <c r="P658" s="55">
        <f t="shared" si="21"/>
        <v>0.39305555555555555</v>
      </c>
    </row>
    <row r="659" spans="1:16" x14ac:dyDescent="0.3">
      <c r="A659" s="25">
        <f>YEAR('RETAIL SALES DATA.'!K658)</f>
        <v>2025</v>
      </c>
      <c r="B659" s="13" t="str">
        <v>Nov</v>
      </c>
      <c r="C659" s="42">
        <f>DAY('RETAIL SALES DATA.'!K658)</f>
        <v>11</v>
      </c>
      <c r="D659" s="13">
        <v>2025</v>
      </c>
      <c r="E659" s="13" t="str">
        <v>Nov</v>
      </c>
      <c r="F659" s="13">
        <v>18</v>
      </c>
      <c r="G659" s="10"/>
      <c r="H659" s="13">
        <f>NETWORKDAYS('RETAIL SALES DATA.'!K658,'RETAIL SALES DATA.'!L658)</f>
        <v>6</v>
      </c>
      <c r="I659" s="13">
        <v>7</v>
      </c>
      <c r="J659" s="10"/>
      <c r="K659" s="13">
        <v>16</v>
      </c>
      <c r="L659" s="13">
        <v>10</v>
      </c>
      <c r="M659" s="13">
        <v>13</v>
      </c>
      <c r="N659" s="13">
        <v>0</v>
      </c>
      <c r="O659" s="54">
        <f t="shared" si="20"/>
        <v>0.42569444444444443</v>
      </c>
      <c r="P659" s="55">
        <f t="shared" si="21"/>
        <v>0.67569444444444449</v>
      </c>
    </row>
    <row r="660" spans="1:16" x14ac:dyDescent="0.3">
      <c r="A660" s="25">
        <f>YEAR('RETAIL SALES DATA.'!K659)</f>
        <v>2024</v>
      </c>
      <c r="B660" s="13" t="str">
        <v>Sep</v>
      </c>
      <c r="C660" s="42">
        <f>DAY('RETAIL SALES DATA.'!K659)</f>
        <v>6</v>
      </c>
      <c r="D660" s="13">
        <v>2024</v>
      </c>
      <c r="E660" s="13" t="str">
        <v>Sep</v>
      </c>
      <c r="F660" s="13">
        <v>8</v>
      </c>
      <c r="G660" s="10"/>
      <c r="H660" s="13">
        <f>NETWORKDAYS('RETAIL SALES DATA.'!K659,'RETAIL SALES DATA.'!L659)</f>
        <v>1</v>
      </c>
      <c r="I660" s="13">
        <v>2</v>
      </c>
      <c r="J660" s="10"/>
      <c r="K660" s="13">
        <v>16</v>
      </c>
      <c r="L660" s="13">
        <v>9</v>
      </c>
      <c r="M660" s="13">
        <v>50</v>
      </c>
      <c r="N660" s="13">
        <v>0</v>
      </c>
      <c r="O660" s="54">
        <f t="shared" si="20"/>
        <v>0.40972222222222221</v>
      </c>
      <c r="P660" s="55">
        <f t="shared" si="21"/>
        <v>0.70138888888888884</v>
      </c>
    </row>
    <row r="661" spans="1:16" x14ac:dyDescent="0.3">
      <c r="A661" s="25">
        <f>YEAR('RETAIL SALES DATA.'!K660)</f>
        <v>2025</v>
      </c>
      <c r="B661" s="13" t="str">
        <v>Nov</v>
      </c>
      <c r="C661" s="42">
        <f>DAY('RETAIL SALES DATA.'!K660)</f>
        <v>1</v>
      </c>
      <c r="D661" s="13">
        <v>2025</v>
      </c>
      <c r="E661" s="13" t="str">
        <v>Nov</v>
      </c>
      <c r="F661" s="13">
        <v>6</v>
      </c>
      <c r="G661" s="10"/>
      <c r="H661" s="13">
        <f>NETWORKDAYS('RETAIL SALES DATA.'!K660,'RETAIL SALES DATA.'!L660)</f>
        <v>4</v>
      </c>
      <c r="I661" s="13">
        <v>5</v>
      </c>
      <c r="J661" s="10"/>
      <c r="K661" s="13">
        <v>9</v>
      </c>
      <c r="L661" s="13">
        <v>9</v>
      </c>
      <c r="M661" s="13">
        <v>9</v>
      </c>
      <c r="N661" s="13">
        <v>0</v>
      </c>
      <c r="O661" s="54">
        <f t="shared" si="20"/>
        <v>0.38124999999999998</v>
      </c>
      <c r="P661" s="55">
        <f t="shared" si="21"/>
        <v>0.38124999999999998</v>
      </c>
    </row>
    <row r="662" spans="1:16" x14ac:dyDescent="0.3">
      <c r="A662" s="25">
        <f>YEAR('RETAIL SALES DATA.'!K661)</f>
        <v>2026</v>
      </c>
      <c r="B662" s="13" t="str">
        <v>Apr</v>
      </c>
      <c r="C662" s="42">
        <f>DAY('RETAIL SALES DATA.'!K661)</f>
        <v>24</v>
      </c>
      <c r="D662" s="13">
        <v>2026</v>
      </c>
      <c r="E662" s="13" t="str">
        <v>May</v>
      </c>
      <c r="F662" s="13">
        <v>1</v>
      </c>
      <c r="G662" s="10"/>
      <c r="H662" s="13">
        <f>NETWORKDAYS('RETAIL SALES DATA.'!K661,'RETAIL SALES DATA.'!L661)</f>
        <v>6</v>
      </c>
      <c r="I662" s="13">
        <v>7</v>
      </c>
      <c r="J662" s="10"/>
      <c r="K662" s="13">
        <v>2</v>
      </c>
      <c r="L662" s="13">
        <v>10</v>
      </c>
      <c r="M662" s="13">
        <v>27</v>
      </c>
      <c r="N662" s="13">
        <v>0</v>
      </c>
      <c r="O662" s="54">
        <f t="shared" si="20"/>
        <v>0.43541666666666667</v>
      </c>
      <c r="P662" s="55">
        <f t="shared" si="21"/>
        <v>0.10208333333333333</v>
      </c>
    </row>
    <row r="663" spans="1:16" x14ac:dyDescent="0.3">
      <c r="A663" s="25">
        <f>YEAR('RETAIL SALES DATA.'!K662)</f>
        <v>2024</v>
      </c>
      <c r="B663" s="13" t="str">
        <v>Jul</v>
      </c>
      <c r="C663" s="42">
        <f>DAY('RETAIL SALES DATA.'!K662)</f>
        <v>23</v>
      </c>
      <c r="D663" s="13">
        <v>2024</v>
      </c>
      <c r="E663" s="13" t="str">
        <v>Jul</v>
      </c>
      <c r="F663" s="13">
        <v>27</v>
      </c>
      <c r="G663" s="10"/>
      <c r="H663" s="13">
        <f>NETWORKDAYS('RETAIL SALES DATA.'!K662,'RETAIL SALES DATA.'!L662)</f>
        <v>4</v>
      </c>
      <c r="I663" s="13">
        <v>4</v>
      </c>
      <c r="J663" s="10"/>
      <c r="K663" s="13">
        <v>12</v>
      </c>
      <c r="L663" s="13">
        <v>9</v>
      </c>
      <c r="M663" s="13">
        <v>2</v>
      </c>
      <c r="N663" s="13">
        <v>0</v>
      </c>
      <c r="O663" s="54">
        <f t="shared" si="20"/>
        <v>0.37638888888888888</v>
      </c>
      <c r="P663" s="55">
        <f t="shared" si="21"/>
        <v>0.50138888888888888</v>
      </c>
    </row>
    <row r="664" spans="1:16" x14ac:dyDescent="0.3">
      <c r="A664" s="25">
        <f>YEAR('RETAIL SALES DATA.'!K663)</f>
        <v>2025</v>
      </c>
      <c r="B664" s="13" t="str">
        <v>Apr</v>
      </c>
      <c r="C664" s="42">
        <f>DAY('RETAIL SALES DATA.'!K663)</f>
        <v>17</v>
      </c>
      <c r="D664" s="13">
        <v>2025</v>
      </c>
      <c r="E664" s="13" t="str">
        <v>Apr</v>
      </c>
      <c r="F664" s="13">
        <v>24</v>
      </c>
      <c r="G664" s="10"/>
      <c r="H664" s="13">
        <f>NETWORKDAYS('RETAIL SALES DATA.'!K663,'RETAIL SALES DATA.'!L663)</f>
        <v>6</v>
      </c>
      <c r="I664" s="13">
        <v>7</v>
      </c>
      <c r="J664" s="10"/>
      <c r="K664" s="13">
        <v>14</v>
      </c>
      <c r="L664" s="13">
        <v>11</v>
      </c>
      <c r="M664" s="13">
        <v>12</v>
      </c>
      <c r="N664" s="13">
        <v>0</v>
      </c>
      <c r="O664" s="54">
        <f t="shared" si="20"/>
        <v>0.46666666666666667</v>
      </c>
      <c r="P664" s="55">
        <f t="shared" si="21"/>
        <v>0.59166666666666667</v>
      </c>
    </row>
    <row r="665" spans="1:16" x14ac:dyDescent="0.3">
      <c r="A665" s="25">
        <f>YEAR('RETAIL SALES DATA.'!K664)</f>
        <v>2025</v>
      </c>
      <c r="B665" s="13" t="str">
        <v>Sep</v>
      </c>
      <c r="C665" s="42">
        <f>DAY('RETAIL SALES DATA.'!K664)</f>
        <v>28</v>
      </c>
      <c r="D665" s="13">
        <v>2025</v>
      </c>
      <c r="E665" s="13" t="str">
        <v>Oct</v>
      </c>
      <c r="F665" s="13">
        <v>8</v>
      </c>
      <c r="G665" s="10"/>
      <c r="H665" s="13">
        <f>NETWORKDAYS('RETAIL SALES DATA.'!K664,'RETAIL SALES DATA.'!L664)</f>
        <v>8</v>
      </c>
      <c r="I665" s="13">
        <v>10</v>
      </c>
      <c r="J665" s="10"/>
      <c r="K665" s="13">
        <v>7</v>
      </c>
      <c r="L665" s="13">
        <v>10</v>
      </c>
      <c r="M665" s="13">
        <v>12</v>
      </c>
      <c r="N665" s="13">
        <v>0</v>
      </c>
      <c r="O665" s="54">
        <f t="shared" si="20"/>
        <v>0.42499999999999999</v>
      </c>
      <c r="P665" s="55">
        <f t="shared" si="21"/>
        <v>0.3</v>
      </c>
    </row>
    <row r="666" spans="1:16" x14ac:dyDescent="0.3">
      <c r="A666" s="25">
        <f>YEAR('RETAIL SALES DATA.'!K665)</f>
        <v>2024</v>
      </c>
      <c r="B666" s="13" t="str">
        <v>Oct</v>
      </c>
      <c r="C666" s="42">
        <f>DAY('RETAIL SALES DATA.'!K665)</f>
        <v>10</v>
      </c>
      <c r="D666" s="13">
        <v>2024</v>
      </c>
      <c r="E666" s="13" t="str">
        <v>Oct</v>
      </c>
      <c r="F666" s="13">
        <v>13</v>
      </c>
      <c r="G666" s="10"/>
      <c r="H666" s="13">
        <f>NETWORKDAYS('RETAIL SALES DATA.'!K665,'RETAIL SALES DATA.'!L665)</f>
        <v>2</v>
      </c>
      <c r="I666" s="13">
        <v>3</v>
      </c>
      <c r="J666" s="10"/>
      <c r="K666" s="13">
        <v>14</v>
      </c>
      <c r="L666" s="13">
        <v>8</v>
      </c>
      <c r="M666" s="13">
        <v>8</v>
      </c>
      <c r="N666" s="13">
        <v>0</v>
      </c>
      <c r="O666" s="54">
        <f t="shared" si="20"/>
        <v>0.33888888888888891</v>
      </c>
      <c r="P666" s="55">
        <f t="shared" si="21"/>
        <v>0.58888888888888891</v>
      </c>
    </row>
    <row r="667" spans="1:16" x14ac:dyDescent="0.3">
      <c r="A667" s="25">
        <f>YEAR('RETAIL SALES DATA.'!K666)</f>
        <v>2025</v>
      </c>
      <c r="B667" s="13" t="str">
        <v>May</v>
      </c>
      <c r="C667" s="42">
        <f>DAY('RETAIL SALES DATA.'!K666)</f>
        <v>11</v>
      </c>
      <c r="D667" s="13">
        <v>2025</v>
      </c>
      <c r="E667" s="13" t="str">
        <v>May</v>
      </c>
      <c r="F667" s="13">
        <v>17</v>
      </c>
      <c r="G667" s="10"/>
      <c r="H667" s="13">
        <f>NETWORKDAYS('RETAIL SALES DATA.'!K666,'RETAIL SALES DATA.'!L666)</f>
        <v>5</v>
      </c>
      <c r="I667" s="13">
        <v>6</v>
      </c>
      <c r="J667" s="10"/>
      <c r="K667" s="13">
        <v>4</v>
      </c>
      <c r="L667" s="13">
        <v>9</v>
      </c>
      <c r="M667" s="13">
        <v>29</v>
      </c>
      <c r="N667" s="13">
        <v>0</v>
      </c>
      <c r="O667" s="54">
        <f t="shared" si="20"/>
        <v>0.39513888888888887</v>
      </c>
      <c r="P667" s="55">
        <f t="shared" si="21"/>
        <v>0.18680555555555556</v>
      </c>
    </row>
    <row r="668" spans="1:16" x14ac:dyDescent="0.3">
      <c r="A668" s="25">
        <f>YEAR('RETAIL SALES DATA.'!K667)</f>
        <v>2024</v>
      </c>
      <c r="B668" s="13" t="str">
        <v>Sep</v>
      </c>
      <c r="C668" s="42">
        <f>DAY('RETAIL SALES DATA.'!K667)</f>
        <v>10</v>
      </c>
      <c r="D668" s="13">
        <v>2024</v>
      </c>
      <c r="E668" s="13" t="str">
        <v>Sep</v>
      </c>
      <c r="F668" s="13">
        <v>15</v>
      </c>
      <c r="G668" s="10"/>
      <c r="H668" s="13">
        <f>NETWORKDAYS('RETAIL SALES DATA.'!K667,'RETAIL SALES DATA.'!L667)</f>
        <v>4</v>
      </c>
      <c r="I668" s="13">
        <v>5</v>
      </c>
      <c r="J668" s="10"/>
      <c r="K668" s="13">
        <v>14</v>
      </c>
      <c r="L668" s="13">
        <v>8</v>
      </c>
      <c r="M668" s="13">
        <v>53</v>
      </c>
      <c r="N668" s="13">
        <v>0</v>
      </c>
      <c r="O668" s="54">
        <f t="shared" si="20"/>
        <v>0.37013888888888891</v>
      </c>
      <c r="P668" s="55">
        <f t="shared" si="21"/>
        <v>0.62013888888888891</v>
      </c>
    </row>
    <row r="669" spans="1:16" x14ac:dyDescent="0.3">
      <c r="A669" s="25">
        <f>YEAR('RETAIL SALES DATA.'!K668)</f>
        <v>2024</v>
      </c>
      <c r="B669" s="13" t="str">
        <v>Jun</v>
      </c>
      <c r="C669" s="42">
        <f>DAY('RETAIL SALES DATA.'!K668)</f>
        <v>22</v>
      </c>
      <c r="D669" s="13">
        <v>2024</v>
      </c>
      <c r="E669" s="13" t="str">
        <v>Jun</v>
      </c>
      <c r="F669" s="13">
        <v>30</v>
      </c>
      <c r="G669" s="10"/>
      <c r="H669" s="13">
        <f>NETWORKDAYS('RETAIL SALES DATA.'!K668,'RETAIL SALES DATA.'!L668)</f>
        <v>5</v>
      </c>
      <c r="I669" s="13">
        <v>8</v>
      </c>
      <c r="J669" s="10"/>
      <c r="K669" s="13">
        <v>9</v>
      </c>
      <c r="L669" s="13">
        <v>11</v>
      </c>
      <c r="M669" s="13">
        <v>11</v>
      </c>
      <c r="N669" s="13">
        <v>0</v>
      </c>
      <c r="O669" s="54">
        <f t="shared" si="20"/>
        <v>0.46597222222222223</v>
      </c>
      <c r="P669" s="55">
        <f t="shared" si="21"/>
        <v>0.38263888888888886</v>
      </c>
    </row>
    <row r="670" spans="1:16" x14ac:dyDescent="0.3">
      <c r="A670" s="25">
        <f>YEAR('RETAIL SALES DATA.'!K669)</f>
        <v>2024</v>
      </c>
      <c r="B670" s="13" t="str">
        <v>Oct</v>
      </c>
      <c r="C670" s="42">
        <f>DAY('RETAIL SALES DATA.'!K669)</f>
        <v>23</v>
      </c>
      <c r="D670" s="13">
        <v>2024</v>
      </c>
      <c r="E670" s="13" t="str">
        <v>Oct</v>
      </c>
      <c r="F670" s="13">
        <v>27</v>
      </c>
      <c r="G670" s="10"/>
      <c r="H670" s="13">
        <f>NETWORKDAYS('RETAIL SALES DATA.'!K669,'RETAIL SALES DATA.'!L669)</f>
        <v>3</v>
      </c>
      <c r="I670" s="13">
        <v>4</v>
      </c>
      <c r="J670" s="10"/>
      <c r="K670" s="13">
        <v>16</v>
      </c>
      <c r="L670" s="13">
        <v>11</v>
      </c>
      <c r="M670" s="13">
        <v>38</v>
      </c>
      <c r="N670" s="13">
        <v>0</v>
      </c>
      <c r="O670" s="54">
        <f t="shared" si="20"/>
        <v>0.48472222222222222</v>
      </c>
      <c r="P670" s="55">
        <f t="shared" si="21"/>
        <v>0.69305555555555554</v>
      </c>
    </row>
    <row r="671" spans="1:16" x14ac:dyDescent="0.3">
      <c r="A671" s="25">
        <f>YEAR('RETAIL SALES DATA.'!K670)</f>
        <v>2025</v>
      </c>
      <c r="B671" s="13" t="str">
        <v>Dec</v>
      </c>
      <c r="C671" s="42">
        <f>DAY('RETAIL SALES DATA.'!K670)</f>
        <v>24</v>
      </c>
      <c r="D671" s="13">
        <v>2025</v>
      </c>
      <c r="E671" s="13" t="str">
        <v>Dec</v>
      </c>
      <c r="F671" s="13">
        <v>27</v>
      </c>
      <c r="G671" s="10"/>
      <c r="H671" s="13">
        <f>NETWORKDAYS('RETAIL SALES DATA.'!K670,'RETAIL SALES DATA.'!L670)</f>
        <v>3</v>
      </c>
      <c r="I671" s="13">
        <v>3</v>
      </c>
      <c r="J671" s="10"/>
      <c r="K671" s="13">
        <v>14</v>
      </c>
      <c r="L671" s="13">
        <v>10</v>
      </c>
      <c r="M671" s="13">
        <v>23</v>
      </c>
      <c r="N671" s="13">
        <v>0</v>
      </c>
      <c r="O671" s="54">
        <f t="shared" si="20"/>
        <v>0.43263888888888891</v>
      </c>
      <c r="P671" s="55">
        <f t="shared" si="21"/>
        <v>0.59930555555555554</v>
      </c>
    </row>
    <row r="672" spans="1:16" x14ac:dyDescent="0.3">
      <c r="A672" s="25">
        <f>YEAR('RETAIL SALES DATA.'!K671)</f>
        <v>2025</v>
      </c>
      <c r="B672" s="13" t="str">
        <v>Apr</v>
      </c>
      <c r="C672" s="42">
        <f>DAY('RETAIL SALES DATA.'!K671)</f>
        <v>26</v>
      </c>
      <c r="D672" s="13">
        <v>2025</v>
      </c>
      <c r="E672" s="13" t="str">
        <v>Apr</v>
      </c>
      <c r="F672" s="13">
        <v>30</v>
      </c>
      <c r="G672" s="10"/>
      <c r="H672" s="13">
        <f>NETWORKDAYS('RETAIL SALES DATA.'!K671,'RETAIL SALES DATA.'!L671)</f>
        <v>3</v>
      </c>
      <c r="I672" s="13">
        <v>4</v>
      </c>
      <c r="J672" s="10"/>
      <c r="K672" s="13">
        <v>14</v>
      </c>
      <c r="L672" s="13">
        <v>9</v>
      </c>
      <c r="M672" s="13">
        <v>40</v>
      </c>
      <c r="N672" s="13">
        <v>0</v>
      </c>
      <c r="O672" s="54">
        <f t="shared" si="20"/>
        <v>0.40277777777777779</v>
      </c>
      <c r="P672" s="55">
        <f t="shared" si="21"/>
        <v>0.61111111111111116</v>
      </c>
    </row>
    <row r="673" spans="1:16" x14ac:dyDescent="0.3">
      <c r="A673" s="25">
        <f>YEAR('RETAIL SALES DATA.'!K672)</f>
        <v>2025</v>
      </c>
      <c r="B673" s="13" t="str">
        <v>Mar</v>
      </c>
      <c r="C673" s="42">
        <f>DAY('RETAIL SALES DATA.'!K672)</f>
        <v>20</v>
      </c>
      <c r="D673" s="13">
        <v>2025</v>
      </c>
      <c r="E673" s="13" t="str">
        <v>Mar</v>
      </c>
      <c r="F673" s="13">
        <v>28</v>
      </c>
      <c r="G673" s="10"/>
      <c r="H673" s="13">
        <f>NETWORKDAYS('RETAIL SALES DATA.'!K672,'RETAIL SALES DATA.'!L672)</f>
        <v>7</v>
      </c>
      <c r="I673" s="13">
        <v>8</v>
      </c>
      <c r="J673" s="10"/>
      <c r="K673" s="13">
        <v>12</v>
      </c>
      <c r="L673" s="13">
        <v>8</v>
      </c>
      <c r="M673" s="13">
        <v>55</v>
      </c>
      <c r="N673" s="13">
        <v>0</v>
      </c>
      <c r="O673" s="54">
        <f t="shared" si="20"/>
        <v>0.37152777777777779</v>
      </c>
      <c r="P673" s="55">
        <f t="shared" si="21"/>
        <v>0.53819444444444442</v>
      </c>
    </row>
    <row r="674" spans="1:16" x14ac:dyDescent="0.3">
      <c r="A674" s="25">
        <f>YEAR('RETAIL SALES DATA.'!K673)</f>
        <v>2026</v>
      </c>
      <c r="B674" s="13" t="str">
        <v>Mar</v>
      </c>
      <c r="C674" s="42">
        <f>DAY('RETAIL SALES DATA.'!K673)</f>
        <v>1</v>
      </c>
      <c r="D674" s="13">
        <v>2026</v>
      </c>
      <c r="E674" s="13" t="str">
        <v>Mar</v>
      </c>
      <c r="F674" s="13">
        <v>4</v>
      </c>
      <c r="G674" s="10"/>
      <c r="H674" s="13">
        <f>NETWORKDAYS('RETAIL SALES DATA.'!K673,'RETAIL SALES DATA.'!L673)</f>
        <v>3</v>
      </c>
      <c r="I674" s="13">
        <v>3</v>
      </c>
      <c r="J674" s="10"/>
      <c r="K674" s="13">
        <v>2</v>
      </c>
      <c r="L674" s="13">
        <v>8</v>
      </c>
      <c r="M674" s="13">
        <v>24</v>
      </c>
      <c r="N674" s="13">
        <v>0</v>
      </c>
      <c r="O674" s="54">
        <f t="shared" si="20"/>
        <v>0.35</v>
      </c>
      <c r="P674" s="55">
        <f t="shared" si="21"/>
        <v>0.1</v>
      </c>
    </row>
    <row r="675" spans="1:16" x14ac:dyDescent="0.3">
      <c r="A675" s="25">
        <f>YEAR('RETAIL SALES DATA.'!K674)</f>
        <v>2024</v>
      </c>
      <c r="B675" s="13" t="str">
        <v>Dec</v>
      </c>
      <c r="C675" s="42">
        <f>DAY('RETAIL SALES DATA.'!K674)</f>
        <v>8</v>
      </c>
      <c r="D675" s="13">
        <v>2024</v>
      </c>
      <c r="E675" s="13" t="str">
        <v>Dec</v>
      </c>
      <c r="F675" s="13">
        <v>15</v>
      </c>
      <c r="G675" s="10"/>
      <c r="H675" s="13">
        <f>NETWORKDAYS('RETAIL SALES DATA.'!K674,'RETAIL SALES DATA.'!L674)</f>
        <v>5</v>
      </c>
      <c r="I675" s="13">
        <v>7</v>
      </c>
      <c r="J675" s="10"/>
      <c r="K675" s="13">
        <v>4</v>
      </c>
      <c r="L675" s="13">
        <v>9</v>
      </c>
      <c r="M675" s="13">
        <v>26</v>
      </c>
      <c r="N675" s="13">
        <v>0</v>
      </c>
      <c r="O675" s="54">
        <f t="shared" si="20"/>
        <v>0.39305555555555555</v>
      </c>
      <c r="P675" s="55">
        <f t="shared" si="21"/>
        <v>0.18472222222222223</v>
      </c>
    </row>
    <row r="676" spans="1:16" x14ac:dyDescent="0.3">
      <c r="A676" s="25">
        <f>YEAR('RETAIL SALES DATA.'!K675)</f>
        <v>2024</v>
      </c>
      <c r="B676" s="13" t="str">
        <v>Sep</v>
      </c>
      <c r="C676" s="42">
        <f>DAY('RETAIL SALES DATA.'!K675)</f>
        <v>12</v>
      </c>
      <c r="D676" s="13">
        <v>2024</v>
      </c>
      <c r="E676" s="13" t="str">
        <v>Sep</v>
      </c>
      <c r="F676" s="13">
        <v>15</v>
      </c>
      <c r="G676" s="10"/>
      <c r="H676" s="13">
        <f>NETWORKDAYS('RETAIL SALES DATA.'!K675,'RETAIL SALES DATA.'!L675)</f>
        <v>2</v>
      </c>
      <c r="I676" s="13">
        <v>3</v>
      </c>
      <c r="J676" s="10"/>
      <c r="K676" s="13">
        <v>9</v>
      </c>
      <c r="L676" s="13">
        <v>10</v>
      </c>
      <c r="M676" s="13">
        <v>57</v>
      </c>
      <c r="N676" s="13">
        <v>0</v>
      </c>
      <c r="O676" s="54">
        <f t="shared" si="20"/>
        <v>0.45624999999999999</v>
      </c>
      <c r="P676" s="55">
        <f t="shared" si="21"/>
        <v>0.41458333333333336</v>
      </c>
    </row>
    <row r="677" spans="1:16" x14ac:dyDescent="0.3">
      <c r="A677" s="25">
        <f>YEAR('RETAIL SALES DATA.'!K676)</f>
        <v>2025</v>
      </c>
      <c r="B677" s="13" t="str">
        <v>May</v>
      </c>
      <c r="C677" s="42">
        <f>DAY('RETAIL SALES DATA.'!K676)</f>
        <v>11</v>
      </c>
      <c r="D677" s="13">
        <v>2025</v>
      </c>
      <c r="E677" s="13" t="str">
        <v>May</v>
      </c>
      <c r="F677" s="13">
        <v>21</v>
      </c>
      <c r="G677" s="10"/>
      <c r="H677" s="13">
        <f>NETWORKDAYS('RETAIL SALES DATA.'!K676,'RETAIL SALES DATA.'!L676)</f>
        <v>8</v>
      </c>
      <c r="I677" s="13">
        <v>10</v>
      </c>
      <c r="J677" s="10"/>
      <c r="K677" s="13">
        <v>21</v>
      </c>
      <c r="L677" s="13">
        <v>8</v>
      </c>
      <c r="M677" s="13">
        <v>10</v>
      </c>
      <c r="N677" s="13">
        <v>0</v>
      </c>
      <c r="O677" s="54">
        <f t="shared" si="20"/>
        <v>0.34027777777777779</v>
      </c>
      <c r="P677" s="55">
        <f t="shared" si="21"/>
        <v>0.88194444444444442</v>
      </c>
    </row>
    <row r="678" spans="1:16" x14ac:dyDescent="0.3">
      <c r="A678" s="25">
        <f>YEAR('RETAIL SALES DATA.'!K677)</f>
        <v>2025</v>
      </c>
      <c r="B678" s="13" t="str">
        <v>Oct</v>
      </c>
      <c r="C678" s="42">
        <f>DAY('RETAIL SALES DATA.'!K677)</f>
        <v>18</v>
      </c>
      <c r="D678" s="13">
        <v>2025</v>
      </c>
      <c r="E678" s="13" t="str">
        <v>Oct</v>
      </c>
      <c r="F678" s="13">
        <v>23</v>
      </c>
      <c r="G678" s="10"/>
      <c r="H678" s="13">
        <f>NETWORKDAYS('RETAIL SALES DATA.'!K677,'RETAIL SALES DATA.'!L677)</f>
        <v>4</v>
      </c>
      <c r="I678" s="13">
        <v>5</v>
      </c>
      <c r="J678" s="10"/>
      <c r="K678" s="13">
        <v>12</v>
      </c>
      <c r="L678" s="13">
        <v>11</v>
      </c>
      <c r="M678" s="13">
        <v>38</v>
      </c>
      <c r="N678" s="13">
        <v>0</v>
      </c>
      <c r="O678" s="54">
        <f t="shared" si="20"/>
        <v>0.48472222222222222</v>
      </c>
      <c r="P678" s="55">
        <f t="shared" si="21"/>
        <v>0.52638888888888891</v>
      </c>
    </row>
    <row r="679" spans="1:16" x14ac:dyDescent="0.3">
      <c r="A679" s="25">
        <f>YEAR('RETAIL SALES DATA.'!K678)</f>
        <v>2025</v>
      </c>
      <c r="B679" s="13" t="str">
        <v>May</v>
      </c>
      <c r="C679" s="42">
        <f>DAY('RETAIL SALES DATA.'!K678)</f>
        <v>13</v>
      </c>
      <c r="D679" s="13">
        <v>2025</v>
      </c>
      <c r="E679" s="13" t="str">
        <v>May</v>
      </c>
      <c r="F679" s="13">
        <v>17</v>
      </c>
      <c r="G679" s="10"/>
      <c r="H679" s="13">
        <f>NETWORKDAYS('RETAIL SALES DATA.'!K678,'RETAIL SALES DATA.'!L678)</f>
        <v>4</v>
      </c>
      <c r="I679" s="13">
        <v>4</v>
      </c>
      <c r="J679" s="10"/>
      <c r="K679" s="13">
        <v>9</v>
      </c>
      <c r="L679" s="13">
        <v>9</v>
      </c>
      <c r="M679" s="13">
        <v>39</v>
      </c>
      <c r="N679" s="13">
        <v>0</v>
      </c>
      <c r="O679" s="54">
        <f t="shared" si="20"/>
        <v>0.40208333333333335</v>
      </c>
      <c r="P679" s="55">
        <f t="shared" si="21"/>
        <v>0.40208333333333335</v>
      </c>
    </row>
    <row r="680" spans="1:16" x14ac:dyDescent="0.3">
      <c r="A680" s="25">
        <f>YEAR('RETAIL SALES DATA.'!K679)</f>
        <v>2025</v>
      </c>
      <c r="B680" s="13" t="str">
        <v>Mar</v>
      </c>
      <c r="C680" s="42">
        <f>DAY('RETAIL SALES DATA.'!K679)</f>
        <v>2</v>
      </c>
      <c r="D680" s="13">
        <v>2025</v>
      </c>
      <c r="E680" s="13" t="str">
        <v>Mar</v>
      </c>
      <c r="F680" s="13">
        <v>5</v>
      </c>
      <c r="G680" s="10"/>
      <c r="H680" s="13">
        <f>NETWORKDAYS('RETAIL SALES DATA.'!K679,'RETAIL SALES DATA.'!L679)</f>
        <v>3</v>
      </c>
      <c r="I680" s="13">
        <v>3</v>
      </c>
      <c r="J680" s="10"/>
      <c r="K680" s="13">
        <v>19</v>
      </c>
      <c r="L680" s="13">
        <v>11</v>
      </c>
      <c r="M680" s="13">
        <v>46</v>
      </c>
      <c r="N680" s="13">
        <v>0</v>
      </c>
      <c r="O680" s="54">
        <f t="shared" si="20"/>
        <v>0.49027777777777776</v>
      </c>
      <c r="P680" s="55">
        <f t="shared" si="21"/>
        <v>0.82361111111111107</v>
      </c>
    </row>
    <row r="681" spans="1:16" x14ac:dyDescent="0.3">
      <c r="A681" s="25">
        <f>YEAR('RETAIL SALES DATA.'!K680)</f>
        <v>2026</v>
      </c>
      <c r="B681" s="13" t="str">
        <v>Feb</v>
      </c>
      <c r="C681" s="42">
        <f>DAY('RETAIL SALES DATA.'!K680)</f>
        <v>24</v>
      </c>
      <c r="D681" s="13">
        <v>2026</v>
      </c>
      <c r="E681" s="13" t="str">
        <v>Feb</v>
      </c>
      <c r="F681" s="13">
        <v>28</v>
      </c>
      <c r="G681" s="10"/>
      <c r="H681" s="13">
        <f>NETWORKDAYS('RETAIL SALES DATA.'!K680,'RETAIL SALES DATA.'!L680)</f>
        <v>4</v>
      </c>
      <c r="I681" s="13">
        <v>4</v>
      </c>
      <c r="J681" s="10"/>
      <c r="K681" s="13">
        <v>16</v>
      </c>
      <c r="L681" s="13">
        <v>8</v>
      </c>
      <c r="M681" s="13">
        <v>30</v>
      </c>
      <c r="N681" s="13">
        <v>0</v>
      </c>
      <c r="O681" s="54">
        <f t="shared" si="20"/>
        <v>0.35416666666666669</v>
      </c>
      <c r="P681" s="55">
        <f t="shared" si="21"/>
        <v>0.6875</v>
      </c>
    </row>
    <row r="682" spans="1:16" x14ac:dyDescent="0.3">
      <c r="A682" s="25">
        <f>YEAR('RETAIL SALES DATA.'!K681)</f>
        <v>2025</v>
      </c>
      <c r="B682" s="13" t="str">
        <v>Mar</v>
      </c>
      <c r="C682" s="42">
        <f>DAY('RETAIL SALES DATA.'!K681)</f>
        <v>13</v>
      </c>
      <c r="D682" s="13">
        <v>2025</v>
      </c>
      <c r="E682" s="13" t="str">
        <v>Mar</v>
      </c>
      <c r="F682" s="13">
        <v>18</v>
      </c>
      <c r="G682" s="10"/>
      <c r="H682" s="13">
        <f>NETWORKDAYS('RETAIL SALES DATA.'!K681,'RETAIL SALES DATA.'!L681)</f>
        <v>4</v>
      </c>
      <c r="I682" s="13">
        <v>5</v>
      </c>
      <c r="J682" s="10"/>
      <c r="K682" s="13">
        <v>9</v>
      </c>
      <c r="L682" s="13">
        <v>8</v>
      </c>
      <c r="M682" s="13">
        <v>4</v>
      </c>
      <c r="N682" s="13">
        <v>0</v>
      </c>
      <c r="O682" s="54">
        <f t="shared" si="20"/>
        <v>0.33611111111111114</v>
      </c>
      <c r="P682" s="55">
        <f t="shared" si="21"/>
        <v>0.37777777777777777</v>
      </c>
    </row>
    <row r="683" spans="1:16" x14ac:dyDescent="0.3">
      <c r="A683" s="25">
        <f>YEAR('RETAIL SALES DATA.'!K682)</f>
        <v>2026</v>
      </c>
      <c r="B683" s="13" t="str">
        <v>Feb</v>
      </c>
      <c r="C683" s="42">
        <f>DAY('RETAIL SALES DATA.'!K682)</f>
        <v>12</v>
      </c>
      <c r="D683" s="13">
        <v>2026</v>
      </c>
      <c r="E683" s="13" t="str">
        <v>Feb</v>
      </c>
      <c r="F683" s="13">
        <v>15</v>
      </c>
      <c r="G683" s="10"/>
      <c r="H683" s="13">
        <f>NETWORKDAYS('RETAIL SALES DATA.'!K682,'RETAIL SALES DATA.'!L682)</f>
        <v>2</v>
      </c>
      <c r="I683" s="13">
        <v>3</v>
      </c>
      <c r="J683" s="10"/>
      <c r="K683" s="13">
        <v>0</v>
      </c>
      <c r="L683" s="13">
        <v>8</v>
      </c>
      <c r="M683" s="13">
        <v>47</v>
      </c>
      <c r="N683" s="13">
        <v>0</v>
      </c>
      <c r="O683" s="54">
        <f t="shared" si="20"/>
        <v>0.3659722222222222</v>
      </c>
      <c r="P683" s="55">
        <f t="shared" si="21"/>
        <v>3.2638888888888891E-2</v>
      </c>
    </row>
    <row r="684" spans="1:16" x14ac:dyDescent="0.3">
      <c r="A684" s="25">
        <f>YEAR('RETAIL SALES DATA.'!K683)</f>
        <v>2025</v>
      </c>
      <c r="B684" s="13" t="str">
        <v>Aug</v>
      </c>
      <c r="C684" s="42">
        <f>DAY('RETAIL SALES DATA.'!K683)</f>
        <v>28</v>
      </c>
      <c r="D684" s="13">
        <v>2025</v>
      </c>
      <c r="E684" s="13" t="str">
        <v>Sep</v>
      </c>
      <c r="F684" s="13">
        <v>3</v>
      </c>
      <c r="G684" s="10"/>
      <c r="H684" s="13">
        <f>NETWORKDAYS('RETAIL SALES DATA.'!K683,'RETAIL SALES DATA.'!L683)</f>
        <v>5</v>
      </c>
      <c r="I684" s="13">
        <v>6</v>
      </c>
      <c r="J684" s="10"/>
      <c r="K684" s="13">
        <v>4</v>
      </c>
      <c r="L684" s="13">
        <v>9</v>
      </c>
      <c r="M684" s="13">
        <v>37</v>
      </c>
      <c r="N684" s="13">
        <v>0</v>
      </c>
      <c r="O684" s="54">
        <f t="shared" si="20"/>
        <v>0.40069444444444446</v>
      </c>
      <c r="P684" s="55">
        <f t="shared" si="21"/>
        <v>0.19236111111111112</v>
      </c>
    </row>
    <row r="685" spans="1:16" x14ac:dyDescent="0.3">
      <c r="A685" s="25">
        <f>YEAR('RETAIL SALES DATA.'!K684)</f>
        <v>2024</v>
      </c>
      <c r="B685" s="13" t="str">
        <v>Nov</v>
      </c>
      <c r="C685" s="42">
        <f>DAY('RETAIL SALES DATA.'!K684)</f>
        <v>20</v>
      </c>
      <c r="D685" s="13">
        <v>2024</v>
      </c>
      <c r="E685" s="13" t="str">
        <v>Nov</v>
      </c>
      <c r="F685" s="13">
        <v>24</v>
      </c>
      <c r="G685" s="10"/>
      <c r="H685" s="13">
        <f>NETWORKDAYS('RETAIL SALES DATA.'!K684,'RETAIL SALES DATA.'!L684)</f>
        <v>3</v>
      </c>
      <c r="I685" s="13">
        <v>4</v>
      </c>
      <c r="J685" s="10"/>
      <c r="K685" s="13">
        <v>12</v>
      </c>
      <c r="L685" s="13">
        <v>11</v>
      </c>
      <c r="M685" s="13">
        <v>57</v>
      </c>
      <c r="N685" s="13">
        <v>0</v>
      </c>
      <c r="O685" s="54">
        <f t="shared" si="20"/>
        <v>0.49791666666666667</v>
      </c>
      <c r="P685" s="55">
        <f t="shared" si="21"/>
        <v>0.5395833333333333</v>
      </c>
    </row>
    <row r="686" spans="1:16" x14ac:dyDescent="0.3">
      <c r="A686" s="25">
        <f>YEAR('RETAIL SALES DATA.'!K685)</f>
        <v>2025</v>
      </c>
      <c r="B686" s="13" t="str">
        <v>Jun</v>
      </c>
      <c r="C686" s="42">
        <f>DAY('RETAIL SALES DATA.'!K685)</f>
        <v>13</v>
      </c>
      <c r="D686" s="13">
        <v>2025</v>
      </c>
      <c r="E686" s="13" t="str">
        <v>Jun</v>
      </c>
      <c r="F686" s="13">
        <v>15</v>
      </c>
      <c r="G686" s="10"/>
      <c r="H686" s="13">
        <f>NETWORKDAYS('RETAIL SALES DATA.'!K685,'RETAIL SALES DATA.'!L685)</f>
        <v>1</v>
      </c>
      <c r="I686" s="13">
        <v>2</v>
      </c>
      <c r="J686" s="10"/>
      <c r="K686" s="13">
        <v>21</v>
      </c>
      <c r="L686" s="13">
        <v>11</v>
      </c>
      <c r="M686" s="13">
        <v>54</v>
      </c>
      <c r="N686" s="13">
        <v>0</v>
      </c>
      <c r="O686" s="54">
        <f t="shared" si="20"/>
        <v>0.49583333333333335</v>
      </c>
      <c r="P686" s="55">
        <f t="shared" si="21"/>
        <v>0.91249999999999998</v>
      </c>
    </row>
    <row r="687" spans="1:16" x14ac:dyDescent="0.3">
      <c r="A687" s="25">
        <f>YEAR('RETAIL SALES DATA.'!K686)</f>
        <v>2026</v>
      </c>
      <c r="B687" s="13" t="str">
        <v>Mar</v>
      </c>
      <c r="C687" s="42">
        <f>DAY('RETAIL SALES DATA.'!K686)</f>
        <v>25</v>
      </c>
      <c r="D687" s="13">
        <v>2026</v>
      </c>
      <c r="E687" s="13" t="str">
        <v>Mar</v>
      </c>
      <c r="F687" s="13">
        <v>28</v>
      </c>
      <c r="G687" s="10"/>
      <c r="H687" s="13">
        <f>NETWORKDAYS('RETAIL SALES DATA.'!K686,'RETAIL SALES DATA.'!L686)</f>
        <v>3</v>
      </c>
      <c r="I687" s="13">
        <v>3</v>
      </c>
      <c r="J687" s="10"/>
      <c r="K687" s="13">
        <v>16</v>
      </c>
      <c r="L687" s="13">
        <v>11</v>
      </c>
      <c r="M687" s="13">
        <v>20</v>
      </c>
      <c r="N687" s="13">
        <v>0</v>
      </c>
      <c r="O687" s="54">
        <f t="shared" si="20"/>
        <v>0.47222222222222221</v>
      </c>
      <c r="P687" s="55">
        <f t="shared" si="21"/>
        <v>0.68055555555555558</v>
      </c>
    </row>
    <row r="688" spans="1:16" x14ac:dyDescent="0.3">
      <c r="A688" s="25">
        <f>YEAR('RETAIL SALES DATA.'!K687)</f>
        <v>2024</v>
      </c>
      <c r="B688" s="13" t="str">
        <v>Aug</v>
      </c>
      <c r="C688" s="42">
        <f>DAY('RETAIL SALES DATA.'!K687)</f>
        <v>27</v>
      </c>
      <c r="D688" s="13">
        <v>2024</v>
      </c>
      <c r="E688" s="13" t="str">
        <v>Sep</v>
      </c>
      <c r="F688" s="13">
        <v>5</v>
      </c>
      <c r="G688" s="10"/>
      <c r="H688" s="13">
        <f>NETWORKDAYS('RETAIL SALES DATA.'!K687,'RETAIL SALES DATA.'!L687)</f>
        <v>8</v>
      </c>
      <c r="I688" s="13">
        <v>9</v>
      </c>
      <c r="J688" s="10"/>
      <c r="K688" s="13">
        <v>4</v>
      </c>
      <c r="L688" s="13">
        <v>11</v>
      </c>
      <c r="M688" s="13">
        <v>13</v>
      </c>
      <c r="N688" s="13">
        <v>0</v>
      </c>
      <c r="O688" s="54">
        <f t="shared" si="20"/>
        <v>0.46736111111111112</v>
      </c>
      <c r="P688" s="55">
        <f t="shared" si="21"/>
        <v>0.17569444444444443</v>
      </c>
    </row>
    <row r="689" spans="1:16" x14ac:dyDescent="0.3">
      <c r="A689" s="25">
        <f>YEAR('RETAIL SALES DATA.'!K688)</f>
        <v>2024</v>
      </c>
      <c r="B689" s="13" t="str">
        <v>Jul</v>
      </c>
      <c r="C689" s="42">
        <f>DAY('RETAIL SALES DATA.'!K688)</f>
        <v>26</v>
      </c>
      <c r="D689" s="13">
        <v>2024</v>
      </c>
      <c r="E689" s="13" t="str">
        <v>Jul</v>
      </c>
      <c r="F689" s="13">
        <v>28</v>
      </c>
      <c r="G689" s="10"/>
      <c r="H689" s="13">
        <f>NETWORKDAYS('RETAIL SALES DATA.'!K688,'RETAIL SALES DATA.'!L688)</f>
        <v>1</v>
      </c>
      <c r="I689" s="13">
        <v>2</v>
      </c>
      <c r="J689" s="10"/>
      <c r="K689" s="13">
        <v>9</v>
      </c>
      <c r="L689" s="13">
        <v>9</v>
      </c>
      <c r="M689" s="13">
        <v>48</v>
      </c>
      <c r="N689" s="13">
        <v>0</v>
      </c>
      <c r="O689" s="54">
        <f t="shared" si="20"/>
        <v>0.40833333333333333</v>
      </c>
      <c r="P689" s="55">
        <f t="shared" si="21"/>
        <v>0.40833333333333333</v>
      </c>
    </row>
    <row r="690" spans="1:16" x14ac:dyDescent="0.3">
      <c r="A690" s="25">
        <f>YEAR('RETAIL SALES DATA.'!K689)</f>
        <v>2025</v>
      </c>
      <c r="B690" s="13" t="str">
        <v>Oct</v>
      </c>
      <c r="C690" s="42">
        <f>DAY('RETAIL SALES DATA.'!K689)</f>
        <v>25</v>
      </c>
      <c r="D690" s="13">
        <v>2025</v>
      </c>
      <c r="E690" s="13" t="str">
        <v>Nov</v>
      </c>
      <c r="F690" s="13">
        <v>2</v>
      </c>
      <c r="G690" s="10"/>
      <c r="H690" s="13">
        <f>NETWORKDAYS('RETAIL SALES DATA.'!K689,'RETAIL SALES DATA.'!L689)</f>
        <v>5</v>
      </c>
      <c r="I690" s="13">
        <v>8</v>
      </c>
      <c r="J690" s="10"/>
      <c r="K690" s="13">
        <v>4</v>
      </c>
      <c r="L690" s="13">
        <v>8</v>
      </c>
      <c r="M690" s="13">
        <v>52</v>
      </c>
      <c r="N690" s="13">
        <v>0</v>
      </c>
      <c r="O690" s="54">
        <f t="shared" si="20"/>
        <v>0.36944444444444446</v>
      </c>
      <c r="P690" s="55">
        <f t="shared" si="21"/>
        <v>0.20277777777777778</v>
      </c>
    </row>
    <row r="691" spans="1:16" x14ac:dyDescent="0.3">
      <c r="A691" s="25">
        <f>YEAR('RETAIL SALES DATA.'!K690)</f>
        <v>2026</v>
      </c>
      <c r="B691" s="13" t="str">
        <v>Mar</v>
      </c>
      <c r="C691" s="42">
        <f>DAY('RETAIL SALES DATA.'!K690)</f>
        <v>29</v>
      </c>
      <c r="D691" s="13">
        <v>2026</v>
      </c>
      <c r="E691" s="13" t="str">
        <v>Apr</v>
      </c>
      <c r="F691" s="13">
        <v>6</v>
      </c>
      <c r="G691" s="10"/>
      <c r="H691" s="13">
        <f>NETWORKDAYS('RETAIL SALES DATA.'!K690,'RETAIL SALES DATA.'!L690)</f>
        <v>6</v>
      </c>
      <c r="I691" s="13">
        <v>8</v>
      </c>
      <c r="J691" s="10"/>
      <c r="K691" s="13">
        <v>9</v>
      </c>
      <c r="L691" s="13">
        <v>11</v>
      </c>
      <c r="M691" s="13">
        <v>21</v>
      </c>
      <c r="N691" s="13">
        <v>0</v>
      </c>
      <c r="O691" s="54">
        <f t="shared" si="20"/>
        <v>0.47291666666666665</v>
      </c>
      <c r="P691" s="55">
        <f t="shared" si="21"/>
        <v>0.38958333333333334</v>
      </c>
    </row>
    <row r="692" spans="1:16" x14ac:dyDescent="0.3">
      <c r="A692" s="25">
        <f>YEAR('RETAIL SALES DATA.'!K691)</f>
        <v>2026</v>
      </c>
      <c r="B692" s="13" t="str">
        <v>Mar</v>
      </c>
      <c r="C692" s="42">
        <f>DAY('RETAIL SALES DATA.'!K691)</f>
        <v>25</v>
      </c>
      <c r="D692" s="13">
        <v>2026</v>
      </c>
      <c r="E692" s="13" t="str">
        <v>Mar</v>
      </c>
      <c r="F692" s="13">
        <v>30</v>
      </c>
      <c r="G692" s="10"/>
      <c r="H692" s="13">
        <f>NETWORKDAYS('RETAIL SALES DATA.'!K691,'RETAIL SALES DATA.'!L691)</f>
        <v>4</v>
      </c>
      <c r="I692" s="13">
        <v>5</v>
      </c>
      <c r="J692" s="10"/>
      <c r="K692" s="13">
        <v>19</v>
      </c>
      <c r="L692" s="13">
        <v>10</v>
      </c>
      <c r="M692" s="13">
        <v>52</v>
      </c>
      <c r="N692" s="13">
        <v>0</v>
      </c>
      <c r="O692" s="54">
        <f t="shared" si="20"/>
        <v>0.45277777777777778</v>
      </c>
      <c r="P692" s="55">
        <f t="shared" si="21"/>
        <v>0.82777777777777772</v>
      </c>
    </row>
    <row r="693" spans="1:16" x14ac:dyDescent="0.3">
      <c r="A693" s="25">
        <f>YEAR('RETAIL SALES DATA.'!K692)</f>
        <v>2026</v>
      </c>
      <c r="B693" s="13" t="str">
        <v>Jan</v>
      </c>
      <c r="C693" s="42">
        <f>DAY('RETAIL SALES DATA.'!K692)</f>
        <v>1</v>
      </c>
      <c r="D693" s="13">
        <v>2026</v>
      </c>
      <c r="E693" s="13" t="str">
        <v>Jan</v>
      </c>
      <c r="F693" s="13">
        <v>11</v>
      </c>
      <c r="G693" s="10"/>
      <c r="H693" s="13">
        <f>NETWORKDAYS('RETAIL SALES DATA.'!K692,'RETAIL SALES DATA.'!L692)</f>
        <v>7</v>
      </c>
      <c r="I693" s="13">
        <v>10</v>
      </c>
      <c r="J693" s="10"/>
      <c r="K693" s="13">
        <v>4</v>
      </c>
      <c r="L693" s="13">
        <v>11</v>
      </c>
      <c r="M693" s="13">
        <v>25</v>
      </c>
      <c r="N693" s="13">
        <v>0</v>
      </c>
      <c r="O693" s="54">
        <f t="shared" si="20"/>
        <v>0.47569444444444442</v>
      </c>
      <c r="P693" s="55">
        <f t="shared" si="21"/>
        <v>0.18402777777777779</v>
      </c>
    </row>
    <row r="694" spans="1:16" x14ac:dyDescent="0.3">
      <c r="A694" s="25">
        <f>YEAR('RETAIL SALES DATA.'!K693)</f>
        <v>2025</v>
      </c>
      <c r="B694" s="13" t="str">
        <v>Apr</v>
      </c>
      <c r="C694" s="42">
        <f>DAY('RETAIL SALES DATA.'!K693)</f>
        <v>17</v>
      </c>
      <c r="D694" s="13">
        <v>2025</v>
      </c>
      <c r="E694" s="13" t="str">
        <v>Apr</v>
      </c>
      <c r="F694" s="13">
        <v>21</v>
      </c>
      <c r="G694" s="10"/>
      <c r="H694" s="13">
        <f>NETWORKDAYS('RETAIL SALES DATA.'!K693,'RETAIL SALES DATA.'!L693)</f>
        <v>3</v>
      </c>
      <c r="I694" s="13">
        <v>4</v>
      </c>
      <c r="J694" s="10"/>
      <c r="K694" s="13">
        <v>4</v>
      </c>
      <c r="L694" s="13">
        <v>10</v>
      </c>
      <c r="M694" s="13">
        <v>44</v>
      </c>
      <c r="N694" s="13">
        <v>0</v>
      </c>
      <c r="O694" s="54">
        <f t="shared" si="20"/>
        <v>0.44722222222222224</v>
      </c>
      <c r="P694" s="55">
        <f t="shared" si="21"/>
        <v>0.19722222222222222</v>
      </c>
    </row>
    <row r="695" spans="1:16" x14ac:dyDescent="0.3">
      <c r="A695" s="25">
        <f>YEAR('RETAIL SALES DATA.'!K694)</f>
        <v>2026</v>
      </c>
      <c r="B695" s="13" t="str">
        <v>Apr</v>
      </c>
      <c r="C695" s="42">
        <f>DAY('RETAIL SALES DATA.'!K694)</f>
        <v>27</v>
      </c>
      <c r="D695" s="13">
        <v>2026</v>
      </c>
      <c r="E695" s="13" t="str">
        <v>Apr</v>
      </c>
      <c r="F695" s="13">
        <v>29</v>
      </c>
      <c r="G695" s="10"/>
      <c r="H695" s="13">
        <f>NETWORKDAYS('RETAIL SALES DATA.'!K694,'RETAIL SALES DATA.'!L694)</f>
        <v>3</v>
      </c>
      <c r="I695" s="13">
        <v>2</v>
      </c>
      <c r="J695" s="10"/>
      <c r="K695" s="13">
        <v>2</v>
      </c>
      <c r="L695" s="13">
        <v>11</v>
      </c>
      <c r="M695" s="13">
        <v>54</v>
      </c>
      <c r="N695" s="13">
        <v>0</v>
      </c>
      <c r="O695" s="54">
        <f t="shared" si="20"/>
        <v>0.49583333333333335</v>
      </c>
      <c r="P695" s="55">
        <f t="shared" si="21"/>
        <v>0.12083333333333333</v>
      </c>
    </row>
    <row r="696" spans="1:16" x14ac:dyDescent="0.3">
      <c r="A696" s="25">
        <f>YEAR('RETAIL SALES DATA.'!K695)</f>
        <v>2025</v>
      </c>
      <c r="B696" s="13" t="str">
        <v>Feb</v>
      </c>
      <c r="C696" s="42">
        <f>DAY('RETAIL SALES DATA.'!K695)</f>
        <v>26</v>
      </c>
      <c r="D696" s="13">
        <v>2025</v>
      </c>
      <c r="E696" s="13" t="str">
        <v>Mar</v>
      </c>
      <c r="F696" s="13">
        <v>8</v>
      </c>
      <c r="G696" s="10"/>
      <c r="H696" s="13">
        <f>NETWORKDAYS('RETAIL SALES DATA.'!K695,'RETAIL SALES DATA.'!L695)</f>
        <v>8</v>
      </c>
      <c r="I696" s="13">
        <v>10</v>
      </c>
      <c r="J696" s="10"/>
      <c r="K696" s="13">
        <v>2</v>
      </c>
      <c r="L696" s="13">
        <v>11</v>
      </c>
      <c r="M696" s="13">
        <v>16</v>
      </c>
      <c r="N696" s="13">
        <v>0</v>
      </c>
      <c r="O696" s="54">
        <f t="shared" si="20"/>
        <v>0.46944444444444444</v>
      </c>
      <c r="P696" s="55">
        <f t="shared" si="21"/>
        <v>9.4444444444444442E-2</v>
      </c>
    </row>
    <row r="697" spans="1:16" x14ac:dyDescent="0.3">
      <c r="A697" s="25">
        <f>YEAR('RETAIL SALES DATA.'!K696)</f>
        <v>2025</v>
      </c>
      <c r="B697" s="13" t="str">
        <v>Nov</v>
      </c>
      <c r="C697" s="42">
        <f>DAY('RETAIL SALES DATA.'!K696)</f>
        <v>30</v>
      </c>
      <c r="D697" s="13">
        <v>2025</v>
      </c>
      <c r="E697" s="13" t="str">
        <v>Dec</v>
      </c>
      <c r="F697" s="13">
        <v>2</v>
      </c>
      <c r="G697" s="10"/>
      <c r="H697" s="13">
        <f>NETWORKDAYS('RETAIL SALES DATA.'!K696,'RETAIL SALES DATA.'!L696)</f>
        <v>2</v>
      </c>
      <c r="I697" s="13">
        <v>2</v>
      </c>
      <c r="J697" s="10"/>
      <c r="K697" s="13">
        <v>12</v>
      </c>
      <c r="L697" s="13">
        <v>10</v>
      </c>
      <c r="M697" s="13">
        <v>57</v>
      </c>
      <c r="N697" s="13">
        <v>0</v>
      </c>
      <c r="O697" s="54">
        <f t="shared" si="20"/>
        <v>0.45624999999999999</v>
      </c>
      <c r="P697" s="55">
        <f t="shared" si="21"/>
        <v>0.5395833333333333</v>
      </c>
    </row>
    <row r="698" spans="1:16" x14ac:dyDescent="0.3">
      <c r="A698" s="25">
        <f>YEAR('RETAIL SALES DATA.'!K697)</f>
        <v>2026</v>
      </c>
      <c r="B698" s="13" t="str">
        <v>Feb</v>
      </c>
      <c r="C698" s="42">
        <f>DAY('RETAIL SALES DATA.'!K697)</f>
        <v>1</v>
      </c>
      <c r="D698" s="13">
        <v>2026</v>
      </c>
      <c r="E698" s="13" t="str">
        <v>Feb</v>
      </c>
      <c r="F698" s="13">
        <v>3</v>
      </c>
      <c r="G698" s="10"/>
      <c r="H698" s="13">
        <f>NETWORKDAYS('RETAIL SALES DATA.'!K697,'RETAIL SALES DATA.'!L697)</f>
        <v>2</v>
      </c>
      <c r="I698" s="13">
        <v>2</v>
      </c>
      <c r="J698" s="10"/>
      <c r="K698" s="13">
        <v>16</v>
      </c>
      <c r="L698" s="13">
        <v>8</v>
      </c>
      <c r="M698" s="13">
        <v>34</v>
      </c>
      <c r="N698" s="13">
        <v>0</v>
      </c>
      <c r="O698" s="54">
        <f t="shared" si="20"/>
        <v>0.35694444444444445</v>
      </c>
      <c r="P698" s="55">
        <f t="shared" si="21"/>
        <v>0.69027777777777777</v>
      </c>
    </row>
    <row r="699" spans="1:16" x14ac:dyDescent="0.3">
      <c r="A699" s="25">
        <f>YEAR('RETAIL SALES DATA.'!K698)</f>
        <v>2025</v>
      </c>
      <c r="B699" s="13" t="str">
        <v>Feb</v>
      </c>
      <c r="C699" s="42">
        <f>DAY('RETAIL SALES DATA.'!K698)</f>
        <v>25</v>
      </c>
      <c r="D699" s="13">
        <v>2025</v>
      </c>
      <c r="E699" s="13" t="str">
        <v>Mar</v>
      </c>
      <c r="F699" s="13">
        <v>2</v>
      </c>
      <c r="G699" s="10"/>
      <c r="H699" s="13">
        <f>NETWORKDAYS('RETAIL SALES DATA.'!K698,'RETAIL SALES DATA.'!L698)</f>
        <v>4</v>
      </c>
      <c r="I699" s="13">
        <v>5</v>
      </c>
      <c r="J699" s="10"/>
      <c r="K699" s="13">
        <v>21</v>
      </c>
      <c r="L699" s="13">
        <v>9</v>
      </c>
      <c r="M699" s="13">
        <v>48</v>
      </c>
      <c r="N699" s="13">
        <v>0</v>
      </c>
      <c r="O699" s="54">
        <f t="shared" si="20"/>
        <v>0.40833333333333333</v>
      </c>
      <c r="P699" s="55">
        <f t="shared" si="21"/>
        <v>0.90833333333333333</v>
      </c>
    </row>
    <row r="700" spans="1:16" x14ac:dyDescent="0.3">
      <c r="A700" s="25">
        <f>YEAR('RETAIL SALES DATA.'!K699)</f>
        <v>2025</v>
      </c>
      <c r="B700" s="13" t="str">
        <v>Nov</v>
      </c>
      <c r="C700" s="42">
        <f>DAY('RETAIL SALES DATA.'!K699)</f>
        <v>12</v>
      </c>
      <c r="D700" s="13">
        <v>2025</v>
      </c>
      <c r="E700" s="13" t="str">
        <v>Nov</v>
      </c>
      <c r="F700" s="13">
        <v>18</v>
      </c>
      <c r="G700" s="10"/>
      <c r="H700" s="13">
        <f>NETWORKDAYS('RETAIL SALES DATA.'!K699,'RETAIL SALES DATA.'!L699)</f>
        <v>5</v>
      </c>
      <c r="I700" s="13">
        <v>6</v>
      </c>
      <c r="J700" s="10"/>
      <c r="K700" s="13">
        <v>21</v>
      </c>
      <c r="L700" s="13">
        <v>11</v>
      </c>
      <c r="M700" s="13">
        <v>25</v>
      </c>
      <c r="N700" s="13">
        <v>0</v>
      </c>
      <c r="O700" s="54">
        <f t="shared" si="20"/>
        <v>0.47569444444444442</v>
      </c>
      <c r="P700" s="55">
        <f t="shared" si="21"/>
        <v>0.89236111111111116</v>
      </c>
    </row>
    <row r="701" spans="1:16" x14ac:dyDescent="0.3">
      <c r="A701" s="25">
        <f>YEAR('RETAIL SALES DATA.'!K700)</f>
        <v>2024</v>
      </c>
      <c r="B701" s="13" t="str">
        <v>Dec</v>
      </c>
      <c r="C701" s="42">
        <f>DAY('RETAIL SALES DATA.'!K700)</f>
        <v>4</v>
      </c>
      <c r="D701" s="13">
        <v>2024</v>
      </c>
      <c r="E701" s="13" t="str">
        <v>Dec</v>
      </c>
      <c r="F701" s="13">
        <v>8</v>
      </c>
      <c r="G701" s="10"/>
      <c r="H701" s="13">
        <f>NETWORKDAYS('RETAIL SALES DATA.'!K700,'RETAIL SALES DATA.'!L700)</f>
        <v>3</v>
      </c>
      <c r="I701" s="13">
        <v>4</v>
      </c>
      <c r="J701" s="10"/>
      <c r="K701" s="13">
        <v>19</v>
      </c>
      <c r="L701" s="13">
        <v>8</v>
      </c>
      <c r="M701" s="13">
        <v>8</v>
      </c>
      <c r="N701" s="13">
        <v>0</v>
      </c>
      <c r="O701" s="54">
        <f t="shared" si="20"/>
        <v>0.33888888888888891</v>
      </c>
      <c r="P701" s="55">
        <f t="shared" si="21"/>
        <v>0.79722222222222228</v>
      </c>
    </row>
    <row r="702" spans="1:16" x14ac:dyDescent="0.3">
      <c r="A702" s="25">
        <f>YEAR('RETAIL SALES DATA.'!K701)</f>
        <v>2025</v>
      </c>
      <c r="B702" s="13" t="str">
        <v>Feb</v>
      </c>
      <c r="C702" s="42">
        <f>DAY('RETAIL SALES DATA.'!K701)</f>
        <v>6</v>
      </c>
      <c r="D702" s="13">
        <v>2025</v>
      </c>
      <c r="E702" s="13" t="str">
        <v>Feb</v>
      </c>
      <c r="F702" s="13">
        <v>7</v>
      </c>
      <c r="G702" s="10"/>
      <c r="H702" s="13">
        <f>NETWORKDAYS('RETAIL SALES DATA.'!K701,'RETAIL SALES DATA.'!L701)</f>
        <v>2</v>
      </c>
      <c r="I702" s="13">
        <v>1</v>
      </c>
      <c r="J702" s="10"/>
      <c r="K702" s="13">
        <v>12</v>
      </c>
      <c r="L702" s="13">
        <v>10</v>
      </c>
      <c r="M702" s="13">
        <v>21</v>
      </c>
      <c r="N702" s="13">
        <v>0</v>
      </c>
      <c r="O702" s="54">
        <f t="shared" si="20"/>
        <v>0.43125000000000002</v>
      </c>
      <c r="P702" s="55">
        <f t="shared" si="21"/>
        <v>0.51458333333333328</v>
      </c>
    </row>
    <row r="703" spans="1:16" x14ac:dyDescent="0.3">
      <c r="A703" s="25">
        <f>YEAR('RETAIL SALES DATA.'!K702)</f>
        <v>2025</v>
      </c>
      <c r="B703" s="13" t="str">
        <v>Apr</v>
      </c>
      <c r="C703" s="42">
        <f>DAY('RETAIL SALES DATA.'!K702)</f>
        <v>5</v>
      </c>
      <c r="D703" s="13">
        <v>2025</v>
      </c>
      <c r="E703" s="13" t="str">
        <v>Apr</v>
      </c>
      <c r="F703" s="13">
        <v>14</v>
      </c>
      <c r="G703" s="10"/>
      <c r="H703" s="13">
        <f>NETWORKDAYS('RETAIL SALES DATA.'!K702,'RETAIL SALES DATA.'!L702)</f>
        <v>6</v>
      </c>
      <c r="I703" s="13">
        <v>9</v>
      </c>
      <c r="J703" s="10"/>
      <c r="K703" s="13">
        <v>12</v>
      </c>
      <c r="L703" s="13">
        <v>11</v>
      </c>
      <c r="M703" s="13">
        <v>57</v>
      </c>
      <c r="N703" s="13">
        <v>0</v>
      </c>
      <c r="O703" s="54">
        <f t="shared" si="20"/>
        <v>0.49791666666666667</v>
      </c>
      <c r="P703" s="55">
        <f t="shared" si="21"/>
        <v>0.5395833333333333</v>
      </c>
    </row>
    <row r="704" spans="1:16" x14ac:dyDescent="0.3">
      <c r="A704" s="25">
        <f>YEAR('RETAIL SALES DATA.'!K703)</f>
        <v>2025</v>
      </c>
      <c r="B704" s="13" t="str">
        <v>Apr</v>
      </c>
      <c r="C704" s="42">
        <f>DAY('RETAIL SALES DATA.'!K703)</f>
        <v>7</v>
      </c>
      <c r="D704" s="13">
        <v>2025</v>
      </c>
      <c r="E704" s="13" t="str">
        <v>Apr</v>
      </c>
      <c r="F704" s="13">
        <v>10</v>
      </c>
      <c r="G704" s="10"/>
      <c r="H704" s="13">
        <f>NETWORKDAYS('RETAIL SALES DATA.'!K703,'RETAIL SALES DATA.'!L703)</f>
        <v>4</v>
      </c>
      <c r="I704" s="13">
        <v>3</v>
      </c>
      <c r="J704" s="10"/>
      <c r="K704" s="13">
        <v>7</v>
      </c>
      <c r="L704" s="13">
        <v>11</v>
      </c>
      <c r="M704" s="13">
        <v>4</v>
      </c>
      <c r="N704" s="13">
        <v>0</v>
      </c>
      <c r="O704" s="54">
        <f t="shared" si="20"/>
        <v>0.46111111111111114</v>
      </c>
      <c r="P704" s="55">
        <f t="shared" si="21"/>
        <v>0.29444444444444445</v>
      </c>
    </row>
    <row r="705" spans="1:16" x14ac:dyDescent="0.3">
      <c r="A705" s="25">
        <f>YEAR('RETAIL SALES DATA.'!K704)</f>
        <v>2025</v>
      </c>
      <c r="B705" s="13" t="str">
        <v>May</v>
      </c>
      <c r="C705" s="42">
        <f>DAY('RETAIL SALES DATA.'!K704)</f>
        <v>15</v>
      </c>
      <c r="D705" s="13">
        <v>2025</v>
      </c>
      <c r="E705" s="13" t="str">
        <v>May</v>
      </c>
      <c r="F705" s="13">
        <v>18</v>
      </c>
      <c r="G705" s="10"/>
      <c r="H705" s="13">
        <f>NETWORKDAYS('RETAIL SALES DATA.'!K704,'RETAIL SALES DATA.'!L704)</f>
        <v>2</v>
      </c>
      <c r="I705" s="13">
        <v>3</v>
      </c>
      <c r="J705" s="10"/>
      <c r="K705" s="13">
        <v>21</v>
      </c>
      <c r="L705" s="13">
        <v>8</v>
      </c>
      <c r="M705" s="13">
        <v>30</v>
      </c>
      <c r="N705" s="13">
        <v>0</v>
      </c>
      <c r="O705" s="54">
        <f t="shared" si="20"/>
        <v>0.35416666666666669</v>
      </c>
      <c r="P705" s="55">
        <f t="shared" si="21"/>
        <v>0.89583333333333337</v>
      </c>
    </row>
    <row r="706" spans="1:16" x14ac:dyDescent="0.3">
      <c r="A706" s="25">
        <f>YEAR('RETAIL SALES DATA.'!K705)</f>
        <v>2026</v>
      </c>
      <c r="B706" s="13" t="str">
        <v>Mar</v>
      </c>
      <c r="C706" s="42">
        <f>DAY('RETAIL SALES DATA.'!K705)</f>
        <v>25</v>
      </c>
      <c r="D706" s="13">
        <v>2026</v>
      </c>
      <c r="E706" s="13" t="str">
        <v>Mar</v>
      </c>
      <c r="F706" s="13">
        <v>29</v>
      </c>
      <c r="G706" s="10"/>
      <c r="H706" s="13">
        <f>NETWORKDAYS('RETAIL SALES DATA.'!K705,'RETAIL SALES DATA.'!L705)</f>
        <v>3</v>
      </c>
      <c r="I706" s="13">
        <v>4</v>
      </c>
      <c r="J706" s="10"/>
      <c r="K706" s="13">
        <v>19</v>
      </c>
      <c r="L706" s="13">
        <v>10</v>
      </c>
      <c r="M706" s="13">
        <v>54</v>
      </c>
      <c r="N706" s="13">
        <v>0</v>
      </c>
      <c r="O706" s="54">
        <f t="shared" si="20"/>
        <v>0.45416666666666666</v>
      </c>
      <c r="P706" s="55">
        <f t="shared" si="21"/>
        <v>0.82916666666666672</v>
      </c>
    </row>
    <row r="707" spans="1:16" x14ac:dyDescent="0.3">
      <c r="A707" s="25">
        <f>YEAR('RETAIL SALES DATA.'!K706)</f>
        <v>2024</v>
      </c>
      <c r="B707" s="13" t="str">
        <v>Oct</v>
      </c>
      <c r="C707" s="42">
        <f>DAY('RETAIL SALES DATA.'!K706)</f>
        <v>26</v>
      </c>
      <c r="D707" s="13">
        <v>2024</v>
      </c>
      <c r="E707" s="13" t="str">
        <v>Nov</v>
      </c>
      <c r="F707" s="13">
        <v>4</v>
      </c>
      <c r="G707" s="10"/>
      <c r="H707" s="13">
        <f>NETWORKDAYS('RETAIL SALES DATA.'!K706,'RETAIL SALES DATA.'!L706)</f>
        <v>6</v>
      </c>
      <c r="I707" s="13">
        <v>9</v>
      </c>
      <c r="J707" s="10"/>
      <c r="K707" s="13">
        <v>12</v>
      </c>
      <c r="L707" s="13">
        <v>9</v>
      </c>
      <c r="M707" s="13">
        <v>4</v>
      </c>
      <c r="N707" s="13">
        <v>0</v>
      </c>
      <c r="O707" s="54">
        <f t="shared" si="20"/>
        <v>0.37777777777777777</v>
      </c>
      <c r="P707" s="55">
        <f t="shared" si="21"/>
        <v>0.50277777777777777</v>
      </c>
    </row>
    <row r="708" spans="1:16" x14ac:dyDescent="0.3">
      <c r="A708" s="25">
        <f>YEAR('RETAIL SALES DATA.'!K707)</f>
        <v>2025</v>
      </c>
      <c r="B708" s="13" t="str">
        <v>Nov</v>
      </c>
      <c r="C708" s="42">
        <f>DAY('RETAIL SALES DATA.'!K707)</f>
        <v>2</v>
      </c>
      <c r="D708" s="13">
        <v>2025</v>
      </c>
      <c r="E708" s="13" t="str">
        <v>Nov</v>
      </c>
      <c r="F708" s="13">
        <v>9</v>
      </c>
      <c r="G708" s="10"/>
      <c r="H708" s="13">
        <f>NETWORKDAYS('RETAIL SALES DATA.'!K707,'RETAIL SALES DATA.'!L707)</f>
        <v>5</v>
      </c>
      <c r="I708" s="13">
        <v>7</v>
      </c>
      <c r="J708" s="10"/>
      <c r="K708" s="13">
        <v>4</v>
      </c>
      <c r="L708" s="13">
        <v>10</v>
      </c>
      <c r="M708" s="13">
        <v>47</v>
      </c>
      <c r="N708" s="13">
        <v>0</v>
      </c>
      <c r="O708" s="54">
        <f t="shared" ref="O708:O771" si="22">TIME(L708,M708,N708)</f>
        <v>0.44930555555555557</v>
      </c>
      <c r="P708" s="55">
        <f t="shared" ref="P708:P771" si="23">TIME(K708,M708,N708)</f>
        <v>0.19930555555555557</v>
      </c>
    </row>
    <row r="709" spans="1:16" x14ac:dyDescent="0.3">
      <c r="A709" s="25">
        <f>YEAR('RETAIL SALES DATA.'!K708)</f>
        <v>2024</v>
      </c>
      <c r="B709" s="13" t="str">
        <v>Aug</v>
      </c>
      <c r="C709" s="42">
        <f>DAY('RETAIL SALES DATA.'!K708)</f>
        <v>15</v>
      </c>
      <c r="D709" s="13">
        <v>2024</v>
      </c>
      <c r="E709" s="13" t="str">
        <v>Aug</v>
      </c>
      <c r="F709" s="13">
        <v>18</v>
      </c>
      <c r="G709" s="10"/>
      <c r="H709" s="13">
        <f>NETWORKDAYS('RETAIL SALES DATA.'!K708,'RETAIL SALES DATA.'!L708)</f>
        <v>2</v>
      </c>
      <c r="I709" s="13">
        <v>3</v>
      </c>
      <c r="J709" s="10"/>
      <c r="K709" s="13">
        <v>9</v>
      </c>
      <c r="L709" s="13">
        <v>11</v>
      </c>
      <c r="M709" s="13">
        <v>35</v>
      </c>
      <c r="N709" s="13">
        <v>0</v>
      </c>
      <c r="O709" s="54">
        <f t="shared" si="22"/>
        <v>0.4826388888888889</v>
      </c>
      <c r="P709" s="55">
        <f t="shared" si="23"/>
        <v>0.39930555555555558</v>
      </c>
    </row>
    <row r="710" spans="1:16" x14ac:dyDescent="0.3">
      <c r="A710" s="25">
        <f>YEAR('RETAIL SALES DATA.'!K709)</f>
        <v>2025</v>
      </c>
      <c r="B710" s="13" t="str">
        <v>Aug</v>
      </c>
      <c r="C710" s="42">
        <f>DAY('RETAIL SALES DATA.'!K709)</f>
        <v>12</v>
      </c>
      <c r="D710" s="13">
        <v>2025</v>
      </c>
      <c r="E710" s="13" t="str">
        <v>Aug</v>
      </c>
      <c r="F710" s="13">
        <v>15</v>
      </c>
      <c r="G710" s="10"/>
      <c r="H710" s="13">
        <f>NETWORKDAYS('RETAIL SALES DATA.'!K709,'RETAIL SALES DATA.'!L709)</f>
        <v>4</v>
      </c>
      <c r="I710" s="13">
        <v>3</v>
      </c>
      <c r="J710" s="10"/>
      <c r="K710" s="13">
        <v>19</v>
      </c>
      <c r="L710" s="13">
        <v>10</v>
      </c>
      <c r="M710" s="13">
        <v>14</v>
      </c>
      <c r="N710" s="13">
        <v>0</v>
      </c>
      <c r="O710" s="54">
        <f t="shared" si="22"/>
        <v>0.42638888888888887</v>
      </c>
      <c r="P710" s="55">
        <f t="shared" si="23"/>
        <v>0.80138888888888893</v>
      </c>
    </row>
    <row r="711" spans="1:16" x14ac:dyDescent="0.3">
      <c r="A711" s="25">
        <f>YEAR('RETAIL SALES DATA.'!K710)</f>
        <v>2025</v>
      </c>
      <c r="B711" s="13" t="str">
        <v>Feb</v>
      </c>
      <c r="C711" s="42">
        <f>DAY('RETAIL SALES DATA.'!K710)</f>
        <v>1</v>
      </c>
      <c r="D711" s="13">
        <v>2025</v>
      </c>
      <c r="E711" s="13" t="str">
        <v>Feb</v>
      </c>
      <c r="F711" s="13">
        <v>4</v>
      </c>
      <c r="G711" s="10"/>
      <c r="H711" s="13">
        <f>NETWORKDAYS('RETAIL SALES DATA.'!K710,'RETAIL SALES DATA.'!L710)</f>
        <v>2</v>
      </c>
      <c r="I711" s="13">
        <v>3</v>
      </c>
      <c r="J711" s="10"/>
      <c r="K711" s="13">
        <v>19</v>
      </c>
      <c r="L711" s="13">
        <v>9</v>
      </c>
      <c r="M711" s="13">
        <v>41</v>
      </c>
      <c r="N711" s="13">
        <v>0</v>
      </c>
      <c r="O711" s="54">
        <f t="shared" si="22"/>
        <v>0.40347222222222223</v>
      </c>
      <c r="P711" s="55">
        <f t="shared" si="23"/>
        <v>0.82013888888888886</v>
      </c>
    </row>
    <row r="712" spans="1:16" x14ac:dyDescent="0.3">
      <c r="A712" s="25">
        <f>YEAR('RETAIL SALES DATA.'!K711)</f>
        <v>2026</v>
      </c>
      <c r="B712" s="13" t="str">
        <v>Jan</v>
      </c>
      <c r="C712" s="42">
        <f>DAY('RETAIL SALES DATA.'!K711)</f>
        <v>16</v>
      </c>
      <c r="D712" s="13">
        <v>2026</v>
      </c>
      <c r="E712" s="13" t="str">
        <v>Jan</v>
      </c>
      <c r="F712" s="13">
        <v>21</v>
      </c>
      <c r="G712" s="10"/>
      <c r="H712" s="13">
        <f>NETWORKDAYS('RETAIL SALES DATA.'!K711,'RETAIL SALES DATA.'!L711)</f>
        <v>4</v>
      </c>
      <c r="I712" s="13">
        <v>5</v>
      </c>
      <c r="J712" s="10"/>
      <c r="K712" s="13">
        <v>14</v>
      </c>
      <c r="L712" s="13">
        <v>10</v>
      </c>
      <c r="M712" s="13">
        <v>2</v>
      </c>
      <c r="N712" s="13">
        <v>0</v>
      </c>
      <c r="O712" s="54">
        <f t="shared" si="22"/>
        <v>0.41805555555555557</v>
      </c>
      <c r="P712" s="55">
        <f t="shared" si="23"/>
        <v>0.58472222222222225</v>
      </c>
    </row>
    <row r="713" spans="1:16" x14ac:dyDescent="0.3">
      <c r="A713" s="25">
        <f>YEAR('RETAIL SALES DATA.'!K712)</f>
        <v>2025</v>
      </c>
      <c r="B713" s="13" t="str">
        <v>Apr</v>
      </c>
      <c r="C713" s="42">
        <f>DAY('RETAIL SALES DATA.'!K712)</f>
        <v>7</v>
      </c>
      <c r="D713" s="13">
        <v>2025</v>
      </c>
      <c r="E713" s="13" t="str">
        <v>Apr</v>
      </c>
      <c r="F713" s="13">
        <v>15</v>
      </c>
      <c r="G713" s="10"/>
      <c r="H713" s="13">
        <f>NETWORKDAYS('RETAIL SALES DATA.'!K712,'RETAIL SALES DATA.'!L712)</f>
        <v>7</v>
      </c>
      <c r="I713" s="13">
        <v>8</v>
      </c>
      <c r="J713" s="10"/>
      <c r="K713" s="13">
        <v>0</v>
      </c>
      <c r="L713" s="13">
        <v>11</v>
      </c>
      <c r="M713" s="13">
        <v>44</v>
      </c>
      <c r="N713" s="13">
        <v>0</v>
      </c>
      <c r="O713" s="54">
        <f t="shared" si="22"/>
        <v>0.48888888888888887</v>
      </c>
      <c r="P713" s="55">
        <f t="shared" si="23"/>
        <v>3.0555555555555555E-2</v>
      </c>
    </row>
    <row r="714" spans="1:16" x14ac:dyDescent="0.3">
      <c r="A714" s="25">
        <f>YEAR('RETAIL SALES DATA.'!K713)</f>
        <v>2026</v>
      </c>
      <c r="B714" s="13" t="str">
        <v>Apr</v>
      </c>
      <c r="C714" s="42">
        <f>DAY('RETAIL SALES DATA.'!K713)</f>
        <v>18</v>
      </c>
      <c r="D714" s="13">
        <v>2026</v>
      </c>
      <c r="E714" s="13" t="str">
        <v>Apr</v>
      </c>
      <c r="F714" s="13">
        <v>20</v>
      </c>
      <c r="G714" s="10"/>
      <c r="H714" s="13">
        <f>NETWORKDAYS('RETAIL SALES DATA.'!K713,'RETAIL SALES DATA.'!L713)</f>
        <v>1</v>
      </c>
      <c r="I714" s="13">
        <v>2</v>
      </c>
      <c r="J714" s="10"/>
      <c r="K714" s="13">
        <v>14</v>
      </c>
      <c r="L714" s="13">
        <v>11</v>
      </c>
      <c r="M714" s="13">
        <v>17</v>
      </c>
      <c r="N714" s="13">
        <v>0</v>
      </c>
      <c r="O714" s="54">
        <f t="shared" si="22"/>
        <v>0.47013888888888888</v>
      </c>
      <c r="P714" s="55">
        <f t="shared" si="23"/>
        <v>0.59513888888888888</v>
      </c>
    </row>
    <row r="715" spans="1:16" x14ac:dyDescent="0.3">
      <c r="A715" s="25">
        <f>YEAR('RETAIL SALES DATA.'!K714)</f>
        <v>2024</v>
      </c>
      <c r="B715" s="13" t="str">
        <v>Dec</v>
      </c>
      <c r="C715" s="42">
        <f>DAY('RETAIL SALES DATA.'!K714)</f>
        <v>1</v>
      </c>
      <c r="D715" s="13">
        <v>2024</v>
      </c>
      <c r="E715" s="13" t="str">
        <v>Dec</v>
      </c>
      <c r="F715" s="13">
        <v>3</v>
      </c>
      <c r="G715" s="10"/>
      <c r="H715" s="13">
        <f>NETWORKDAYS('RETAIL SALES DATA.'!K714,'RETAIL SALES DATA.'!L714)</f>
        <v>2</v>
      </c>
      <c r="I715" s="13">
        <v>2</v>
      </c>
      <c r="J715" s="10"/>
      <c r="K715" s="13">
        <v>2</v>
      </c>
      <c r="L715" s="13">
        <v>9</v>
      </c>
      <c r="M715" s="13">
        <v>51</v>
      </c>
      <c r="N715" s="13">
        <v>0</v>
      </c>
      <c r="O715" s="54">
        <f t="shared" si="22"/>
        <v>0.41041666666666665</v>
      </c>
      <c r="P715" s="55">
        <f t="shared" si="23"/>
        <v>0.11874999999999999</v>
      </c>
    </row>
    <row r="716" spans="1:16" x14ac:dyDescent="0.3">
      <c r="A716" s="25">
        <f>YEAR('RETAIL SALES DATA.'!K715)</f>
        <v>2026</v>
      </c>
      <c r="B716" s="13" t="str">
        <v>Feb</v>
      </c>
      <c r="C716" s="42">
        <f>DAY('RETAIL SALES DATA.'!K715)</f>
        <v>21</v>
      </c>
      <c r="D716" s="13">
        <v>2026</v>
      </c>
      <c r="E716" s="13" t="str">
        <v>Feb</v>
      </c>
      <c r="F716" s="13">
        <v>28</v>
      </c>
      <c r="G716" s="10"/>
      <c r="H716" s="13">
        <f>NETWORKDAYS('RETAIL SALES DATA.'!K715,'RETAIL SALES DATA.'!L715)</f>
        <v>5</v>
      </c>
      <c r="I716" s="13">
        <v>7</v>
      </c>
      <c r="J716" s="10"/>
      <c r="K716" s="13">
        <v>7</v>
      </c>
      <c r="L716" s="13">
        <v>9</v>
      </c>
      <c r="M716" s="13">
        <v>3</v>
      </c>
      <c r="N716" s="13">
        <v>0</v>
      </c>
      <c r="O716" s="54">
        <f t="shared" si="22"/>
        <v>0.37708333333333333</v>
      </c>
      <c r="P716" s="55">
        <f t="shared" si="23"/>
        <v>0.29375000000000001</v>
      </c>
    </row>
    <row r="717" spans="1:16" x14ac:dyDescent="0.3">
      <c r="A717" s="25">
        <f>YEAR('RETAIL SALES DATA.'!K716)</f>
        <v>2025</v>
      </c>
      <c r="B717" s="13" t="str">
        <v>Aug</v>
      </c>
      <c r="C717" s="42">
        <f>DAY('RETAIL SALES DATA.'!K716)</f>
        <v>28</v>
      </c>
      <c r="D717" s="13">
        <v>2025</v>
      </c>
      <c r="E717" s="13" t="str">
        <v>Sep</v>
      </c>
      <c r="F717" s="13">
        <v>3</v>
      </c>
      <c r="G717" s="10"/>
      <c r="H717" s="13">
        <f>NETWORKDAYS('RETAIL SALES DATA.'!K716,'RETAIL SALES DATA.'!L716)</f>
        <v>5</v>
      </c>
      <c r="I717" s="13">
        <v>6</v>
      </c>
      <c r="J717" s="10"/>
      <c r="K717" s="13">
        <v>9</v>
      </c>
      <c r="L717" s="13">
        <v>10</v>
      </c>
      <c r="M717" s="13">
        <v>34</v>
      </c>
      <c r="N717" s="13">
        <v>0</v>
      </c>
      <c r="O717" s="54">
        <f t="shared" si="22"/>
        <v>0.44027777777777777</v>
      </c>
      <c r="P717" s="55">
        <f t="shared" si="23"/>
        <v>0.39861111111111114</v>
      </c>
    </row>
    <row r="718" spans="1:16" x14ac:dyDescent="0.3">
      <c r="A718" s="25">
        <f>YEAR('RETAIL SALES DATA.'!K717)</f>
        <v>2024</v>
      </c>
      <c r="B718" s="13" t="str">
        <v>Nov</v>
      </c>
      <c r="C718" s="42">
        <f>DAY('RETAIL SALES DATA.'!K717)</f>
        <v>2</v>
      </c>
      <c r="D718" s="13">
        <v>2024</v>
      </c>
      <c r="E718" s="13" t="str">
        <v>Nov</v>
      </c>
      <c r="F718" s="13">
        <v>10</v>
      </c>
      <c r="G718" s="10"/>
      <c r="H718" s="13">
        <f>NETWORKDAYS('RETAIL SALES DATA.'!K717,'RETAIL SALES DATA.'!L717)</f>
        <v>5</v>
      </c>
      <c r="I718" s="13">
        <v>8</v>
      </c>
      <c r="J718" s="10"/>
      <c r="K718" s="13">
        <v>2</v>
      </c>
      <c r="L718" s="13">
        <v>10</v>
      </c>
      <c r="M718" s="13">
        <v>0</v>
      </c>
      <c r="N718" s="13">
        <v>0</v>
      </c>
      <c r="O718" s="54">
        <f t="shared" si="22"/>
        <v>0.41666666666666669</v>
      </c>
      <c r="P718" s="55">
        <f t="shared" si="23"/>
        <v>8.3333333333333329E-2</v>
      </c>
    </row>
    <row r="719" spans="1:16" x14ac:dyDescent="0.3">
      <c r="A719" s="25">
        <f>YEAR('RETAIL SALES DATA.'!K718)</f>
        <v>2024</v>
      </c>
      <c r="B719" s="13" t="str">
        <v>Nov</v>
      </c>
      <c r="C719" s="42">
        <f>DAY('RETAIL SALES DATA.'!K718)</f>
        <v>1</v>
      </c>
      <c r="D719" s="13">
        <v>2024</v>
      </c>
      <c r="E719" s="13" t="str">
        <v>Nov</v>
      </c>
      <c r="F719" s="13">
        <v>4</v>
      </c>
      <c r="G719" s="10"/>
      <c r="H719" s="13">
        <f>NETWORKDAYS('RETAIL SALES DATA.'!K718,'RETAIL SALES DATA.'!L718)</f>
        <v>2</v>
      </c>
      <c r="I719" s="13">
        <v>3</v>
      </c>
      <c r="J719" s="10"/>
      <c r="K719" s="13">
        <v>4</v>
      </c>
      <c r="L719" s="13">
        <v>9</v>
      </c>
      <c r="M719" s="13">
        <v>25</v>
      </c>
      <c r="N719" s="13">
        <v>0</v>
      </c>
      <c r="O719" s="54">
        <f t="shared" si="22"/>
        <v>0.3923611111111111</v>
      </c>
      <c r="P719" s="55">
        <f t="shared" si="23"/>
        <v>0.18402777777777779</v>
      </c>
    </row>
    <row r="720" spans="1:16" x14ac:dyDescent="0.3">
      <c r="A720" s="25">
        <f>YEAR('RETAIL SALES DATA.'!K719)</f>
        <v>2025</v>
      </c>
      <c r="B720" s="13" t="str">
        <v>Jul</v>
      </c>
      <c r="C720" s="42">
        <f>DAY('RETAIL SALES DATA.'!K719)</f>
        <v>27</v>
      </c>
      <c r="D720" s="13">
        <v>2025</v>
      </c>
      <c r="E720" s="13" t="str">
        <v>Aug</v>
      </c>
      <c r="F720" s="13">
        <v>2</v>
      </c>
      <c r="G720" s="10"/>
      <c r="H720" s="13">
        <f>NETWORKDAYS('RETAIL SALES DATA.'!K719,'RETAIL SALES DATA.'!L719)</f>
        <v>5</v>
      </c>
      <c r="I720" s="13">
        <v>6</v>
      </c>
      <c r="J720" s="10"/>
      <c r="K720" s="13">
        <v>2</v>
      </c>
      <c r="L720" s="13">
        <v>9</v>
      </c>
      <c r="M720" s="13">
        <v>50</v>
      </c>
      <c r="N720" s="13">
        <v>0</v>
      </c>
      <c r="O720" s="54">
        <f t="shared" si="22"/>
        <v>0.40972222222222221</v>
      </c>
      <c r="P720" s="55">
        <f t="shared" si="23"/>
        <v>0.11805555555555555</v>
      </c>
    </row>
    <row r="721" spans="1:16" x14ac:dyDescent="0.3">
      <c r="A721" s="25">
        <f>YEAR('RETAIL SALES DATA.'!K720)</f>
        <v>2024</v>
      </c>
      <c r="B721" s="13" t="str">
        <v>May</v>
      </c>
      <c r="C721" s="42">
        <f>DAY('RETAIL SALES DATA.'!K720)</f>
        <v>21</v>
      </c>
      <c r="D721" s="13">
        <v>2024</v>
      </c>
      <c r="E721" s="13" t="str">
        <v>May</v>
      </c>
      <c r="F721" s="13">
        <v>25</v>
      </c>
      <c r="G721" s="10"/>
      <c r="H721" s="13">
        <f>NETWORKDAYS('RETAIL SALES DATA.'!K720,'RETAIL SALES DATA.'!L720)</f>
        <v>4</v>
      </c>
      <c r="I721" s="13">
        <v>4</v>
      </c>
      <c r="J721" s="10"/>
      <c r="K721" s="13">
        <v>16</v>
      </c>
      <c r="L721" s="13">
        <v>8</v>
      </c>
      <c r="M721" s="13">
        <v>42</v>
      </c>
      <c r="N721" s="13">
        <v>0</v>
      </c>
      <c r="O721" s="54">
        <f t="shared" si="22"/>
        <v>0.36249999999999999</v>
      </c>
      <c r="P721" s="55">
        <f t="shared" si="23"/>
        <v>0.6958333333333333</v>
      </c>
    </row>
    <row r="722" spans="1:16" x14ac:dyDescent="0.3">
      <c r="A722" s="25">
        <f>YEAR('RETAIL SALES DATA.'!K721)</f>
        <v>2025</v>
      </c>
      <c r="B722" s="13" t="str">
        <v>Dec</v>
      </c>
      <c r="C722" s="42">
        <f>DAY('RETAIL SALES DATA.'!K721)</f>
        <v>8</v>
      </c>
      <c r="D722" s="13">
        <v>2025</v>
      </c>
      <c r="E722" s="13" t="str">
        <v>Dec</v>
      </c>
      <c r="F722" s="13">
        <v>15</v>
      </c>
      <c r="G722" s="10"/>
      <c r="H722" s="13">
        <f>NETWORKDAYS('RETAIL SALES DATA.'!K721,'RETAIL SALES DATA.'!L721)</f>
        <v>6</v>
      </c>
      <c r="I722" s="13">
        <v>7</v>
      </c>
      <c r="J722" s="10"/>
      <c r="K722" s="13">
        <v>19</v>
      </c>
      <c r="L722" s="13">
        <v>9</v>
      </c>
      <c r="M722" s="13">
        <v>59</v>
      </c>
      <c r="N722" s="13">
        <v>0</v>
      </c>
      <c r="O722" s="54">
        <f t="shared" si="22"/>
        <v>0.41597222222222224</v>
      </c>
      <c r="P722" s="55">
        <f t="shared" si="23"/>
        <v>0.83263888888888893</v>
      </c>
    </row>
    <row r="723" spans="1:16" x14ac:dyDescent="0.3">
      <c r="A723" s="25">
        <f>YEAR('RETAIL SALES DATA.'!K722)</f>
        <v>2025</v>
      </c>
      <c r="B723" s="13" t="str">
        <v>Apr</v>
      </c>
      <c r="C723" s="42">
        <f>DAY('RETAIL SALES DATA.'!K722)</f>
        <v>24</v>
      </c>
      <c r="D723" s="13">
        <v>2025</v>
      </c>
      <c r="E723" s="13" t="str">
        <v>May</v>
      </c>
      <c r="F723" s="13">
        <v>3</v>
      </c>
      <c r="G723" s="10"/>
      <c r="H723" s="13">
        <f>NETWORKDAYS('RETAIL SALES DATA.'!K722,'RETAIL SALES DATA.'!L722)</f>
        <v>7</v>
      </c>
      <c r="I723" s="13">
        <v>9</v>
      </c>
      <c r="J723" s="10"/>
      <c r="K723" s="13">
        <v>14</v>
      </c>
      <c r="L723" s="13">
        <v>9</v>
      </c>
      <c r="M723" s="13">
        <v>32</v>
      </c>
      <c r="N723" s="13">
        <v>0</v>
      </c>
      <c r="O723" s="54">
        <f t="shared" si="22"/>
        <v>0.3972222222222222</v>
      </c>
      <c r="P723" s="55">
        <f t="shared" si="23"/>
        <v>0.60555555555555551</v>
      </c>
    </row>
    <row r="724" spans="1:16" x14ac:dyDescent="0.3">
      <c r="A724" s="25">
        <f>YEAR('RETAIL SALES DATA.'!K723)</f>
        <v>2024</v>
      </c>
      <c r="B724" s="13" t="str">
        <v>Oct</v>
      </c>
      <c r="C724" s="42">
        <f>DAY('RETAIL SALES DATA.'!K723)</f>
        <v>29</v>
      </c>
      <c r="D724" s="13">
        <v>2024</v>
      </c>
      <c r="E724" s="13" t="str">
        <v>Nov</v>
      </c>
      <c r="F724" s="13">
        <v>4</v>
      </c>
      <c r="G724" s="10"/>
      <c r="H724" s="13">
        <f>NETWORKDAYS('RETAIL SALES DATA.'!K723,'RETAIL SALES DATA.'!L723)</f>
        <v>5</v>
      </c>
      <c r="I724" s="13">
        <v>6</v>
      </c>
      <c r="J724" s="10"/>
      <c r="K724" s="13">
        <v>0</v>
      </c>
      <c r="L724" s="13">
        <v>8</v>
      </c>
      <c r="M724" s="13">
        <v>32</v>
      </c>
      <c r="N724" s="13">
        <v>0</v>
      </c>
      <c r="O724" s="54">
        <f t="shared" si="22"/>
        <v>0.35555555555555557</v>
      </c>
      <c r="P724" s="55">
        <f t="shared" si="23"/>
        <v>2.2222222222222223E-2</v>
      </c>
    </row>
    <row r="725" spans="1:16" x14ac:dyDescent="0.3">
      <c r="A725" s="25">
        <f>YEAR('RETAIL SALES DATA.'!K724)</f>
        <v>2026</v>
      </c>
      <c r="B725" s="13" t="str">
        <v>May</v>
      </c>
      <c r="C725" s="42">
        <f>DAY('RETAIL SALES DATA.'!K724)</f>
        <v>19</v>
      </c>
      <c r="D725" s="13">
        <v>2026</v>
      </c>
      <c r="E725" s="13" t="str">
        <v>May</v>
      </c>
      <c r="F725" s="13">
        <v>20</v>
      </c>
      <c r="G725" s="10"/>
      <c r="H725" s="13">
        <f>NETWORKDAYS('RETAIL SALES DATA.'!K724,'RETAIL SALES DATA.'!L724)</f>
        <v>2</v>
      </c>
      <c r="I725" s="13">
        <v>1</v>
      </c>
      <c r="J725" s="10"/>
      <c r="K725" s="13">
        <v>16</v>
      </c>
      <c r="L725" s="13">
        <v>9</v>
      </c>
      <c r="M725" s="13">
        <v>11</v>
      </c>
      <c r="N725" s="13">
        <v>0</v>
      </c>
      <c r="O725" s="54">
        <f t="shared" si="22"/>
        <v>0.38263888888888886</v>
      </c>
      <c r="P725" s="55">
        <f t="shared" si="23"/>
        <v>0.6743055555555556</v>
      </c>
    </row>
    <row r="726" spans="1:16" x14ac:dyDescent="0.3">
      <c r="A726" s="25">
        <f>YEAR('RETAIL SALES DATA.'!K725)</f>
        <v>2024</v>
      </c>
      <c r="B726" s="13" t="str">
        <v>Jul</v>
      </c>
      <c r="C726" s="42">
        <f>DAY('RETAIL SALES DATA.'!K725)</f>
        <v>15</v>
      </c>
      <c r="D726" s="13">
        <v>2024</v>
      </c>
      <c r="E726" s="13" t="str">
        <v>Jul</v>
      </c>
      <c r="F726" s="13">
        <v>18</v>
      </c>
      <c r="G726" s="10"/>
      <c r="H726" s="13">
        <f>NETWORKDAYS('RETAIL SALES DATA.'!K725,'RETAIL SALES DATA.'!L725)</f>
        <v>4</v>
      </c>
      <c r="I726" s="13">
        <v>3</v>
      </c>
      <c r="J726" s="10"/>
      <c r="K726" s="13">
        <v>12</v>
      </c>
      <c r="L726" s="13">
        <v>8</v>
      </c>
      <c r="M726" s="13">
        <v>34</v>
      </c>
      <c r="N726" s="13">
        <v>0</v>
      </c>
      <c r="O726" s="54">
        <f t="shared" si="22"/>
        <v>0.35694444444444445</v>
      </c>
      <c r="P726" s="55">
        <f t="shared" si="23"/>
        <v>0.52361111111111114</v>
      </c>
    </row>
    <row r="727" spans="1:16" x14ac:dyDescent="0.3">
      <c r="A727" s="25">
        <f>YEAR('RETAIL SALES DATA.'!K726)</f>
        <v>2026</v>
      </c>
      <c r="B727" s="13" t="str">
        <v>Apr</v>
      </c>
      <c r="C727" s="42">
        <f>DAY('RETAIL SALES DATA.'!K726)</f>
        <v>5</v>
      </c>
      <c r="D727" s="13">
        <v>2026</v>
      </c>
      <c r="E727" s="13" t="str">
        <v>Apr</v>
      </c>
      <c r="F727" s="13">
        <v>13</v>
      </c>
      <c r="G727" s="10"/>
      <c r="H727" s="13">
        <f>NETWORKDAYS('RETAIL SALES DATA.'!K726,'RETAIL SALES DATA.'!L726)</f>
        <v>6</v>
      </c>
      <c r="I727" s="13">
        <v>8</v>
      </c>
      <c r="J727" s="10"/>
      <c r="K727" s="13">
        <v>16</v>
      </c>
      <c r="L727" s="13">
        <v>11</v>
      </c>
      <c r="M727" s="13">
        <v>23</v>
      </c>
      <c r="N727" s="13">
        <v>0</v>
      </c>
      <c r="O727" s="54">
        <f t="shared" si="22"/>
        <v>0.47430555555555554</v>
      </c>
      <c r="P727" s="55">
        <f t="shared" si="23"/>
        <v>0.68263888888888891</v>
      </c>
    </row>
    <row r="728" spans="1:16" x14ac:dyDescent="0.3">
      <c r="A728" s="25">
        <f>YEAR('RETAIL SALES DATA.'!K727)</f>
        <v>2025</v>
      </c>
      <c r="B728" s="13" t="str">
        <v>Apr</v>
      </c>
      <c r="C728" s="42">
        <f>DAY('RETAIL SALES DATA.'!K727)</f>
        <v>19</v>
      </c>
      <c r="D728" s="13">
        <v>2025</v>
      </c>
      <c r="E728" s="13" t="str">
        <v>Apr</v>
      </c>
      <c r="F728" s="13">
        <v>22</v>
      </c>
      <c r="G728" s="10"/>
      <c r="H728" s="13">
        <f>NETWORKDAYS('RETAIL SALES DATA.'!K727,'RETAIL SALES DATA.'!L727)</f>
        <v>2</v>
      </c>
      <c r="I728" s="13">
        <v>3</v>
      </c>
      <c r="J728" s="10"/>
      <c r="K728" s="13">
        <v>2</v>
      </c>
      <c r="L728" s="13">
        <v>9</v>
      </c>
      <c r="M728" s="13">
        <v>33</v>
      </c>
      <c r="N728" s="13">
        <v>0</v>
      </c>
      <c r="O728" s="54">
        <f t="shared" si="22"/>
        <v>0.39791666666666664</v>
      </c>
      <c r="P728" s="55">
        <f t="shared" si="23"/>
        <v>0.10625</v>
      </c>
    </row>
    <row r="729" spans="1:16" x14ac:dyDescent="0.3">
      <c r="A729" s="25">
        <f>YEAR('RETAIL SALES DATA.'!K728)</f>
        <v>2024</v>
      </c>
      <c r="B729" s="13" t="str">
        <v>Oct</v>
      </c>
      <c r="C729" s="42">
        <f>DAY('RETAIL SALES DATA.'!K728)</f>
        <v>11</v>
      </c>
      <c r="D729" s="13">
        <v>2024</v>
      </c>
      <c r="E729" s="13" t="str">
        <v>Oct</v>
      </c>
      <c r="F729" s="13">
        <v>14</v>
      </c>
      <c r="G729" s="10"/>
      <c r="H729" s="13">
        <f>NETWORKDAYS('RETAIL SALES DATA.'!K728,'RETAIL SALES DATA.'!L728)</f>
        <v>2</v>
      </c>
      <c r="I729" s="13">
        <v>3</v>
      </c>
      <c r="J729" s="10"/>
      <c r="K729" s="13">
        <v>16</v>
      </c>
      <c r="L729" s="13">
        <v>8</v>
      </c>
      <c r="M729" s="13">
        <v>39</v>
      </c>
      <c r="N729" s="13">
        <v>0</v>
      </c>
      <c r="O729" s="54">
        <f t="shared" si="22"/>
        <v>0.36041666666666666</v>
      </c>
      <c r="P729" s="55">
        <f t="shared" si="23"/>
        <v>0.69374999999999998</v>
      </c>
    </row>
    <row r="730" spans="1:16" x14ac:dyDescent="0.3">
      <c r="A730" s="25">
        <f>YEAR('RETAIL SALES DATA.'!K729)</f>
        <v>2025</v>
      </c>
      <c r="B730" s="13" t="str">
        <v>Oct</v>
      </c>
      <c r="C730" s="42">
        <f>DAY('RETAIL SALES DATA.'!K729)</f>
        <v>7</v>
      </c>
      <c r="D730" s="13">
        <v>2025</v>
      </c>
      <c r="E730" s="13" t="str">
        <v>Oct</v>
      </c>
      <c r="F730" s="13">
        <v>17</v>
      </c>
      <c r="G730" s="10"/>
      <c r="H730" s="13">
        <f>NETWORKDAYS('RETAIL SALES DATA.'!K729,'RETAIL SALES DATA.'!L729)</f>
        <v>9</v>
      </c>
      <c r="I730" s="13">
        <v>10</v>
      </c>
      <c r="J730" s="10"/>
      <c r="K730" s="13">
        <v>16</v>
      </c>
      <c r="L730" s="13">
        <v>8</v>
      </c>
      <c r="M730" s="13">
        <v>28</v>
      </c>
      <c r="N730" s="13">
        <v>0</v>
      </c>
      <c r="O730" s="54">
        <f t="shared" si="22"/>
        <v>0.3527777777777778</v>
      </c>
      <c r="P730" s="55">
        <f t="shared" si="23"/>
        <v>0.68611111111111112</v>
      </c>
    </row>
    <row r="731" spans="1:16" x14ac:dyDescent="0.3">
      <c r="A731" s="25">
        <f>YEAR('RETAIL SALES DATA.'!K730)</f>
        <v>2025</v>
      </c>
      <c r="B731" s="13" t="str">
        <v>Jan</v>
      </c>
      <c r="C731" s="42">
        <f>DAY('RETAIL SALES DATA.'!K730)</f>
        <v>7</v>
      </c>
      <c r="D731" s="13">
        <v>2025</v>
      </c>
      <c r="E731" s="13" t="str">
        <v>Jan</v>
      </c>
      <c r="F731" s="13">
        <v>10</v>
      </c>
      <c r="G731" s="10"/>
      <c r="H731" s="13">
        <f>NETWORKDAYS('RETAIL SALES DATA.'!K730,'RETAIL SALES DATA.'!L730)</f>
        <v>4</v>
      </c>
      <c r="I731" s="13">
        <v>3</v>
      </c>
      <c r="J731" s="10"/>
      <c r="K731" s="13">
        <v>19</v>
      </c>
      <c r="L731" s="13">
        <v>10</v>
      </c>
      <c r="M731" s="13">
        <v>19</v>
      </c>
      <c r="N731" s="13">
        <v>0</v>
      </c>
      <c r="O731" s="54">
        <f t="shared" si="22"/>
        <v>0.42986111111111114</v>
      </c>
      <c r="P731" s="55">
        <f t="shared" si="23"/>
        <v>0.80486111111111114</v>
      </c>
    </row>
    <row r="732" spans="1:16" x14ac:dyDescent="0.3">
      <c r="A732" s="25">
        <f>YEAR('RETAIL SALES DATA.'!K731)</f>
        <v>2025</v>
      </c>
      <c r="B732" s="13" t="str">
        <v>Jun</v>
      </c>
      <c r="C732" s="42">
        <f>DAY('RETAIL SALES DATA.'!K731)</f>
        <v>28</v>
      </c>
      <c r="D732" s="13">
        <v>2025</v>
      </c>
      <c r="E732" s="13" t="str">
        <v>Jul</v>
      </c>
      <c r="F732" s="13">
        <v>1</v>
      </c>
      <c r="G732" s="10"/>
      <c r="H732" s="13">
        <f>NETWORKDAYS('RETAIL SALES DATA.'!K731,'RETAIL SALES DATA.'!L731)</f>
        <v>2</v>
      </c>
      <c r="I732" s="13">
        <v>3</v>
      </c>
      <c r="J732" s="10"/>
      <c r="K732" s="13">
        <v>4</v>
      </c>
      <c r="L732" s="13">
        <v>9</v>
      </c>
      <c r="M732" s="13">
        <v>53</v>
      </c>
      <c r="N732" s="13">
        <v>0</v>
      </c>
      <c r="O732" s="54">
        <f t="shared" si="22"/>
        <v>0.41180555555555554</v>
      </c>
      <c r="P732" s="55">
        <f t="shared" si="23"/>
        <v>0.20347222222222222</v>
      </c>
    </row>
    <row r="733" spans="1:16" x14ac:dyDescent="0.3">
      <c r="A733" s="25">
        <f>YEAR('RETAIL SALES DATA.'!K732)</f>
        <v>2025</v>
      </c>
      <c r="B733" s="13" t="str">
        <v>Sep</v>
      </c>
      <c r="C733" s="42">
        <f>DAY('RETAIL SALES DATA.'!K732)</f>
        <v>5</v>
      </c>
      <c r="D733" s="13">
        <v>2025</v>
      </c>
      <c r="E733" s="13" t="str">
        <v>Sep</v>
      </c>
      <c r="F733" s="13">
        <v>14</v>
      </c>
      <c r="G733" s="10"/>
      <c r="H733" s="13">
        <f>NETWORKDAYS('RETAIL SALES DATA.'!K732,'RETAIL SALES DATA.'!L732)</f>
        <v>6</v>
      </c>
      <c r="I733" s="13">
        <v>9</v>
      </c>
      <c r="J733" s="10"/>
      <c r="K733" s="13">
        <v>19</v>
      </c>
      <c r="L733" s="13">
        <v>8</v>
      </c>
      <c r="M733" s="13">
        <v>36</v>
      </c>
      <c r="N733" s="13">
        <v>0</v>
      </c>
      <c r="O733" s="54">
        <f t="shared" si="22"/>
        <v>0.35833333333333334</v>
      </c>
      <c r="P733" s="55">
        <f t="shared" si="23"/>
        <v>0.81666666666666665</v>
      </c>
    </row>
    <row r="734" spans="1:16" x14ac:dyDescent="0.3">
      <c r="A734" s="25">
        <f>YEAR('RETAIL SALES DATA.'!K733)</f>
        <v>2025</v>
      </c>
      <c r="B734" s="13" t="str">
        <v>Jun</v>
      </c>
      <c r="C734" s="42">
        <f>DAY('RETAIL SALES DATA.'!K733)</f>
        <v>20</v>
      </c>
      <c r="D734" s="13">
        <v>2025</v>
      </c>
      <c r="E734" s="13" t="str">
        <v>Jun</v>
      </c>
      <c r="F734" s="13">
        <v>30</v>
      </c>
      <c r="G734" s="10"/>
      <c r="H734" s="13">
        <f>NETWORKDAYS('RETAIL SALES DATA.'!K733,'RETAIL SALES DATA.'!L733)</f>
        <v>7</v>
      </c>
      <c r="I734" s="13">
        <v>10</v>
      </c>
      <c r="J734" s="10"/>
      <c r="K734" s="13">
        <v>2</v>
      </c>
      <c r="L734" s="13">
        <v>8</v>
      </c>
      <c r="M734" s="13">
        <v>59</v>
      </c>
      <c r="N734" s="13">
        <v>0</v>
      </c>
      <c r="O734" s="54">
        <f t="shared" si="22"/>
        <v>0.37430555555555556</v>
      </c>
      <c r="P734" s="55">
        <f t="shared" si="23"/>
        <v>0.12430555555555556</v>
      </c>
    </row>
    <row r="735" spans="1:16" x14ac:dyDescent="0.3">
      <c r="A735" s="25">
        <f>YEAR('RETAIL SALES DATA.'!K734)</f>
        <v>2025</v>
      </c>
      <c r="B735" s="13" t="str">
        <v>Aug</v>
      </c>
      <c r="C735" s="42">
        <f>DAY('RETAIL SALES DATA.'!K734)</f>
        <v>1</v>
      </c>
      <c r="D735" s="13">
        <v>2025</v>
      </c>
      <c r="E735" s="13" t="str">
        <v>Aug</v>
      </c>
      <c r="F735" s="13">
        <v>5</v>
      </c>
      <c r="G735" s="10"/>
      <c r="H735" s="13">
        <f>NETWORKDAYS('RETAIL SALES DATA.'!K734,'RETAIL SALES DATA.'!L734)</f>
        <v>3</v>
      </c>
      <c r="I735" s="13">
        <v>4</v>
      </c>
      <c r="J735" s="10"/>
      <c r="K735" s="13">
        <v>21</v>
      </c>
      <c r="L735" s="13">
        <v>10</v>
      </c>
      <c r="M735" s="13">
        <v>53</v>
      </c>
      <c r="N735" s="13">
        <v>0</v>
      </c>
      <c r="O735" s="54">
        <f t="shared" si="22"/>
        <v>0.45347222222222222</v>
      </c>
      <c r="P735" s="55">
        <f t="shared" si="23"/>
        <v>0.91180555555555554</v>
      </c>
    </row>
    <row r="736" spans="1:16" x14ac:dyDescent="0.3">
      <c r="A736" s="25">
        <f>YEAR('RETAIL SALES DATA.'!K735)</f>
        <v>2025</v>
      </c>
      <c r="B736" s="13" t="str">
        <v>Nov</v>
      </c>
      <c r="C736" s="42">
        <f>DAY('RETAIL SALES DATA.'!K735)</f>
        <v>23</v>
      </c>
      <c r="D736" s="13">
        <v>2025</v>
      </c>
      <c r="E736" s="13" t="str">
        <v>Nov</v>
      </c>
      <c r="F736" s="13">
        <v>24</v>
      </c>
      <c r="G736" s="10"/>
      <c r="H736" s="13">
        <f>NETWORKDAYS('RETAIL SALES DATA.'!K735,'RETAIL SALES DATA.'!L735)</f>
        <v>1</v>
      </c>
      <c r="I736" s="13">
        <v>1</v>
      </c>
      <c r="J736" s="10"/>
      <c r="K736" s="13">
        <v>19</v>
      </c>
      <c r="L736" s="13">
        <v>9</v>
      </c>
      <c r="M736" s="13">
        <v>23</v>
      </c>
      <c r="N736" s="13">
        <v>0</v>
      </c>
      <c r="O736" s="54">
        <f t="shared" si="22"/>
        <v>0.39097222222222222</v>
      </c>
      <c r="P736" s="55">
        <f t="shared" si="23"/>
        <v>0.80763888888888891</v>
      </c>
    </row>
    <row r="737" spans="1:16" x14ac:dyDescent="0.3">
      <c r="A737" s="25">
        <f>YEAR('RETAIL SALES DATA.'!K736)</f>
        <v>2024</v>
      </c>
      <c r="B737" s="13" t="str">
        <v>Dec</v>
      </c>
      <c r="C737" s="42">
        <f>DAY('RETAIL SALES DATA.'!K736)</f>
        <v>23</v>
      </c>
      <c r="D737" s="13">
        <v>2025</v>
      </c>
      <c r="E737" s="13" t="str">
        <v>Jan</v>
      </c>
      <c r="F737" s="13">
        <v>2</v>
      </c>
      <c r="G737" s="10"/>
      <c r="H737" s="13">
        <f>NETWORKDAYS('RETAIL SALES DATA.'!K736,'RETAIL SALES DATA.'!L736)</f>
        <v>9</v>
      </c>
      <c r="I737" s="13">
        <v>10</v>
      </c>
      <c r="J737" s="10"/>
      <c r="K737" s="13">
        <v>2</v>
      </c>
      <c r="L737" s="13">
        <v>8</v>
      </c>
      <c r="M737" s="13">
        <v>4</v>
      </c>
      <c r="N737" s="13">
        <v>0</v>
      </c>
      <c r="O737" s="54">
        <f t="shared" si="22"/>
        <v>0.33611111111111114</v>
      </c>
      <c r="P737" s="55">
        <f t="shared" si="23"/>
        <v>8.611111111111111E-2</v>
      </c>
    </row>
    <row r="738" spans="1:16" x14ac:dyDescent="0.3">
      <c r="A738" s="25">
        <f>YEAR('RETAIL SALES DATA.'!K737)</f>
        <v>2026</v>
      </c>
      <c r="B738" s="13" t="str">
        <v>Jan</v>
      </c>
      <c r="C738" s="42">
        <f>DAY('RETAIL SALES DATA.'!K737)</f>
        <v>20</v>
      </c>
      <c r="D738" s="13">
        <v>2026</v>
      </c>
      <c r="E738" s="13" t="str">
        <v>Jan</v>
      </c>
      <c r="F738" s="13">
        <v>23</v>
      </c>
      <c r="G738" s="10"/>
      <c r="H738" s="13">
        <f>NETWORKDAYS('RETAIL SALES DATA.'!K737,'RETAIL SALES DATA.'!L737)</f>
        <v>4</v>
      </c>
      <c r="I738" s="13">
        <v>3</v>
      </c>
      <c r="J738" s="10"/>
      <c r="K738" s="13">
        <v>4</v>
      </c>
      <c r="L738" s="13">
        <v>11</v>
      </c>
      <c r="M738" s="13">
        <v>26</v>
      </c>
      <c r="N738" s="13">
        <v>0</v>
      </c>
      <c r="O738" s="54">
        <f t="shared" si="22"/>
        <v>0.47638888888888886</v>
      </c>
      <c r="P738" s="55">
        <f t="shared" si="23"/>
        <v>0.18472222222222223</v>
      </c>
    </row>
    <row r="739" spans="1:16" x14ac:dyDescent="0.3">
      <c r="A739" s="25">
        <f>YEAR('RETAIL SALES DATA.'!K738)</f>
        <v>2024</v>
      </c>
      <c r="B739" s="13" t="str">
        <v>May</v>
      </c>
      <c r="C739" s="42">
        <f>DAY('RETAIL SALES DATA.'!K738)</f>
        <v>28</v>
      </c>
      <c r="D739" s="13">
        <v>2024</v>
      </c>
      <c r="E739" s="13" t="str">
        <v>Jun</v>
      </c>
      <c r="F739" s="13">
        <v>6</v>
      </c>
      <c r="G739" s="10"/>
      <c r="H739" s="13">
        <f>NETWORKDAYS('RETAIL SALES DATA.'!K738,'RETAIL SALES DATA.'!L738)</f>
        <v>8</v>
      </c>
      <c r="I739" s="13">
        <v>9</v>
      </c>
      <c r="J739" s="10"/>
      <c r="K739" s="13">
        <v>14</v>
      </c>
      <c r="L739" s="13">
        <v>9</v>
      </c>
      <c r="M739" s="13">
        <v>4</v>
      </c>
      <c r="N739" s="13">
        <v>0</v>
      </c>
      <c r="O739" s="54">
        <f t="shared" si="22"/>
        <v>0.37777777777777777</v>
      </c>
      <c r="P739" s="55">
        <f t="shared" si="23"/>
        <v>0.58611111111111114</v>
      </c>
    </row>
    <row r="740" spans="1:16" x14ac:dyDescent="0.3">
      <c r="A740" s="25">
        <f>YEAR('RETAIL SALES DATA.'!K739)</f>
        <v>2024</v>
      </c>
      <c r="B740" s="13" t="str">
        <v>Jun</v>
      </c>
      <c r="C740" s="42">
        <f>DAY('RETAIL SALES DATA.'!K739)</f>
        <v>5</v>
      </c>
      <c r="D740" s="13">
        <v>2024</v>
      </c>
      <c r="E740" s="13" t="str">
        <v>Jun</v>
      </c>
      <c r="F740" s="13">
        <v>14</v>
      </c>
      <c r="G740" s="10"/>
      <c r="H740" s="13">
        <f>NETWORKDAYS('RETAIL SALES DATA.'!K739,'RETAIL SALES DATA.'!L739)</f>
        <v>8</v>
      </c>
      <c r="I740" s="13">
        <v>9</v>
      </c>
      <c r="J740" s="10"/>
      <c r="K740" s="13">
        <v>21</v>
      </c>
      <c r="L740" s="13">
        <v>9</v>
      </c>
      <c r="M740" s="13">
        <v>40</v>
      </c>
      <c r="N740" s="13">
        <v>0</v>
      </c>
      <c r="O740" s="54">
        <f t="shared" si="22"/>
        <v>0.40277777777777779</v>
      </c>
      <c r="P740" s="55">
        <f t="shared" si="23"/>
        <v>0.90277777777777779</v>
      </c>
    </row>
    <row r="741" spans="1:16" x14ac:dyDescent="0.3">
      <c r="A741" s="25">
        <f>YEAR('RETAIL SALES DATA.'!K740)</f>
        <v>2025</v>
      </c>
      <c r="B741" s="13" t="str">
        <v>Dec</v>
      </c>
      <c r="C741" s="42">
        <f>DAY('RETAIL SALES DATA.'!K740)</f>
        <v>7</v>
      </c>
      <c r="D741" s="13">
        <v>2025</v>
      </c>
      <c r="E741" s="13" t="str">
        <v>Dec</v>
      </c>
      <c r="F741" s="13">
        <v>17</v>
      </c>
      <c r="G741" s="10"/>
      <c r="H741" s="13">
        <f>NETWORKDAYS('RETAIL SALES DATA.'!K740,'RETAIL SALES DATA.'!L740)</f>
        <v>8</v>
      </c>
      <c r="I741" s="13">
        <v>10</v>
      </c>
      <c r="J741" s="10"/>
      <c r="K741" s="13">
        <v>12</v>
      </c>
      <c r="L741" s="13">
        <v>8</v>
      </c>
      <c r="M741" s="13">
        <v>25</v>
      </c>
      <c r="N741" s="13">
        <v>0</v>
      </c>
      <c r="O741" s="54">
        <f t="shared" si="22"/>
        <v>0.35069444444444442</v>
      </c>
      <c r="P741" s="55">
        <f t="shared" si="23"/>
        <v>0.51736111111111116</v>
      </c>
    </row>
    <row r="742" spans="1:16" x14ac:dyDescent="0.3">
      <c r="A742" s="25">
        <f>YEAR('RETAIL SALES DATA.'!K741)</f>
        <v>2026</v>
      </c>
      <c r="B742" s="13" t="str">
        <v>Apr</v>
      </c>
      <c r="C742" s="42">
        <f>DAY('RETAIL SALES DATA.'!K741)</f>
        <v>6</v>
      </c>
      <c r="D742" s="13">
        <v>2026</v>
      </c>
      <c r="E742" s="13" t="str">
        <v>Apr</v>
      </c>
      <c r="F742" s="13">
        <v>14</v>
      </c>
      <c r="G742" s="10"/>
      <c r="H742" s="13">
        <f>NETWORKDAYS('RETAIL SALES DATA.'!K741,'RETAIL SALES DATA.'!L741)</f>
        <v>7</v>
      </c>
      <c r="I742" s="13">
        <v>8</v>
      </c>
      <c r="J742" s="10"/>
      <c r="K742" s="13">
        <v>2</v>
      </c>
      <c r="L742" s="13">
        <v>10</v>
      </c>
      <c r="M742" s="13">
        <v>38</v>
      </c>
      <c r="N742" s="13">
        <v>0</v>
      </c>
      <c r="O742" s="54">
        <f t="shared" si="22"/>
        <v>0.44305555555555554</v>
      </c>
      <c r="P742" s="55">
        <f t="shared" si="23"/>
        <v>0.10972222222222222</v>
      </c>
    </row>
    <row r="743" spans="1:16" x14ac:dyDescent="0.3">
      <c r="A743" s="25">
        <f>YEAR('RETAIL SALES DATA.'!K742)</f>
        <v>2025</v>
      </c>
      <c r="B743" s="13" t="str">
        <v>May</v>
      </c>
      <c r="C743" s="42">
        <f>DAY('RETAIL SALES DATA.'!K742)</f>
        <v>27</v>
      </c>
      <c r="D743" s="13">
        <v>2025</v>
      </c>
      <c r="E743" s="13" t="str">
        <v>May</v>
      </c>
      <c r="F743" s="13">
        <v>29</v>
      </c>
      <c r="G743" s="10"/>
      <c r="H743" s="13">
        <f>NETWORKDAYS('RETAIL SALES DATA.'!K742,'RETAIL SALES DATA.'!L742)</f>
        <v>3</v>
      </c>
      <c r="I743" s="13">
        <v>2</v>
      </c>
      <c r="J743" s="10"/>
      <c r="K743" s="13">
        <v>7</v>
      </c>
      <c r="L743" s="13">
        <v>9</v>
      </c>
      <c r="M743" s="13">
        <v>12</v>
      </c>
      <c r="N743" s="13">
        <v>0</v>
      </c>
      <c r="O743" s="54">
        <f t="shared" si="22"/>
        <v>0.38333333333333336</v>
      </c>
      <c r="P743" s="55">
        <f t="shared" si="23"/>
        <v>0.3</v>
      </c>
    </row>
    <row r="744" spans="1:16" x14ac:dyDescent="0.3">
      <c r="A744" s="25">
        <f>YEAR('RETAIL SALES DATA.'!K743)</f>
        <v>2026</v>
      </c>
      <c r="B744" s="13" t="str">
        <v>Apr</v>
      </c>
      <c r="C744" s="42">
        <f>DAY('RETAIL SALES DATA.'!K743)</f>
        <v>16</v>
      </c>
      <c r="D744" s="13">
        <v>2026</v>
      </c>
      <c r="E744" s="13" t="str">
        <v>Apr</v>
      </c>
      <c r="F744" s="13">
        <v>25</v>
      </c>
      <c r="G744" s="10"/>
      <c r="H744" s="13">
        <f>NETWORKDAYS('RETAIL SALES DATA.'!K743,'RETAIL SALES DATA.'!L743)</f>
        <v>7</v>
      </c>
      <c r="I744" s="13">
        <v>9</v>
      </c>
      <c r="J744" s="10"/>
      <c r="K744" s="13">
        <v>7</v>
      </c>
      <c r="L744" s="13">
        <v>11</v>
      </c>
      <c r="M744" s="13">
        <v>9</v>
      </c>
      <c r="N744" s="13">
        <v>0</v>
      </c>
      <c r="O744" s="54">
        <f t="shared" si="22"/>
        <v>0.46458333333333335</v>
      </c>
      <c r="P744" s="55">
        <f t="shared" si="23"/>
        <v>0.29791666666666666</v>
      </c>
    </row>
    <row r="745" spans="1:16" x14ac:dyDescent="0.3">
      <c r="A745" s="25">
        <f>YEAR('RETAIL SALES DATA.'!K744)</f>
        <v>2024</v>
      </c>
      <c r="B745" s="13" t="str">
        <v>Jun</v>
      </c>
      <c r="C745" s="42">
        <f>DAY('RETAIL SALES DATA.'!K744)</f>
        <v>11</v>
      </c>
      <c r="D745" s="13">
        <v>2024</v>
      </c>
      <c r="E745" s="13" t="str">
        <v>Jun</v>
      </c>
      <c r="F745" s="13">
        <v>19</v>
      </c>
      <c r="G745" s="10"/>
      <c r="H745" s="13">
        <f>NETWORKDAYS('RETAIL SALES DATA.'!K744,'RETAIL SALES DATA.'!L744)</f>
        <v>7</v>
      </c>
      <c r="I745" s="13">
        <v>8</v>
      </c>
      <c r="J745" s="10"/>
      <c r="K745" s="13">
        <v>14</v>
      </c>
      <c r="L745" s="13">
        <v>9</v>
      </c>
      <c r="M745" s="13">
        <v>28</v>
      </c>
      <c r="N745" s="13">
        <v>0</v>
      </c>
      <c r="O745" s="54">
        <f t="shared" si="22"/>
        <v>0.39444444444444443</v>
      </c>
      <c r="P745" s="55">
        <f t="shared" si="23"/>
        <v>0.60277777777777775</v>
      </c>
    </row>
    <row r="746" spans="1:16" x14ac:dyDescent="0.3">
      <c r="A746" s="25">
        <f>YEAR('RETAIL SALES DATA.'!K745)</f>
        <v>2024</v>
      </c>
      <c r="B746" s="13" t="str">
        <v>Nov</v>
      </c>
      <c r="C746" s="42">
        <f>DAY('RETAIL SALES DATA.'!K745)</f>
        <v>1</v>
      </c>
      <c r="D746" s="13">
        <v>2024</v>
      </c>
      <c r="E746" s="13" t="str">
        <v>Nov</v>
      </c>
      <c r="F746" s="13">
        <v>9</v>
      </c>
      <c r="G746" s="10"/>
      <c r="H746" s="13">
        <f>NETWORKDAYS('RETAIL SALES DATA.'!K745,'RETAIL SALES DATA.'!L745)</f>
        <v>6</v>
      </c>
      <c r="I746" s="13">
        <v>8</v>
      </c>
      <c r="J746" s="10"/>
      <c r="K746" s="13">
        <v>19</v>
      </c>
      <c r="L746" s="13">
        <v>11</v>
      </c>
      <c r="M746" s="13">
        <v>58</v>
      </c>
      <c r="N746" s="13">
        <v>0</v>
      </c>
      <c r="O746" s="54">
        <f t="shared" si="22"/>
        <v>0.49861111111111112</v>
      </c>
      <c r="P746" s="55">
        <f t="shared" si="23"/>
        <v>0.83194444444444449</v>
      </c>
    </row>
    <row r="747" spans="1:16" x14ac:dyDescent="0.3">
      <c r="A747" s="25">
        <f>YEAR('RETAIL SALES DATA.'!K746)</f>
        <v>2024</v>
      </c>
      <c r="B747" s="13" t="str">
        <v>May</v>
      </c>
      <c r="C747" s="42">
        <f>DAY('RETAIL SALES DATA.'!K746)</f>
        <v>31</v>
      </c>
      <c r="D747" s="13">
        <v>2024</v>
      </c>
      <c r="E747" s="13" t="str">
        <v>Jun</v>
      </c>
      <c r="F747" s="13">
        <v>10</v>
      </c>
      <c r="G747" s="10"/>
      <c r="H747" s="13">
        <f>NETWORKDAYS('RETAIL SALES DATA.'!K746,'RETAIL SALES DATA.'!L746)</f>
        <v>7</v>
      </c>
      <c r="I747" s="13">
        <v>10</v>
      </c>
      <c r="J747" s="10"/>
      <c r="K747" s="13">
        <v>14</v>
      </c>
      <c r="L747" s="13">
        <v>8</v>
      </c>
      <c r="M747" s="13">
        <v>19</v>
      </c>
      <c r="N747" s="13">
        <v>0</v>
      </c>
      <c r="O747" s="54">
        <f t="shared" si="22"/>
        <v>0.34652777777777777</v>
      </c>
      <c r="P747" s="55">
        <f t="shared" si="23"/>
        <v>0.59652777777777777</v>
      </c>
    </row>
    <row r="748" spans="1:16" x14ac:dyDescent="0.3">
      <c r="A748" s="25">
        <f>YEAR('RETAIL SALES DATA.'!K747)</f>
        <v>2025</v>
      </c>
      <c r="B748" s="13" t="str">
        <v>Jul</v>
      </c>
      <c r="C748" s="42">
        <f>DAY('RETAIL SALES DATA.'!K747)</f>
        <v>30</v>
      </c>
      <c r="D748" s="13">
        <v>2025</v>
      </c>
      <c r="E748" s="13" t="str">
        <v>Jul</v>
      </c>
      <c r="F748" s="13">
        <v>31</v>
      </c>
      <c r="G748" s="10"/>
      <c r="H748" s="13">
        <f>NETWORKDAYS('RETAIL SALES DATA.'!K747,'RETAIL SALES DATA.'!L747)</f>
        <v>2</v>
      </c>
      <c r="I748" s="13">
        <v>1</v>
      </c>
      <c r="J748" s="10"/>
      <c r="K748" s="13">
        <v>12</v>
      </c>
      <c r="L748" s="13">
        <v>8</v>
      </c>
      <c r="M748" s="13">
        <v>55</v>
      </c>
      <c r="N748" s="13">
        <v>0</v>
      </c>
      <c r="O748" s="54">
        <f t="shared" si="22"/>
        <v>0.37152777777777779</v>
      </c>
      <c r="P748" s="55">
        <f t="shared" si="23"/>
        <v>0.53819444444444442</v>
      </c>
    </row>
    <row r="749" spans="1:16" x14ac:dyDescent="0.3">
      <c r="A749" s="25">
        <f>YEAR('RETAIL SALES DATA.'!K748)</f>
        <v>2024</v>
      </c>
      <c r="B749" s="13" t="str">
        <v>Jul</v>
      </c>
      <c r="C749" s="42">
        <f>DAY('RETAIL SALES DATA.'!K748)</f>
        <v>20</v>
      </c>
      <c r="D749" s="13">
        <v>2024</v>
      </c>
      <c r="E749" s="13" t="str">
        <v>Jul</v>
      </c>
      <c r="F749" s="13">
        <v>22</v>
      </c>
      <c r="G749" s="10"/>
      <c r="H749" s="13">
        <f>NETWORKDAYS('RETAIL SALES DATA.'!K748,'RETAIL SALES DATA.'!L748)</f>
        <v>1</v>
      </c>
      <c r="I749" s="13">
        <v>2</v>
      </c>
      <c r="J749" s="10"/>
      <c r="K749" s="13">
        <v>19</v>
      </c>
      <c r="L749" s="13">
        <v>11</v>
      </c>
      <c r="M749" s="13">
        <v>38</v>
      </c>
      <c r="N749" s="13">
        <v>0</v>
      </c>
      <c r="O749" s="54">
        <f t="shared" si="22"/>
        <v>0.48472222222222222</v>
      </c>
      <c r="P749" s="55">
        <f t="shared" si="23"/>
        <v>0.81805555555555554</v>
      </c>
    </row>
    <row r="750" spans="1:16" x14ac:dyDescent="0.3">
      <c r="A750" s="25">
        <f>YEAR('RETAIL SALES DATA.'!K749)</f>
        <v>2025</v>
      </c>
      <c r="B750" s="13" t="str">
        <v>Jan</v>
      </c>
      <c r="C750" s="42">
        <f>DAY('RETAIL SALES DATA.'!K749)</f>
        <v>18</v>
      </c>
      <c r="D750" s="13">
        <v>2025</v>
      </c>
      <c r="E750" s="13" t="str">
        <v>Jan</v>
      </c>
      <c r="F750" s="13">
        <v>28</v>
      </c>
      <c r="G750" s="10"/>
      <c r="H750" s="13">
        <f>NETWORKDAYS('RETAIL SALES DATA.'!K749,'RETAIL SALES DATA.'!L749)</f>
        <v>7</v>
      </c>
      <c r="I750" s="13">
        <v>10</v>
      </c>
      <c r="J750" s="10"/>
      <c r="K750" s="13">
        <v>19</v>
      </c>
      <c r="L750" s="13">
        <v>9</v>
      </c>
      <c r="M750" s="13">
        <v>27</v>
      </c>
      <c r="N750" s="13">
        <v>0</v>
      </c>
      <c r="O750" s="54">
        <f t="shared" si="22"/>
        <v>0.39374999999999999</v>
      </c>
      <c r="P750" s="55">
        <f t="shared" si="23"/>
        <v>0.81041666666666667</v>
      </c>
    </row>
    <row r="751" spans="1:16" x14ac:dyDescent="0.3">
      <c r="A751" s="25">
        <f>YEAR('RETAIL SALES DATA.'!K750)</f>
        <v>2024</v>
      </c>
      <c r="B751" s="13" t="str">
        <v>May</v>
      </c>
      <c r="C751" s="42">
        <f>DAY('RETAIL SALES DATA.'!K750)</f>
        <v>27</v>
      </c>
      <c r="D751" s="13">
        <v>2024</v>
      </c>
      <c r="E751" s="13" t="str">
        <v>Jun</v>
      </c>
      <c r="F751" s="13">
        <v>6</v>
      </c>
      <c r="G751" s="10"/>
      <c r="H751" s="13">
        <f>NETWORKDAYS('RETAIL SALES DATA.'!K750,'RETAIL SALES DATA.'!L750)</f>
        <v>9</v>
      </c>
      <c r="I751" s="13">
        <v>10</v>
      </c>
      <c r="J751" s="10"/>
      <c r="K751" s="13">
        <v>2</v>
      </c>
      <c r="L751" s="13">
        <v>11</v>
      </c>
      <c r="M751" s="13">
        <v>38</v>
      </c>
      <c r="N751" s="13">
        <v>0</v>
      </c>
      <c r="O751" s="54">
        <f t="shared" si="22"/>
        <v>0.48472222222222222</v>
      </c>
      <c r="P751" s="55">
        <f t="shared" si="23"/>
        <v>0.10972222222222222</v>
      </c>
    </row>
    <row r="752" spans="1:16" x14ac:dyDescent="0.3">
      <c r="A752" s="25">
        <f>YEAR('RETAIL SALES DATA.'!K751)</f>
        <v>2024</v>
      </c>
      <c r="B752" s="13" t="str">
        <v>Jun</v>
      </c>
      <c r="C752" s="42">
        <f>DAY('RETAIL SALES DATA.'!K751)</f>
        <v>5</v>
      </c>
      <c r="D752" s="13">
        <v>2024</v>
      </c>
      <c r="E752" s="13" t="str">
        <v>Jun</v>
      </c>
      <c r="F752" s="13">
        <v>15</v>
      </c>
      <c r="G752" s="10"/>
      <c r="H752" s="13">
        <f>NETWORKDAYS('RETAIL SALES DATA.'!K751,'RETAIL SALES DATA.'!L751)</f>
        <v>8</v>
      </c>
      <c r="I752" s="13">
        <v>10</v>
      </c>
      <c r="J752" s="10"/>
      <c r="K752" s="13">
        <v>21</v>
      </c>
      <c r="L752" s="13">
        <v>10</v>
      </c>
      <c r="M752" s="13">
        <v>4</v>
      </c>
      <c r="N752" s="13">
        <v>0</v>
      </c>
      <c r="O752" s="54">
        <f t="shared" si="22"/>
        <v>0.41944444444444445</v>
      </c>
      <c r="P752" s="55">
        <f t="shared" si="23"/>
        <v>0.87777777777777777</v>
      </c>
    </row>
    <row r="753" spans="1:16" x14ac:dyDescent="0.3">
      <c r="A753" s="25">
        <f>YEAR('RETAIL SALES DATA.'!K752)</f>
        <v>2024</v>
      </c>
      <c r="B753" s="13" t="str">
        <v>Oct</v>
      </c>
      <c r="C753" s="42">
        <f>DAY('RETAIL SALES DATA.'!K752)</f>
        <v>20</v>
      </c>
      <c r="D753" s="13">
        <v>2024</v>
      </c>
      <c r="E753" s="13" t="str">
        <v>Oct</v>
      </c>
      <c r="F753" s="13">
        <v>25</v>
      </c>
      <c r="G753" s="10"/>
      <c r="H753" s="13">
        <f>NETWORKDAYS('RETAIL SALES DATA.'!K752,'RETAIL SALES DATA.'!L752)</f>
        <v>5</v>
      </c>
      <c r="I753" s="13">
        <v>5</v>
      </c>
      <c r="J753" s="10"/>
      <c r="K753" s="13">
        <v>4</v>
      </c>
      <c r="L753" s="13">
        <v>9</v>
      </c>
      <c r="M753" s="13">
        <v>58</v>
      </c>
      <c r="N753" s="13">
        <v>0</v>
      </c>
      <c r="O753" s="54">
        <f t="shared" si="22"/>
        <v>0.4152777777777778</v>
      </c>
      <c r="P753" s="55">
        <f t="shared" si="23"/>
        <v>0.20694444444444443</v>
      </c>
    </row>
    <row r="754" spans="1:16" x14ac:dyDescent="0.3">
      <c r="A754" s="25">
        <f>YEAR('RETAIL SALES DATA.'!K753)</f>
        <v>2024</v>
      </c>
      <c r="B754" s="13" t="str">
        <v>Jun</v>
      </c>
      <c r="C754" s="42">
        <f>DAY('RETAIL SALES DATA.'!K753)</f>
        <v>26</v>
      </c>
      <c r="D754" s="13">
        <v>2024</v>
      </c>
      <c r="E754" s="13" t="str">
        <v>Jul</v>
      </c>
      <c r="F754" s="13">
        <v>6</v>
      </c>
      <c r="G754" s="10"/>
      <c r="H754" s="13">
        <f>NETWORKDAYS('RETAIL SALES DATA.'!K753,'RETAIL SALES DATA.'!L753)</f>
        <v>8</v>
      </c>
      <c r="I754" s="13">
        <v>10</v>
      </c>
      <c r="J754" s="10"/>
      <c r="K754" s="13">
        <v>4</v>
      </c>
      <c r="L754" s="13">
        <v>11</v>
      </c>
      <c r="M754" s="13">
        <v>49</v>
      </c>
      <c r="N754" s="13">
        <v>0</v>
      </c>
      <c r="O754" s="54">
        <f t="shared" si="22"/>
        <v>0.49236111111111114</v>
      </c>
      <c r="P754" s="55">
        <f t="shared" si="23"/>
        <v>0.20069444444444445</v>
      </c>
    </row>
    <row r="755" spans="1:16" x14ac:dyDescent="0.3">
      <c r="A755" s="25">
        <f>YEAR('RETAIL SALES DATA.'!K754)</f>
        <v>2025</v>
      </c>
      <c r="B755" s="13" t="str">
        <v>Nov</v>
      </c>
      <c r="C755" s="42">
        <f>DAY('RETAIL SALES DATA.'!K754)</f>
        <v>6</v>
      </c>
      <c r="D755" s="13">
        <v>2025</v>
      </c>
      <c r="E755" s="13" t="str">
        <v>Nov</v>
      </c>
      <c r="F755" s="13">
        <v>11</v>
      </c>
      <c r="G755" s="10"/>
      <c r="H755" s="13">
        <f>NETWORKDAYS('RETAIL SALES DATA.'!K754,'RETAIL SALES DATA.'!L754)</f>
        <v>4</v>
      </c>
      <c r="I755" s="13">
        <v>5</v>
      </c>
      <c r="J755" s="10"/>
      <c r="K755" s="13">
        <v>9</v>
      </c>
      <c r="L755" s="13">
        <v>11</v>
      </c>
      <c r="M755" s="13">
        <v>47</v>
      </c>
      <c r="N755" s="13">
        <v>0</v>
      </c>
      <c r="O755" s="54">
        <f t="shared" si="22"/>
        <v>0.4909722222222222</v>
      </c>
      <c r="P755" s="55">
        <f t="shared" si="23"/>
        <v>0.40763888888888888</v>
      </c>
    </row>
    <row r="756" spans="1:16" x14ac:dyDescent="0.3">
      <c r="A756" s="25">
        <f>YEAR('RETAIL SALES DATA.'!K755)</f>
        <v>2025</v>
      </c>
      <c r="B756" s="13" t="str">
        <v>May</v>
      </c>
      <c r="C756" s="42">
        <f>DAY('RETAIL SALES DATA.'!K755)</f>
        <v>30</v>
      </c>
      <c r="D756" s="13">
        <v>2025</v>
      </c>
      <c r="E756" s="13" t="str">
        <v>Jun</v>
      </c>
      <c r="F756" s="13">
        <v>9</v>
      </c>
      <c r="G756" s="10"/>
      <c r="H756" s="13">
        <f>NETWORKDAYS('RETAIL SALES DATA.'!K755,'RETAIL SALES DATA.'!L755)</f>
        <v>7</v>
      </c>
      <c r="I756" s="13">
        <v>10</v>
      </c>
      <c r="J756" s="10"/>
      <c r="K756" s="13">
        <v>21</v>
      </c>
      <c r="L756" s="13">
        <v>9</v>
      </c>
      <c r="M756" s="13">
        <v>34</v>
      </c>
      <c r="N756" s="13">
        <v>0</v>
      </c>
      <c r="O756" s="54">
        <f t="shared" si="22"/>
        <v>0.39861111111111114</v>
      </c>
      <c r="P756" s="55">
        <f t="shared" si="23"/>
        <v>0.89861111111111114</v>
      </c>
    </row>
    <row r="757" spans="1:16" x14ac:dyDescent="0.3">
      <c r="A757" s="25">
        <f>YEAR('RETAIL SALES DATA.'!K756)</f>
        <v>2025</v>
      </c>
      <c r="B757" s="13" t="str">
        <v>Jan</v>
      </c>
      <c r="C757" s="42">
        <f>DAY('RETAIL SALES DATA.'!K756)</f>
        <v>15</v>
      </c>
      <c r="D757" s="13">
        <v>2025</v>
      </c>
      <c r="E757" s="13" t="str">
        <v>Jan</v>
      </c>
      <c r="F757" s="13">
        <v>19</v>
      </c>
      <c r="G757" s="10"/>
      <c r="H757" s="13">
        <f>NETWORKDAYS('RETAIL SALES DATA.'!K756,'RETAIL SALES DATA.'!L756)</f>
        <v>3</v>
      </c>
      <c r="I757" s="13">
        <v>4</v>
      </c>
      <c r="J757" s="10"/>
      <c r="K757" s="13">
        <v>12</v>
      </c>
      <c r="L757" s="13">
        <v>10</v>
      </c>
      <c r="M757" s="13">
        <v>28</v>
      </c>
      <c r="N757" s="13">
        <v>0</v>
      </c>
      <c r="O757" s="54">
        <f t="shared" si="22"/>
        <v>0.43611111111111112</v>
      </c>
      <c r="P757" s="55">
        <f t="shared" si="23"/>
        <v>0.51944444444444449</v>
      </c>
    </row>
    <row r="758" spans="1:16" x14ac:dyDescent="0.3">
      <c r="A758" s="25">
        <f>YEAR('RETAIL SALES DATA.'!K757)</f>
        <v>2025</v>
      </c>
      <c r="B758" s="13" t="str">
        <v>Jul</v>
      </c>
      <c r="C758" s="42">
        <f>DAY('RETAIL SALES DATA.'!K757)</f>
        <v>11</v>
      </c>
      <c r="D758" s="13">
        <v>2025</v>
      </c>
      <c r="E758" s="13" t="str">
        <v>Jul</v>
      </c>
      <c r="F758" s="13">
        <v>18</v>
      </c>
      <c r="G758" s="10"/>
      <c r="H758" s="13">
        <f>NETWORKDAYS('RETAIL SALES DATA.'!K757,'RETAIL SALES DATA.'!L757)</f>
        <v>6</v>
      </c>
      <c r="I758" s="13">
        <v>7</v>
      </c>
      <c r="J758" s="10"/>
      <c r="K758" s="13">
        <v>2</v>
      </c>
      <c r="L758" s="13">
        <v>9</v>
      </c>
      <c r="M758" s="13">
        <v>19</v>
      </c>
      <c r="N758" s="13">
        <v>0</v>
      </c>
      <c r="O758" s="54">
        <f t="shared" si="22"/>
        <v>0.38819444444444445</v>
      </c>
      <c r="P758" s="55">
        <f t="shared" si="23"/>
        <v>9.6527777777777782E-2</v>
      </c>
    </row>
    <row r="759" spans="1:16" x14ac:dyDescent="0.3">
      <c r="A759" s="25">
        <f>YEAR('RETAIL SALES DATA.'!K758)</f>
        <v>2025</v>
      </c>
      <c r="B759" s="13" t="str">
        <v>May</v>
      </c>
      <c r="C759" s="42">
        <f>DAY('RETAIL SALES DATA.'!K758)</f>
        <v>3</v>
      </c>
      <c r="D759" s="13">
        <v>2025</v>
      </c>
      <c r="E759" s="13" t="str">
        <v>May</v>
      </c>
      <c r="F759" s="13">
        <v>13</v>
      </c>
      <c r="G759" s="10"/>
      <c r="H759" s="13">
        <f>NETWORKDAYS('RETAIL SALES DATA.'!K758,'RETAIL SALES DATA.'!L758)</f>
        <v>7</v>
      </c>
      <c r="I759" s="13">
        <v>10</v>
      </c>
      <c r="J759" s="10"/>
      <c r="K759" s="13">
        <v>2</v>
      </c>
      <c r="L759" s="13">
        <v>8</v>
      </c>
      <c r="M759" s="13">
        <v>57</v>
      </c>
      <c r="N759" s="13">
        <v>0</v>
      </c>
      <c r="O759" s="54">
        <f t="shared" si="22"/>
        <v>0.37291666666666667</v>
      </c>
      <c r="P759" s="55">
        <f t="shared" si="23"/>
        <v>0.12291666666666666</v>
      </c>
    </row>
    <row r="760" spans="1:16" x14ac:dyDescent="0.3">
      <c r="A760" s="25">
        <f>YEAR('RETAIL SALES DATA.'!K759)</f>
        <v>2025</v>
      </c>
      <c r="B760" s="13" t="str">
        <v>Jan</v>
      </c>
      <c r="C760" s="42">
        <f>DAY('RETAIL SALES DATA.'!K759)</f>
        <v>23</v>
      </c>
      <c r="D760" s="13">
        <v>2025</v>
      </c>
      <c r="E760" s="13" t="str">
        <v>Jan</v>
      </c>
      <c r="F760" s="13">
        <v>25</v>
      </c>
      <c r="G760" s="10"/>
      <c r="H760" s="13">
        <f>NETWORKDAYS('RETAIL SALES DATA.'!K759,'RETAIL SALES DATA.'!L759)</f>
        <v>2</v>
      </c>
      <c r="I760" s="13">
        <v>2</v>
      </c>
      <c r="J760" s="10"/>
      <c r="K760" s="13">
        <v>2</v>
      </c>
      <c r="L760" s="13">
        <v>8</v>
      </c>
      <c r="M760" s="13">
        <v>27</v>
      </c>
      <c r="N760" s="13">
        <v>0</v>
      </c>
      <c r="O760" s="54">
        <f t="shared" si="22"/>
        <v>0.35208333333333336</v>
      </c>
      <c r="P760" s="55">
        <f t="shared" si="23"/>
        <v>0.10208333333333333</v>
      </c>
    </row>
    <row r="761" spans="1:16" x14ac:dyDescent="0.3">
      <c r="A761" s="25">
        <f>YEAR('RETAIL SALES DATA.'!K760)</f>
        <v>2024</v>
      </c>
      <c r="B761" s="13" t="str">
        <v>Nov</v>
      </c>
      <c r="C761" s="42">
        <f>DAY('RETAIL SALES DATA.'!K760)</f>
        <v>1</v>
      </c>
      <c r="D761" s="13">
        <v>2024</v>
      </c>
      <c r="E761" s="13" t="str">
        <v>Nov</v>
      </c>
      <c r="F761" s="13">
        <v>7</v>
      </c>
      <c r="G761" s="10"/>
      <c r="H761" s="13">
        <f>NETWORKDAYS('RETAIL SALES DATA.'!K760,'RETAIL SALES DATA.'!L760)</f>
        <v>5</v>
      </c>
      <c r="I761" s="13">
        <v>6</v>
      </c>
      <c r="J761" s="10"/>
      <c r="K761" s="13">
        <v>21</v>
      </c>
      <c r="L761" s="13">
        <v>11</v>
      </c>
      <c r="M761" s="13">
        <v>7</v>
      </c>
      <c r="N761" s="13">
        <v>0</v>
      </c>
      <c r="O761" s="54">
        <f t="shared" si="22"/>
        <v>0.46319444444444446</v>
      </c>
      <c r="P761" s="55">
        <f t="shared" si="23"/>
        <v>0.87986111111111109</v>
      </c>
    </row>
    <row r="762" spans="1:16" x14ac:dyDescent="0.3">
      <c r="A762" s="25">
        <f>YEAR('RETAIL SALES DATA.'!K761)</f>
        <v>2026</v>
      </c>
      <c r="B762" s="13" t="str">
        <v>Feb</v>
      </c>
      <c r="C762" s="42">
        <f>DAY('RETAIL SALES DATA.'!K761)</f>
        <v>6</v>
      </c>
      <c r="D762" s="13">
        <v>2026</v>
      </c>
      <c r="E762" s="13" t="str">
        <v>Feb</v>
      </c>
      <c r="F762" s="13">
        <v>15</v>
      </c>
      <c r="G762" s="10"/>
      <c r="H762" s="13">
        <f>NETWORKDAYS('RETAIL SALES DATA.'!K761,'RETAIL SALES DATA.'!L761)</f>
        <v>6</v>
      </c>
      <c r="I762" s="13">
        <v>9</v>
      </c>
      <c r="J762" s="10"/>
      <c r="K762" s="13">
        <v>4</v>
      </c>
      <c r="L762" s="13">
        <v>10</v>
      </c>
      <c r="M762" s="13">
        <v>16</v>
      </c>
      <c r="N762" s="13">
        <v>0</v>
      </c>
      <c r="O762" s="54">
        <f t="shared" si="22"/>
        <v>0.42777777777777776</v>
      </c>
      <c r="P762" s="55">
        <f t="shared" si="23"/>
        <v>0.17777777777777778</v>
      </c>
    </row>
    <row r="763" spans="1:16" x14ac:dyDescent="0.3">
      <c r="A763" s="25">
        <f>YEAR('RETAIL SALES DATA.'!K762)</f>
        <v>2026</v>
      </c>
      <c r="B763" s="13" t="str">
        <v>Jan</v>
      </c>
      <c r="C763" s="42">
        <f>DAY('RETAIL SALES DATA.'!K762)</f>
        <v>8</v>
      </c>
      <c r="D763" s="13">
        <v>2026</v>
      </c>
      <c r="E763" s="13" t="str">
        <v>Jan</v>
      </c>
      <c r="F763" s="13">
        <v>15</v>
      </c>
      <c r="G763" s="10"/>
      <c r="H763" s="13">
        <f>NETWORKDAYS('RETAIL SALES DATA.'!K762,'RETAIL SALES DATA.'!L762)</f>
        <v>6</v>
      </c>
      <c r="I763" s="13">
        <v>7</v>
      </c>
      <c r="J763" s="10"/>
      <c r="K763" s="13">
        <v>16</v>
      </c>
      <c r="L763" s="13">
        <v>11</v>
      </c>
      <c r="M763" s="13">
        <v>16</v>
      </c>
      <c r="N763" s="13">
        <v>0</v>
      </c>
      <c r="O763" s="54">
        <f t="shared" si="22"/>
        <v>0.46944444444444444</v>
      </c>
      <c r="P763" s="55">
        <f t="shared" si="23"/>
        <v>0.67777777777777781</v>
      </c>
    </row>
    <row r="764" spans="1:16" x14ac:dyDescent="0.3">
      <c r="A764" s="25">
        <f>YEAR('RETAIL SALES DATA.'!K763)</f>
        <v>2024</v>
      </c>
      <c r="B764" s="13" t="str">
        <v>Jun</v>
      </c>
      <c r="C764" s="42">
        <f>DAY('RETAIL SALES DATA.'!K763)</f>
        <v>3</v>
      </c>
      <c r="D764" s="13">
        <v>2024</v>
      </c>
      <c r="E764" s="13" t="str">
        <v>Jun</v>
      </c>
      <c r="F764" s="13">
        <v>8</v>
      </c>
      <c r="G764" s="10"/>
      <c r="H764" s="13">
        <f>NETWORKDAYS('RETAIL SALES DATA.'!K763,'RETAIL SALES DATA.'!L763)</f>
        <v>5</v>
      </c>
      <c r="I764" s="13">
        <v>5</v>
      </c>
      <c r="J764" s="10"/>
      <c r="K764" s="13">
        <v>21</v>
      </c>
      <c r="L764" s="13">
        <v>11</v>
      </c>
      <c r="M764" s="13">
        <v>29</v>
      </c>
      <c r="N764" s="13">
        <v>0</v>
      </c>
      <c r="O764" s="54">
        <f t="shared" si="22"/>
        <v>0.47847222222222224</v>
      </c>
      <c r="P764" s="55">
        <f t="shared" si="23"/>
        <v>0.89513888888888893</v>
      </c>
    </row>
    <row r="765" spans="1:16" x14ac:dyDescent="0.3">
      <c r="A765" s="25">
        <f>YEAR('RETAIL SALES DATA.'!K764)</f>
        <v>2025</v>
      </c>
      <c r="B765" s="13" t="str">
        <v>Aug</v>
      </c>
      <c r="C765" s="42">
        <f>DAY('RETAIL SALES DATA.'!K764)</f>
        <v>26</v>
      </c>
      <c r="D765" s="13">
        <v>2025</v>
      </c>
      <c r="E765" s="13" t="str">
        <v>Aug</v>
      </c>
      <c r="F765" s="13">
        <v>27</v>
      </c>
      <c r="G765" s="10"/>
      <c r="H765" s="13">
        <f>NETWORKDAYS('RETAIL SALES DATA.'!K764,'RETAIL SALES DATA.'!L764)</f>
        <v>2</v>
      </c>
      <c r="I765" s="13">
        <v>1</v>
      </c>
      <c r="J765" s="10"/>
      <c r="K765" s="13">
        <v>14</v>
      </c>
      <c r="L765" s="13">
        <v>11</v>
      </c>
      <c r="M765" s="13">
        <v>40</v>
      </c>
      <c r="N765" s="13">
        <v>0</v>
      </c>
      <c r="O765" s="54">
        <f t="shared" si="22"/>
        <v>0.4861111111111111</v>
      </c>
      <c r="P765" s="55">
        <f t="shared" si="23"/>
        <v>0.61111111111111116</v>
      </c>
    </row>
    <row r="766" spans="1:16" x14ac:dyDescent="0.3">
      <c r="A766" s="25">
        <f>YEAR('RETAIL SALES DATA.'!K765)</f>
        <v>2025</v>
      </c>
      <c r="B766" s="13" t="str">
        <v>Mar</v>
      </c>
      <c r="C766" s="42">
        <f>DAY('RETAIL SALES DATA.'!K765)</f>
        <v>19</v>
      </c>
      <c r="D766" s="13">
        <v>2025</v>
      </c>
      <c r="E766" s="13" t="str">
        <v>Mar</v>
      </c>
      <c r="F766" s="13">
        <v>23</v>
      </c>
      <c r="G766" s="10"/>
      <c r="H766" s="13">
        <f>NETWORKDAYS('RETAIL SALES DATA.'!K765,'RETAIL SALES DATA.'!L765)</f>
        <v>3</v>
      </c>
      <c r="I766" s="13">
        <v>4</v>
      </c>
      <c r="J766" s="10"/>
      <c r="K766" s="13">
        <v>4</v>
      </c>
      <c r="L766" s="13">
        <v>9</v>
      </c>
      <c r="M766" s="13">
        <v>35</v>
      </c>
      <c r="N766" s="13">
        <v>0</v>
      </c>
      <c r="O766" s="54">
        <f t="shared" si="22"/>
        <v>0.39930555555555558</v>
      </c>
      <c r="P766" s="55">
        <f t="shared" si="23"/>
        <v>0.19097222222222221</v>
      </c>
    </row>
    <row r="767" spans="1:16" x14ac:dyDescent="0.3">
      <c r="A767" s="25">
        <f>YEAR('RETAIL SALES DATA.'!K766)</f>
        <v>2025</v>
      </c>
      <c r="B767" s="13" t="str">
        <v>Dec</v>
      </c>
      <c r="C767" s="42">
        <f>DAY('RETAIL SALES DATA.'!K766)</f>
        <v>27</v>
      </c>
      <c r="D767" s="13">
        <v>2026</v>
      </c>
      <c r="E767" s="13" t="str">
        <v>Jan</v>
      </c>
      <c r="F767" s="13">
        <v>5</v>
      </c>
      <c r="G767" s="10"/>
      <c r="H767" s="13">
        <f>NETWORKDAYS('RETAIL SALES DATA.'!K766,'RETAIL SALES DATA.'!L766)</f>
        <v>6</v>
      </c>
      <c r="I767" s="13">
        <v>9</v>
      </c>
      <c r="J767" s="10"/>
      <c r="K767" s="13">
        <v>4</v>
      </c>
      <c r="L767" s="13">
        <v>8</v>
      </c>
      <c r="M767" s="13">
        <v>32</v>
      </c>
      <c r="N767" s="13">
        <v>0</v>
      </c>
      <c r="O767" s="54">
        <f t="shared" si="22"/>
        <v>0.35555555555555557</v>
      </c>
      <c r="P767" s="55">
        <f t="shared" si="23"/>
        <v>0.18888888888888888</v>
      </c>
    </row>
    <row r="768" spans="1:16" x14ac:dyDescent="0.3">
      <c r="A768" s="25">
        <f>YEAR('RETAIL SALES DATA.'!K767)</f>
        <v>2026</v>
      </c>
      <c r="B768" s="13" t="str">
        <v>Jan</v>
      </c>
      <c r="C768" s="42">
        <f>DAY('RETAIL SALES DATA.'!K767)</f>
        <v>25</v>
      </c>
      <c r="D768" s="13">
        <v>2026</v>
      </c>
      <c r="E768" s="13" t="str">
        <v>Jan</v>
      </c>
      <c r="F768" s="13">
        <v>30</v>
      </c>
      <c r="G768" s="10"/>
      <c r="H768" s="13">
        <f>NETWORKDAYS('RETAIL SALES DATA.'!K767,'RETAIL SALES DATA.'!L767)</f>
        <v>5</v>
      </c>
      <c r="I768" s="13">
        <v>5</v>
      </c>
      <c r="J768" s="10"/>
      <c r="K768" s="13">
        <v>9</v>
      </c>
      <c r="L768" s="13">
        <v>8</v>
      </c>
      <c r="M768" s="13">
        <v>51</v>
      </c>
      <c r="N768" s="13">
        <v>0</v>
      </c>
      <c r="O768" s="54">
        <f t="shared" si="22"/>
        <v>0.36875000000000002</v>
      </c>
      <c r="P768" s="55">
        <f t="shared" si="23"/>
        <v>0.41041666666666665</v>
      </c>
    </row>
    <row r="769" spans="1:16" x14ac:dyDescent="0.3">
      <c r="A769" s="25">
        <f>YEAR('RETAIL SALES DATA.'!K768)</f>
        <v>2025</v>
      </c>
      <c r="B769" s="13" t="str">
        <v>Mar</v>
      </c>
      <c r="C769" s="42">
        <f>DAY('RETAIL SALES DATA.'!K768)</f>
        <v>14</v>
      </c>
      <c r="D769" s="13">
        <v>2025</v>
      </c>
      <c r="E769" s="13" t="str">
        <v>Mar</v>
      </c>
      <c r="F769" s="13">
        <v>20</v>
      </c>
      <c r="G769" s="10"/>
      <c r="H769" s="13">
        <f>NETWORKDAYS('RETAIL SALES DATA.'!K768,'RETAIL SALES DATA.'!L768)</f>
        <v>5</v>
      </c>
      <c r="I769" s="13">
        <v>6</v>
      </c>
      <c r="J769" s="10"/>
      <c r="K769" s="13">
        <v>4</v>
      </c>
      <c r="L769" s="13">
        <v>10</v>
      </c>
      <c r="M769" s="13">
        <v>25</v>
      </c>
      <c r="N769" s="13">
        <v>0</v>
      </c>
      <c r="O769" s="54">
        <f t="shared" si="22"/>
        <v>0.43402777777777779</v>
      </c>
      <c r="P769" s="55">
        <f t="shared" si="23"/>
        <v>0.18402777777777779</v>
      </c>
    </row>
    <row r="770" spans="1:16" x14ac:dyDescent="0.3">
      <c r="A770" s="25">
        <f>YEAR('RETAIL SALES DATA.'!K769)</f>
        <v>2025</v>
      </c>
      <c r="B770" s="13" t="str">
        <v>Apr</v>
      </c>
      <c r="C770" s="42">
        <f>DAY('RETAIL SALES DATA.'!K769)</f>
        <v>30</v>
      </c>
      <c r="D770" s="13">
        <v>2025</v>
      </c>
      <c r="E770" s="13" t="str">
        <v>May</v>
      </c>
      <c r="F770" s="13">
        <v>1</v>
      </c>
      <c r="G770" s="10"/>
      <c r="H770" s="13">
        <f>NETWORKDAYS('RETAIL SALES DATA.'!K769,'RETAIL SALES DATA.'!L769)</f>
        <v>2</v>
      </c>
      <c r="I770" s="13">
        <v>1</v>
      </c>
      <c r="J770" s="10"/>
      <c r="K770" s="13">
        <v>0</v>
      </c>
      <c r="L770" s="13">
        <v>9</v>
      </c>
      <c r="M770" s="13">
        <v>15</v>
      </c>
      <c r="N770" s="13">
        <v>0</v>
      </c>
      <c r="O770" s="54">
        <f t="shared" si="22"/>
        <v>0.38541666666666669</v>
      </c>
      <c r="P770" s="55">
        <f t="shared" si="23"/>
        <v>1.0416666666666666E-2</v>
      </c>
    </row>
    <row r="771" spans="1:16" x14ac:dyDescent="0.3">
      <c r="A771" s="25">
        <f>YEAR('RETAIL SALES DATA.'!K770)</f>
        <v>2024</v>
      </c>
      <c r="B771" s="13" t="str">
        <v>Oct</v>
      </c>
      <c r="C771" s="42">
        <f>DAY('RETAIL SALES DATA.'!K770)</f>
        <v>3</v>
      </c>
      <c r="D771" s="13">
        <v>2024</v>
      </c>
      <c r="E771" s="13" t="str">
        <v>Oct</v>
      </c>
      <c r="F771" s="13">
        <v>5</v>
      </c>
      <c r="G771" s="10"/>
      <c r="H771" s="13">
        <f>NETWORKDAYS('RETAIL SALES DATA.'!K770,'RETAIL SALES DATA.'!L770)</f>
        <v>2</v>
      </c>
      <c r="I771" s="13">
        <v>2</v>
      </c>
      <c r="J771" s="10"/>
      <c r="K771" s="13">
        <v>19</v>
      </c>
      <c r="L771" s="13">
        <v>10</v>
      </c>
      <c r="M771" s="13">
        <v>8</v>
      </c>
      <c r="N771" s="13">
        <v>0</v>
      </c>
      <c r="O771" s="54">
        <f t="shared" si="22"/>
        <v>0.42222222222222222</v>
      </c>
      <c r="P771" s="55">
        <f t="shared" si="23"/>
        <v>0.79722222222222228</v>
      </c>
    </row>
    <row r="772" spans="1:16" x14ac:dyDescent="0.3">
      <c r="A772" s="25">
        <f>YEAR('RETAIL SALES DATA.'!K771)</f>
        <v>2024</v>
      </c>
      <c r="B772" s="13" t="str">
        <v>Jul</v>
      </c>
      <c r="C772" s="42">
        <f>DAY('RETAIL SALES DATA.'!K771)</f>
        <v>29</v>
      </c>
      <c r="D772" s="13">
        <v>2024</v>
      </c>
      <c r="E772" s="13" t="str">
        <v>Aug</v>
      </c>
      <c r="F772" s="13">
        <v>3</v>
      </c>
      <c r="G772" s="10"/>
      <c r="H772" s="13">
        <f>NETWORKDAYS('RETAIL SALES DATA.'!K771,'RETAIL SALES DATA.'!L771)</f>
        <v>5</v>
      </c>
      <c r="I772" s="13">
        <v>5</v>
      </c>
      <c r="J772" s="10"/>
      <c r="K772" s="13">
        <v>16</v>
      </c>
      <c r="L772" s="13">
        <v>10</v>
      </c>
      <c r="M772" s="13">
        <v>24</v>
      </c>
      <c r="N772" s="13">
        <v>0</v>
      </c>
      <c r="O772" s="54">
        <f t="shared" ref="O772:O835" si="24">TIME(L772,M772,N772)</f>
        <v>0.43333333333333335</v>
      </c>
      <c r="P772" s="55">
        <f t="shared" ref="P772:P835" si="25">TIME(K772,M772,N772)</f>
        <v>0.68333333333333335</v>
      </c>
    </row>
    <row r="773" spans="1:16" x14ac:dyDescent="0.3">
      <c r="A773" s="25">
        <f>YEAR('RETAIL SALES DATA.'!K772)</f>
        <v>2024</v>
      </c>
      <c r="B773" s="13" t="str">
        <v>Aug</v>
      </c>
      <c r="C773" s="42">
        <f>DAY('RETAIL SALES DATA.'!K772)</f>
        <v>6</v>
      </c>
      <c r="D773" s="13">
        <v>2024</v>
      </c>
      <c r="E773" s="13" t="str">
        <v>Aug</v>
      </c>
      <c r="F773" s="13">
        <v>8</v>
      </c>
      <c r="G773" s="10"/>
      <c r="H773" s="13">
        <f>NETWORKDAYS('RETAIL SALES DATA.'!K772,'RETAIL SALES DATA.'!L772)</f>
        <v>3</v>
      </c>
      <c r="I773" s="13">
        <v>2</v>
      </c>
      <c r="J773" s="10"/>
      <c r="K773" s="13">
        <v>16</v>
      </c>
      <c r="L773" s="13">
        <v>8</v>
      </c>
      <c r="M773" s="13">
        <v>43</v>
      </c>
      <c r="N773" s="13">
        <v>0</v>
      </c>
      <c r="O773" s="54">
        <f t="shared" si="24"/>
        <v>0.36319444444444443</v>
      </c>
      <c r="P773" s="55">
        <f t="shared" si="25"/>
        <v>0.69652777777777775</v>
      </c>
    </row>
    <row r="774" spans="1:16" x14ac:dyDescent="0.3">
      <c r="A774" s="25">
        <f>YEAR('RETAIL SALES DATA.'!K773)</f>
        <v>2025</v>
      </c>
      <c r="B774" s="13" t="str">
        <v>Aug</v>
      </c>
      <c r="C774" s="42">
        <f>DAY('RETAIL SALES DATA.'!K773)</f>
        <v>10</v>
      </c>
      <c r="D774" s="13">
        <v>2025</v>
      </c>
      <c r="E774" s="13" t="str">
        <v>Aug</v>
      </c>
      <c r="F774" s="13">
        <v>18</v>
      </c>
      <c r="G774" s="10"/>
      <c r="H774" s="13">
        <f>NETWORKDAYS('RETAIL SALES DATA.'!K773,'RETAIL SALES DATA.'!L773)</f>
        <v>6</v>
      </c>
      <c r="I774" s="13">
        <v>8</v>
      </c>
      <c r="J774" s="10"/>
      <c r="K774" s="13">
        <v>4</v>
      </c>
      <c r="L774" s="13">
        <v>10</v>
      </c>
      <c r="M774" s="13">
        <v>20</v>
      </c>
      <c r="N774" s="13">
        <v>0</v>
      </c>
      <c r="O774" s="54">
        <f t="shared" si="24"/>
        <v>0.43055555555555558</v>
      </c>
      <c r="P774" s="55">
        <f t="shared" si="25"/>
        <v>0.18055555555555555</v>
      </c>
    </row>
    <row r="775" spans="1:16" x14ac:dyDescent="0.3">
      <c r="A775" s="25">
        <f>YEAR('RETAIL SALES DATA.'!K774)</f>
        <v>2024</v>
      </c>
      <c r="B775" s="13" t="str">
        <v>Aug</v>
      </c>
      <c r="C775" s="42">
        <f>DAY('RETAIL SALES DATA.'!K774)</f>
        <v>11</v>
      </c>
      <c r="D775" s="13">
        <v>2024</v>
      </c>
      <c r="E775" s="13" t="str">
        <v>Aug</v>
      </c>
      <c r="F775" s="13">
        <v>19</v>
      </c>
      <c r="G775" s="10"/>
      <c r="H775" s="13">
        <f>NETWORKDAYS('RETAIL SALES DATA.'!K774,'RETAIL SALES DATA.'!L774)</f>
        <v>6</v>
      </c>
      <c r="I775" s="13">
        <v>8</v>
      </c>
      <c r="J775" s="10"/>
      <c r="K775" s="13">
        <v>19</v>
      </c>
      <c r="L775" s="13">
        <v>8</v>
      </c>
      <c r="M775" s="13">
        <v>11</v>
      </c>
      <c r="N775" s="13">
        <v>0</v>
      </c>
      <c r="O775" s="54">
        <f t="shared" si="24"/>
        <v>0.34097222222222223</v>
      </c>
      <c r="P775" s="55">
        <f t="shared" si="25"/>
        <v>0.7993055555555556</v>
      </c>
    </row>
    <row r="776" spans="1:16" x14ac:dyDescent="0.3">
      <c r="A776" s="25">
        <f>YEAR('RETAIL SALES DATA.'!K775)</f>
        <v>2025</v>
      </c>
      <c r="B776" s="13" t="str">
        <v>Jun</v>
      </c>
      <c r="C776" s="42">
        <f>DAY('RETAIL SALES DATA.'!K775)</f>
        <v>12</v>
      </c>
      <c r="D776" s="13">
        <v>2025</v>
      </c>
      <c r="E776" s="13" t="str">
        <v>Jun</v>
      </c>
      <c r="F776" s="13">
        <v>18</v>
      </c>
      <c r="G776" s="10"/>
      <c r="H776" s="13">
        <f>NETWORKDAYS('RETAIL SALES DATA.'!K775,'RETAIL SALES DATA.'!L775)</f>
        <v>5</v>
      </c>
      <c r="I776" s="13">
        <v>6</v>
      </c>
      <c r="J776" s="10"/>
      <c r="K776" s="13">
        <v>19</v>
      </c>
      <c r="L776" s="13">
        <v>11</v>
      </c>
      <c r="M776" s="13">
        <v>42</v>
      </c>
      <c r="N776" s="13">
        <v>0</v>
      </c>
      <c r="O776" s="54">
        <f t="shared" si="24"/>
        <v>0.48749999999999999</v>
      </c>
      <c r="P776" s="55">
        <f t="shared" si="25"/>
        <v>0.8208333333333333</v>
      </c>
    </row>
    <row r="777" spans="1:16" x14ac:dyDescent="0.3">
      <c r="A777" s="25">
        <f>YEAR('RETAIL SALES DATA.'!K776)</f>
        <v>2025</v>
      </c>
      <c r="B777" s="13" t="str">
        <v>Oct</v>
      </c>
      <c r="C777" s="42">
        <f>DAY('RETAIL SALES DATA.'!K776)</f>
        <v>11</v>
      </c>
      <c r="D777" s="13">
        <v>2025</v>
      </c>
      <c r="E777" s="13" t="str">
        <v>Oct</v>
      </c>
      <c r="F777" s="13">
        <v>18</v>
      </c>
      <c r="G777" s="10"/>
      <c r="H777" s="13">
        <f>NETWORKDAYS('RETAIL SALES DATA.'!K776,'RETAIL SALES DATA.'!L776)</f>
        <v>5</v>
      </c>
      <c r="I777" s="13">
        <v>7</v>
      </c>
      <c r="J777" s="10"/>
      <c r="K777" s="13">
        <v>9</v>
      </c>
      <c r="L777" s="13">
        <v>8</v>
      </c>
      <c r="M777" s="13">
        <v>57</v>
      </c>
      <c r="N777" s="13">
        <v>0</v>
      </c>
      <c r="O777" s="54">
        <f t="shared" si="24"/>
        <v>0.37291666666666667</v>
      </c>
      <c r="P777" s="55">
        <f t="shared" si="25"/>
        <v>0.41458333333333336</v>
      </c>
    </row>
    <row r="778" spans="1:16" x14ac:dyDescent="0.3">
      <c r="A778" s="25">
        <f>YEAR('RETAIL SALES DATA.'!K777)</f>
        <v>2025</v>
      </c>
      <c r="B778" s="13" t="str">
        <v>May</v>
      </c>
      <c r="C778" s="42">
        <f>DAY('RETAIL SALES DATA.'!K777)</f>
        <v>1</v>
      </c>
      <c r="D778" s="13">
        <v>2025</v>
      </c>
      <c r="E778" s="13" t="str">
        <v>May</v>
      </c>
      <c r="F778" s="13">
        <v>9</v>
      </c>
      <c r="G778" s="10"/>
      <c r="H778" s="13">
        <f>NETWORKDAYS('RETAIL SALES DATA.'!K777,'RETAIL SALES DATA.'!L777)</f>
        <v>7</v>
      </c>
      <c r="I778" s="13">
        <v>8</v>
      </c>
      <c r="J778" s="10"/>
      <c r="K778" s="13">
        <v>0</v>
      </c>
      <c r="L778" s="13">
        <v>10</v>
      </c>
      <c r="M778" s="13">
        <v>7</v>
      </c>
      <c r="N778" s="13">
        <v>0</v>
      </c>
      <c r="O778" s="54">
        <f t="shared" si="24"/>
        <v>0.42152777777777778</v>
      </c>
      <c r="P778" s="55">
        <f t="shared" si="25"/>
        <v>4.8611111111111112E-3</v>
      </c>
    </row>
    <row r="779" spans="1:16" x14ac:dyDescent="0.3">
      <c r="A779" s="25">
        <f>YEAR('RETAIL SALES DATA.'!K778)</f>
        <v>2024</v>
      </c>
      <c r="B779" s="13" t="str">
        <v>Sep</v>
      </c>
      <c r="C779" s="42">
        <f>DAY('RETAIL SALES DATA.'!K778)</f>
        <v>29</v>
      </c>
      <c r="D779" s="13">
        <v>2024</v>
      </c>
      <c r="E779" s="13" t="str">
        <v>Oct</v>
      </c>
      <c r="F779" s="13">
        <v>9</v>
      </c>
      <c r="G779" s="10"/>
      <c r="H779" s="13">
        <f>NETWORKDAYS('RETAIL SALES DATA.'!K778,'RETAIL SALES DATA.'!L778)</f>
        <v>8</v>
      </c>
      <c r="I779" s="13">
        <v>10</v>
      </c>
      <c r="J779" s="10"/>
      <c r="K779" s="13">
        <v>4</v>
      </c>
      <c r="L779" s="13">
        <v>8</v>
      </c>
      <c r="M779" s="13">
        <v>13</v>
      </c>
      <c r="N779" s="13">
        <v>0</v>
      </c>
      <c r="O779" s="54">
        <f t="shared" si="24"/>
        <v>0.34236111111111112</v>
      </c>
      <c r="P779" s="55">
        <f t="shared" si="25"/>
        <v>0.17569444444444443</v>
      </c>
    </row>
    <row r="780" spans="1:16" x14ac:dyDescent="0.3">
      <c r="A780" s="25">
        <f>YEAR('RETAIL SALES DATA.'!K779)</f>
        <v>2025</v>
      </c>
      <c r="B780" s="13" t="str">
        <v>Jan</v>
      </c>
      <c r="C780" s="42">
        <f>DAY('RETAIL SALES DATA.'!K779)</f>
        <v>2</v>
      </c>
      <c r="D780" s="13">
        <v>2025</v>
      </c>
      <c r="E780" s="13" t="str">
        <v>Jan</v>
      </c>
      <c r="F780" s="13">
        <v>11</v>
      </c>
      <c r="G780" s="10"/>
      <c r="H780" s="13">
        <f>NETWORKDAYS('RETAIL SALES DATA.'!K779,'RETAIL SALES DATA.'!L779)</f>
        <v>7</v>
      </c>
      <c r="I780" s="13">
        <v>9</v>
      </c>
      <c r="J780" s="10"/>
      <c r="K780" s="13">
        <v>21</v>
      </c>
      <c r="L780" s="13">
        <v>10</v>
      </c>
      <c r="M780" s="13">
        <v>5</v>
      </c>
      <c r="N780" s="13">
        <v>0</v>
      </c>
      <c r="O780" s="54">
        <f t="shared" si="24"/>
        <v>0.4201388888888889</v>
      </c>
      <c r="P780" s="55">
        <f t="shared" si="25"/>
        <v>0.87847222222222221</v>
      </c>
    </row>
    <row r="781" spans="1:16" x14ac:dyDescent="0.3">
      <c r="A781" s="25">
        <f>YEAR('RETAIL SALES DATA.'!K780)</f>
        <v>2025</v>
      </c>
      <c r="B781" s="13" t="str">
        <v>Aug</v>
      </c>
      <c r="C781" s="42">
        <f>DAY('RETAIL SALES DATA.'!K780)</f>
        <v>17</v>
      </c>
      <c r="D781" s="13">
        <v>2025</v>
      </c>
      <c r="E781" s="13" t="str">
        <v>Aug</v>
      </c>
      <c r="F781" s="13">
        <v>20</v>
      </c>
      <c r="G781" s="10"/>
      <c r="H781" s="13">
        <f>NETWORKDAYS('RETAIL SALES DATA.'!K780,'RETAIL SALES DATA.'!L780)</f>
        <v>3</v>
      </c>
      <c r="I781" s="13">
        <v>3</v>
      </c>
      <c r="J781" s="10"/>
      <c r="K781" s="13">
        <v>7</v>
      </c>
      <c r="L781" s="13">
        <v>10</v>
      </c>
      <c r="M781" s="13">
        <v>3</v>
      </c>
      <c r="N781" s="13">
        <v>0</v>
      </c>
      <c r="O781" s="54">
        <f t="shared" si="24"/>
        <v>0.41875000000000001</v>
      </c>
      <c r="P781" s="55">
        <f t="shared" si="25"/>
        <v>0.29375000000000001</v>
      </c>
    </row>
    <row r="782" spans="1:16" x14ac:dyDescent="0.3">
      <c r="A782" s="25">
        <f>YEAR('RETAIL SALES DATA.'!K781)</f>
        <v>2024</v>
      </c>
      <c r="B782" s="13" t="str">
        <v>Aug</v>
      </c>
      <c r="C782" s="42">
        <f>DAY('RETAIL SALES DATA.'!K781)</f>
        <v>8</v>
      </c>
      <c r="D782" s="13">
        <v>2024</v>
      </c>
      <c r="E782" s="13" t="str">
        <v>Aug</v>
      </c>
      <c r="F782" s="13">
        <v>11</v>
      </c>
      <c r="G782" s="10"/>
      <c r="H782" s="13">
        <f>NETWORKDAYS('RETAIL SALES DATA.'!K781,'RETAIL SALES DATA.'!L781)</f>
        <v>2</v>
      </c>
      <c r="I782" s="13">
        <v>3</v>
      </c>
      <c r="J782" s="10"/>
      <c r="K782" s="13">
        <v>21</v>
      </c>
      <c r="L782" s="13">
        <v>9</v>
      </c>
      <c r="M782" s="13">
        <v>7</v>
      </c>
      <c r="N782" s="13">
        <v>0</v>
      </c>
      <c r="O782" s="54">
        <f t="shared" si="24"/>
        <v>0.37986111111111109</v>
      </c>
      <c r="P782" s="55">
        <f t="shared" si="25"/>
        <v>0.87986111111111109</v>
      </c>
    </row>
    <row r="783" spans="1:16" x14ac:dyDescent="0.3">
      <c r="A783" s="25">
        <f>YEAR('RETAIL SALES DATA.'!K782)</f>
        <v>2024</v>
      </c>
      <c r="B783" s="13" t="str">
        <v>Aug</v>
      </c>
      <c r="C783" s="42">
        <f>DAY('RETAIL SALES DATA.'!K782)</f>
        <v>8</v>
      </c>
      <c r="D783" s="13">
        <v>2024</v>
      </c>
      <c r="E783" s="13" t="str">
        <v>Aug</v>
      </c>
      <c r="F783" s="13">
        <v>11</v>
      </c>
      <c r="G783" s="10"/>
      <c r="H783" s="13">
        <f>NETWORKDAYS('RETAIL SALES DATA.'!K782,'RETAIL SALES DATA.'!L782)</f>
        <v>2</v>
      </c>
      <c r="I783" s="13">
        <v>3</v>
      </c>
      <c r="J783" s="10"/>
      <c r="K783" s="13">
        <v>9</v>
      </c>
      <c r="L783" s="13">
        <v>11</v>
      </c>
      <c r="M783" s="13">
        <v>36</v>
      </c>
      <c r="N783" s="13">
        <v>0</v>
      </c>
      <c r="O783" s="54">
        <f t="shared" si="24"/>
        <v>0.48333333333333334</v>
      </c>
      <c r="P783" s="55">
        <f t="shared" si="25"/>
        <v>0.4</v>
      </c>
    </row>
    <row r="784" spans="1:16" x14ac:dyDescent="0.3">
      <c r="A784" s="25">
        <f>YEAR('RETAIL SALES DATA.'!K783)</f>
        <v>2025</v>
      </c>
      <c r="B784" s="13" t="str">
        <v>Oct</v>
      </c>
      <c r="C784" s="42">
        <f>DAY('RETAIL SALES DATA.'!K783)</f>
        <v>30</v>
      </c>
      <c r="D784" s="13">
        <v>2025</v>
      </c>
      <c r="E784" s="13" t="str">
        <v>Nov</v>
      </c>
      <c r="F784" s="13">
        <v>8</v>
      </c>
      <c r="G784" s="10"/>
      <c r="H784" s="13">
        <f>NETWORKDAYS('RETAIL SALES DATA.'!K783,'RETAIL SALES DATA.'!L783)</f>
        <v>7</v>
      </c>
      <c r="I784" s="13">
        <v>9</v>
      </c>
      <c r="J784" s="10"/>
      <c r="K784" s="13">
        <v>7</v>
      </c>
      <c r="L784" s="13">
        <v>10</v>
      </c>
      <c r="M784" s="13">
        <v>0</v>
      </c>
      <c r="N784" s="13">
        <v>0</v>
      </c>
      <c r="O784" s="54">
        <f t="shared" si="24"/>
        <v>0.41666666666666669</v>
      </c>
      <c r="P784" s="55">
        <f t="shared" si="25"/>
        <v>0.29166666666666669</v>
      </c>
    </row>
    <row r="785" spans="1:16" x14ac:dyDescent="0.3">
      <c r="A785" s="25">
        <f>YEAR('RETAIL SALES DATA.'!K784)</f>
        <v>2024</v>
      </c>
      <c r="B785" s="13" t="str">
        <v>Dec</v>
      </c>
      <c r="C785" s="42">
        <f>DAY('RETAIL SALES DATA.'!K784)</f>
        <v>5</v>
      </c>
      <c r="D785" s="13">
        <v>2024</v>
      </c>
      <c r="E785" s="13" t="str">
        <v>Dec</v>
      </c>
      <c r="F785" s="13">
        <v>7</v>
      </c>
      <c r="G785" s="10"/>
      <c r="H785" s="13">
        <f>NETWORKDAYS('RETAIL SALES DATA.'!K784,'RETAIL SALES DATA.'!L784)</f>
        <v>2</v>
      </c>
      <c r="I785" s="13">
        <v>2</v>
      </c>
      <c r="J785" s="10"/>
      <c r="K785" s="13">
        <v>16</v>
      </c>
      <c r="L785" s="13">
        <v>11</v>
      </c>
      <c r="M785" s="13">
        <v>49</v>
      </c>
      <c r="N785" s="13">
        <v>0</v>
      </c>
      <c r="O785" s="54">
        <f t="shared" si="24"/>
        <v>0.49236111111111114</v>
      </c>
      <c r="P785" s="55">
        <f t="shared" si="25"/>
        <v>0.7006944444444444</v>
      </c>
    </row>
    <row r="786" spans="1:16" x14ac:dyDescent="0.3">
      <c r="A786" s="25">
        <f>YEAR('RETAIL SALES DATA.'!K785)</f>
        <v>2025</v>
      </c>
      <c r="B786" s="13" t="str">
        <v>Aug</v>
      </c>
      <c r="C786" s="42">
        <f>DAY('RETAIL SALES DATA.'!K785)</f>
        <v>21</v>
      </c>
      <c r="D786" s="13">
        <v>2025</v>
      </c>
      <c r="E786" s="13" t="str">
        <v>Aug</v>
      </c>
      <c r="F786" s="13">
        <v>28</v>
      </c>
      <c r="G786" s="10"/>
      <c r="H786" s="13">
        <f>NETWORKDAYS('RETAIL SALES DATA.'!K785,'RETAIL SALES DATA.'!L785)</f>
        <v>6</v>
      </c>
      <c r="I786" s="13">
        <v>7</v>
      </c>
      <c r="J786" s="10"/>
      <c r="K786" s="13">
        <v>14</v>
      </c>
      <c r="L786" s="13">
        <v>10</v>
      </c>
      <c r="M786" s="13">
        <v>19</v>
      </c>
      <c r="N786" s="13">
        <v>0</v>
      </c>
      <c r="O786" s="54">
        <f t="shared" si="24"/>
        <v>0.42986111111111114</v>
      </c>
      <c r="P786" s="55">
        <f t="shared" si="25"/>
        <v>0.59652777777777777</v>
      </c>
    </row>
    <row r="787" spans="1:16" x14ac:dyDescent="0.3">
      <c r="A787" s="25">
        <f>YEAR('RETAIL SALES DATA.'!K786)</f>
        <v>2024</v>
      </c>
      <c r="B787" s="13" t="str">
        <v>Sep</v>
      </c>
      <c r="C787" s="42">
        <f>DAY('RETAIL SALES DATA.'!K786)</f>
        <v>1</v>
      </c>
      <c r="D787" s="13">
        <v>2024</v>
      </c>
      <c r="E787" s="13" t="str">
        <v>Sep</v>
      </c>
      <c r="F787" s="13">
        <v>5</v>
      </c>
      <c r="G787" s="10"/>
      <c r="H787" s="13">
        <f>NETWORKDAYS('RETAIL SALES DATA.'!K786,'RETAIL SALES DATA.'!L786)</f>
        <v>4</v>
      </c>
      <c r="I787" s="13">
        <v>4</v>
      </c>
      <c r="J787" s="10"/>
      <c r="K787" s="13">
        <v>21</v>
      </c>
      <c r="L787" s="13">
        <v>8</v>
      </c>
      <c r="M787" s="13">
        <v>48</v>
      </c>
      <c r="N787" s="13">
        <v>0</v>
      </c>
      <c r="O787" s="54">
        <f t="shared" si="24"/>
        <v>0.36666666666666664</v>
      </c>
      <c r="P787" s="55">
        <f t="shared" si="25"/>
        <v>0.90833333333333333</v>
      </c>
    </row>
    <row r="788" spans="1:16" x14ac:dyDescent="0.3">
      <c r="A788" s="25">
        <f>YEAR('RETAIL SALES DATA.'!K787)</f>
        <v>2025</v>
      </c>
      <c r="B788" s="13" t="str">
        <v>May</v>
      </c>
      <c r="C788" s="42">
        <f>DAY('RETAIL SALES DATA.'!K787)</f>
        <v>29</v>
      </c>
      <c r="D788" s="13">
        <v>2025</v>
      </c>
      <c r="E788" s="13" t="str">
        <v>Jun</v>
      </c>
      <c r="F788" s="13">
        <v>1</v>
      </c>
      <c r="G788" s="10"/>
      <c r="H788" s="13">
        <f>NETWORKDAYS('RETAIL SALES DATA.'!K787,'RETAIL SALES DATA.'!L787)</f>
        <v>2</v>
      </c>
      <c r="I788" s="13">
        <v>3</v>
      </c>
      <c r="J788" s="10"/>
      <c r="K788" s="13">
        <v>9</v>
      </c>
      <c r="L788" s="13">
        <v>10</v>
      </c>
      <c r="M788" s="13">
        <v>46</v>
      </c>
      <c r="N788" s="13">
        <v>0</v>
      </c>
      <c r="O788" s="54">
        <f t="shared" si="24"/>
        <v>0.44861111111111113</v>
      </c>
      <c r="P788" s="55">
        <f t="shared" si="25"/>
        <v>0.40694444444444444</v>
      </c>
    </row>
    <row r="789" spans="1:16" x14ac:dyDescent="0.3">
      <c r="A789" s="25">
        <f>YEAR('RETAIL SALES DATA.'!K788)</f>
        <v>2025</v>
      </c>
      <c r="B789" s="13" t="str">
        <v>Aug</v>
      </c>
      <c r="C789" s="42">
        <f>DAY('RETAIL SALES DATA.'!K788)</f>
        <v>13</v>
      </c>
      <c r="D789" s="13">
        <v>2025</v>
      </c>
      <c r="E789" s="13" t="str">
        <v>Aug</v>
      </c>
      <c r="F789" s="13">
        <v>21</v>
      </c>
      <c r="G789" s="10"/>
      <c r="H789" s="13">
        <f>NETWORKDAYS('RETAIL SALES DATA.'!K788,'RETAIL SALES DATA.'!L788)</f>
        <v>7</v>
      </c>
      <c r="I789" s="13">
        <v>8</v>
      </c>
      <c r="J789" s="10"/>
      <c r="K789" s="13">
        <v>19</v>
      </c>
      <c r="L789" s="13">
        <v>10</v>
      </c>
      <c r="M789" s="13">
        <v>18</v>
      </c>
      <c r="N789" s="13">
        <v>0</v>
      </c>
      <c r="O789" s="54">
        <f t="shared" si="24"/>
        <v>0.42916666666666664</v>
      </c>
      <c r="P789" s="55">
        <f t="shared" si="25"/>
        <v>0.8041666666666667</v>
      </c>
    </row>
    <row r="790" spans="1:16" x14ac:dyDescent="0.3">
      <c r="A790" s="25">
        <f>YEAR('RETAIL SALES DATA.'!K789)</f>
        <v>2025</v>
      </c>
      <c r="B790" s="13" t="str">
        <v>Sep</v>
      </c>
      <c r="C790" s="42">
        <f>DAY('RETAIL SALES DATA.'!K789)</f>
        <v>14</v>
      </c>
      <c r="D790" s="13">
        <v>2025</v>
      </c>
      <c r="E790" s="13" t="str">
        <v>Sep</v>
      </c>
      <c r="F790" s="13">
        <v>18</v>
      </c>
      <c r="G790" s="10"/>
      <c r="H790" s="13">
        <f>NETWORKDAYS('RETAIL SALES DATA.'!K789,'RETAIL SALES DATA.'!L789)</f>
        <v>4</v>
      </c>
      <c r="I790" s="13">
        <v>4</v>
      </c>
      <c r="J790" s="10"/>
      <c r="K790" s="13">
        <v>19</v>
      </c>
      <c r="L790" s="13">
        <v>9</v>
      </c>
      <c r="M790" s="13">
        <v>9</v>
      </c>
      <c r="N790" s="13">
        <v>0</v>
      </c>
      <c r="O790" s="54">
        <f t="shared" si="24"/>
        <v>0.38124999999999998</v>
      </c>
      <c r="P790" s="55">
        <f t="shared" si="25"/>
        <v>0.79791666666666672</v>
      </c>
    </row>
    <row r="791" spans="1:16" x14ac:dyDescent="0.3">
      <c r="A791" s="25">
        <f>YEAR('RETAIL SALES DATA.'!K790)</f>
        <v>2025</v>
      </c>
      <c r="B791" s="13" t="str">
        <v>Nov</v>
      </c>
      <c r="C791" s="42">
        <f>DAY('RETAIL SALES DATA.'!K790)</f>
        <v>1</v>
      </c>
      <c r="D791" s="13">
        <v>2025</v>
      </c>
      <c r="E791" s="13" t="str">
        <v>Nov</v>
      </c>
      <c r="F791" s="13">
        <v>4</v>
      </c>
      <c r="G791" s="10"/>
      <c r="H791" s="13">
        <f>NETWORKDAYS('RETAIL SALES DATA.'!K790,'RETAIL SALES DATA.'!L790)</f>
        <v>2</v>
      </c>
      <c r="I791" s="13">
        <v>3</v>
      </c>
      <c r="J791" s="10"/>
      <c r="K791" s="13">
        <v>7</v>
      </c>
      <c r="L791" s="13">
        <v>11</v>
      </c>
      <c r="M791" s="13">
        <v>33</v>
      </c>
      <c r="N791" s="13">
        <v>0</v>
      </c>
      <c r="O791" s="54">
        <f t="shared" si="24"/>
        <v>0.48125000000000001</v>
      </c>
      <c r="P791" s="55">
        <f t="shared" si="25"/>
        <v>0.31458333333333333</v>
      </c>
    </row>
    <row r="792" spans="1:16" x14ac:dyDescent="0.3">
      <c r="A792" s="25">
        <f>YEAR('RETAIL SALES DATA.'!K791)</f>
        <v>2024</v>
      </c>
      <c r="B792" s="13" t="str">
        <v>Jun</v>
      </c>
      <c r="C792" s="42">
        <f>DAY('RETAIL SALES DATA.'!K791)</f>
        <v>5</v>
      </c>
      <c r="D792" s="13">
        <v>2024</v>
      </c>
      <c r="E792" s="13" t="str">
        <v>Jun</v>
      </c>
      <c r="F792" s="13">
        <v>13</v>
      </c>
      <c r="G792" s="10"/>
      <c r="H792" s="13">
        <f>NETWORKDAYS('RETAIL SALES DATA.'!K791,'RETAIL SALES DATA.'!L791)</f>
        <v>7</v>
      </c>
      <c r="I792" s="13">
        <v>8</v>
      </c>
      <c r="J792" s="10"/>
      <c r="K792" s="13">
        <v>12</v>
      </c>
      <c r="L792" s="13">
        <v>11</v>
      </c>
      <c r="M792" s="13">
        <v>7</v>
      </c>
      <c r="N792" s="13">
        <v>0</v>
      </c>
      <c r="O792" s="54">
        <f t="shared" si="24"/>
        <v>0.46319444444444446</v>
      </c>
      <c r="P792" s="55">
        <f t="shared" si="25"/>
        <v>0.50486111111111109</v>
      </c>
    </row>
    <row r="793" spans="1:16" x14ac:dyDescent="0.3">
      <c r="A793" s="25">
        <f>YEAR('RETAIL SALES DATA.'!K792)</f>
        <v>2025</v>
      </c>
      <c r="B793" s="13" t="str">
        <v>Jul</v>
      </c>
      <c r="C793" s="42">
        <f>DAY('RETAIL SALES DATA.'!K792)</f>
        <v>5</v>
      </c>
      <c r="D793" s="13">
        <v>2025</v>
      </c>
      <c r="E793" s="13" t="str">
        <v>Jul</v>
      </c>
      <c r="F793" s="13">
        <v>6</v>
      </c>
      <c r="G793" s="10"/>
      <c r="H793" s="13">
        <f>NETWORKDAYS('RETAIL SALES DATA.'!K792,'RETAIL SALES DATA.'!L792)</f>
        <v>0</v>
      </c>
      <c r="I793" s="13">
        <v>1</v>
      </c>
      <c r="J793" s="10"/>
      <c r="K793" s="13">
        <v>14</v>
      </c>
      <c r="L793" s="13">
        <v>8</v>
      </c>
      <c r="M793" s="13">
        <v>3</v>
      </c>
      <c r="N793" s="13">
        <v>0</v>
      </c>
      <c r="O793" s="54">
        <f t="shared" si="24"/>
        <v>0.33541666666666664</v>
      </c>
      <c r="P793" s="55">
        <f t="shared" si="25"/>
        <v>0.5854166666666667</v>
      </c>
    </row>
    <row r="794" spans="1:16" x14ac:dyDescent="0.3">
      <c r="A794" s="25">
        <f>YEAR('RETAIL SALES DATA.'!K793)</f>
        <v>2025</v>
      </c>
      <c r="B794" s="13" t="str">
        <v>Mar</v>
      </c>
      <c r="C794" s="42">
        <f>DAY('RETAIL SALES DATA.'!K793)</f>
        <v>30</v>
      </c>
      <c r="D794" s="13">
        <v>2025</v>
      </c>
      <c r="E794" s="13" t="str">
        <v>Apr</v>
      </c>
      <c r="F794" s="13">
        <v>5</v>
      </c>
      <c r="G794" s="10"/>
      <c r="H794" s="13">
        <f>NETWORKDAYS('RETAIL SALES DATA.'!K793,'RETAIL SALES DATA.'!L793)</f>
        <v>5</v>
      </c>
      <c r="I794" s="13">
        <v>6</v>
      </c>
      <c r="J794" s="10"/>
      <c r="K794" s="13">
        <v>19</v>
      </c>
      <c r="L794" s="13">
        <v>9</v>
      </c>
      <c r="M794" s="13">
        <v>52</v>
      </c>
      <c r="N794" s="13">
        <v>0</v>
      </c>
      <c r="O794" s="54">
        <f t="shared" si="24"/>
        <v>0.41111111111111109</v>
      </c>
      <c r="P794" s="55">
        <f t="shared" si="25"/>
        <v>0.82777777777777772</v>
      </c>
    </row>
    <row r="795" spans="1:16" x14ac:dyDescent="0.3">
      <c r="A795" s="25">
        <f>YEAR('RETAIL SALES DATA.'!K794)</f>
        <v>2024</v>
      </c>
      <c r="B795" s="13" t="str">
        <v>Aug</v>
      </c>
      <c r="C795" s="42">
        <f>DAY('RETAIL SALES DATA.'!K794)</f>
        <v>15</v>
      </c>
      <c r="D795" s="13">
        <v>2024</v>
      </c>
      <c r="E795" s="13" t="str">
        <v>Aug</v>
      </c>
      <c r="F795" s="13">
        <v>25</v>
      </c>
      <c r="G795" s="10"/>
      <c r="H795" s="13">
        <f>NETWORKDAYS('RETAIL SALES DATA.'!K794,'RETAIL SALES DATA.'!L794)</f>
        <v>7</v>
      </c>
      <c r="I795" s="13">
        <v>10</v>
      </c>
      <c r="J795" s="10"/>
      <c r="K795" s="13">
        <v>7</v>
      </c>
      <c r="L795" s="13">
        <v>11</v>
      </c>
      <c r="M795" s="13">
        <v>57</v>
      </c>
      <c r="N795" s="13">
        <v>0</v>
      </c>
      <c r="O795" s="54">
        <f t="shared" si="24"/>
        <v>0.49791666666666667</v>
      </c>
      <c r="P795" s="55">
        <f t="shared" si="25"/>
        <v>0.33124999999999999</v>
      </c>
    </row>
    <row r="796" spans="1:16" x14ac:dyDescent="0.3">
      <c r="A796" s="25">
        <f>YEAR('RETAIL SALES DATA.'!K795)</f>
        <v>2024</v>
      </c>
      <c r="B796" s="13" t="str">
        <v>Jul</v>
      </c>
      <c r="C796" s="42">
        <f>DAY('RETAIL SALES DATA.'!K795)</f>
        <v>2</v>
      </c>
      <c r="D796" s="13">
        <v>2024</v>
      </c>
      <c r="E796" s="13" t="str">
        <v>Jul</v>
      </c>
      <c r="F796" s="13">
        <v>6</v>
      </c>
      <c r="G796" s="10"/>
      <c r="H796" s="13">
        <f>NETWORKDAYS('RETAIL SALES DATA.'!K795,'RETAIL SALES DATA.'!L795)</f>
        <v>4</v>
      </c>
      <c r="I796" s="13">
        <v>4</v>
      </c>
      <c r="J796" s="10"/>
      <c r="K796" s="13">
        <v>21</v>
      </c>
      <c r="L796" s="13">
        <v>8</v>
      </c>
      <c r="M796" s="13">
        <v>59</v>
      </c>
      <c r="N796" s="13">
        <v>0</v>
      </c>
      <c r="O796" s="54">
        <f t="shared" si="24"/>
        <v>0.37430555555555556</v>
      </c>
      <c r="P796" s="55">
        <f t="shared" si="25"/>
        <v>0.91597222222222219</v>
      </c>
    </row>
    <row r="797" spans="1:16" x14ac:dyDescent="0.3">
      <c r="A797" s="25">
        <f>YEAR('RETAIL SALES DATA.'!K796)</f>
        <v>2024</v>
      </c>
      <c r="B797" s="13" t="str">
        <v>Oct</v>
      </c>
      <c r="C797" s="42">
        <f>DAY('RETAIL SALES DATA.'!K796)</f>
        <v>5</v>
      </c>
      <c r="D797" s="13">
        <v>2024</v>
      </c>
      <c r="E797" s="13" t="str">
        <v>Oct</v>
      </c>
      <c r="F797" s="13">
        <v>14</v>
      </c>
      <c r="G797" s="10"/>
      <c r="H797" s="13">
        <f>NETWORKDAYS('RETAIL SALES DATA.'!K796,'RETAIL SALES DATA.'!L796)</f>
        <v>6</v>
      </c>
      <c r="I797" s="13">
        <v>9</v>
      </c>
      <c r="J797" s="10"/>
      <c r="K797" s="13">
        <v>19</v>
      </c>
      <c r="L797" s="13">
        <v>10</v>
      </c>
      <c r="M797" s="13">
        <v>1</v>
      </c>
      <c r="N797" s="13">
        <v>0</v>
      </c>
      <c r="O797" s="54">
        <f t="shared" si="24"/>
        <v>0.41736111111111113</v>
      </c>
      <c r="P797" s="55">
        <f t="shared" si="25"/>
        <v>0.79236111111111107</v>
      </c>
    </row>
    <row r="798" spans="1:16" x14ac:dyDescent="0.3">
      <c r="A798" s="25">
        <f>YEAR('RETAIL SALES DATA.'!K797)</f>
        <v>2025</v>
      </c>
      <c r="B798" s="13" t="str">
        <v>Apr</v>
      </c>
      <c r="C798" s="42">
        <f>DAY('RETAIL SALES DATA.'!K797)</f>
        <v>17</v>
      </c>
      <c r="D798" s="13">
        <v>2025</v>
      </c>
      <c r="E798" s="13" t="str">
        <v>Apr</v>
      </c>
      <c r="F798" s="13">
        <v>26</v>
      </c>
      <c r="G798" s="10"/>
      <c r="H798" s="13">
        <f>NETWORKDAYS('RETAIL SALES DATA.'!K797,'RETAIL SALES DATA.'!L797)</f>
        <v>7</v>
      </c>
      <c r="I798" s="13">
        <v>9</v>
      </c>
      <c r="J798" s="10"/>
      <c r="K798" s="13">
        <v>16</v>
      </c>
      <c r="L798" s="13">
        <v>10</v>
      </c>
      <c r="M798" s="13">
        <v>36</v>
      </c>
      <c r="N798" s="13">
        <v>0</v>
      </c>
      <c r="O798" s="54">
        <f t="shared" si="24"/>
        <v>0.44166666666666665</v>
      </c>
      <c r="P798" s="55">
        <f t="shared" si="25"/>
        <v>0.69166666666666665</v>
      </c>
    </row>
    <row r="799" spans="1:16" x14ac:dyDescent="0.3">
      <c r="A799" s="25">
        <f>YEAR('RETAIL SALES DATA.'!K798)</f>
        <v>2025</v>
      </c>
      <c r="B799" s="13" t="str">
        <v>Sep</v>
      </c>
      <c r="C799" s="42">
        <f>DAY('RETAIL SALES DATA.'!K798)</f>
        <v>6</v>
      </c>
      <c r="D799" s="13">
        <v>2025</v>
      </c>
      <c r="E799" s="13" t="str">
        <v>Sep</v>
      </c>
      <c r="F799" s="13">
        <v>12</v>
      </c>
      <c r="G799" s="10"/>
      <c r="H799" s="13">
        <f>NETWORKDAYS('RETAIL SALES DATA.'!K798,'RETAIL SALES DATA.'!L798)</f>
        <v>5</v>
      </c>
      <c r="I799" s="13">
        <v>6</v>
      </c>
      <c r="J799" s="10"/>
      <c r="K799" s="13">
        <v>7</v>
      </c>
      <c r="L799" s="13">
        <v>10</v>
      </c>
      <c r="M799" s="13">
        <v>0</v>
      </c>
      <c r="N799" s="13">
        <v>0</v>
      </c>
      <c r="O799" s="54">
        <f t="shared" si="24"/>
        <v>0.41666666666666669</v>
      </c>
      <c r="P799" s="55">
        <f t="shared" si="25"/>
        <v>0.29166666666666669</v>
      </c>
    </row>
    <row r="800" spans="1:16" x14ac:dyDescent="0.3">
      <c r="A800" s="25">
        <f>YEAR('RETAIL SALES DATA.'!K799)</f>
        <v>2025</v>
      </c>
      <c r="B800" s="13" t="str">
        <v>May</v>
      </c>
      <c r="C800" s="42">
        <f>DAY('RETAIL SALES DATA.'!K799)</f>
        <v>30</v>
      </c>
      <c r="D800" s="13">
        <v>2025</v>
      </c>
      <c r="E800" s="13" t="str">
        <v>Jun</v>
      </c>
      <c r="F800" s="13">
        <v>7</v>
      </c>
      <c r="G800" s="10"/>
      <c r="H800" s="13">
        <f>NETWORKDAYS('RETAIL SALES DATA.'!K799,'RETAIL SALES DATA.'!L799)</f>
        <v>6</v>
      </c>
      <c r="I800" s="13">
        <v>8</v>
      </c>
      <c r="J800" s="10"/>
      <c r="K800" s="13">
        <v>0</v>
      </c>
      <c r="L800" s="13">
        <v>11</v>
      </c>
      <c r="M800" s="13">
        <v>54</v>
      </c>
      <c r="N800" s="13">
        <v>0</v>
      </c>
      <c r="O800" s="54">
        <f t="shared" si="24"/>
        <v>0.49583333333333335</v>
      </c>
      <c r="P800" s="55">
        <f t="shared" si="25"/>
        <v>3.7499999999999999E-2</v>
      </c>
    </row>
    <row r="801" spans="1:16" x14ac:dyDescent="0.3">
      <c r="A801" s="25">
        <f>YEAR('RETAIL SALES DATA.'!K800)</f>
        <v>2025</v>
      </c>
      <c r="B801" s="13" t="str">
        <v>Jun</v>
      </c>
      <c r="C801" s="42">
        <f>DAY('RETAIL SALES DATA.'!K800)</f>
        <v>4</v>
      </c>
      <c r="D801" s="13">
        <v>2025</v>
      </c>
      <c r="E801" s="13" t="str">
        <v>Jun</v>
      </c>
      <c r="F801" s="13">
        <v>13</v>
      </c>
      <c r="G801" s="10"/>
      <c r="H801" s="13">
        <f>NETWORKDAYS('RETAIL SALES DATA.'!K800,'RETAIL SALES DATA.'!L800)</f>
        <v>8</v>
      </c>
      <c r="I801" s="13">
        <v>9</v>
      </c>
      <c r="J801" s="10"/>
      <c r="K801" s="13">
        <v>12</v>
      </c>
      <c r="L801" s="13">
        <v>9</v>
      </c>
      <c r="M801" s="13">
        <v>29</v>
      </c>
      <c r="N801" s="13">
        <v>0</v>
      </c>
      <c r="O801" s="54">
        <f t="shared" si="24"/>
        <v>0.39513888888888887</v>
      </c>
      <c r="P801" s="55">
        <f t="shared" si="25"/>
        <v>0.52013888888888893</v>
      </c>
    </row>
    <row r="802" spans="1:16" x14ac:dyDescent="0.3">
      <c r="A802" s="25">
        <f>YEAR('RETAIL SALES DATA.'!K801)</f>
        <v>2026</v>
      </c>
      <c r="B802" s="13" t="str">
        <v>Mar</v>
      </c>
      <c r="C802" s="42">
        <f>DAY('RETAIL SALES DATA.'!K801)</f>
        <v>24</v>
      </c>
      <c r="D802" s="13">
        <v>2026</v>
      </c>
      <c r="E802" s="13" t="str">
        <v>Apr</v>
      </c>
      <c r="F802" s="13">
        <v>1</v>
      </c>
      <c r="G802" s="10"/>
      <c r="H802" s="13">
        <f>NETWORKDAYS('RETAIL SALES DATA.'!K801,'RETAIL SALES DATA.'!L801)</f>
        <v>7</v>
      </c>
      <c r="I802" s="13">
        <v>8</v>
      </c>
      <c r="J802" s="10"/>
      <c r="K802" s="13">
        <v>0</v>
      </c>
      <c r="L802" s="13">
        <v>9</v>
      </c>
      <c r="M802" s="13">
        <v>33</v>
      </c>
      <c r="N802" s="13">
        <v>0</v>
      </c>
      <c r="O802" s="54">
        <f t="shared" si="24"/>
        <v>0.39791666666666664</v>
      </c>
      <c r="P802" s="55">
        <f t="shared" si="25"/>
        <v>2.2916666666666665E-2</v>
      </c>
    </row>
    <row r="803" spans="1:16" x14ac:dyDescent="0.3">
      <c r="A803" s="25">
        <f>YEAR('RETAIL SALES DATA.'!K802)</f>
        <v>2025</v>
      </c>
      <c r="B803" s="13" t="str">
        <v>Jun</v>
      </c>
      <c r="C803" s="42">
        <f>DAY('RETAIL SALES DATA.'!K802)</f>
        <v>16</v>
      </c>
      <c r="D803" s="13">
        <v>2025</v>
      </c>
      <c r="E803" s="13" t="str">
        <v>Jun</v>
      </c>
      <c r="F803" s="13">
        <v>21</v>
      </c>
      <c r="G803" s="10"/>
      <c r="H803" s="13">
        <f>NETWORKDAYS('RETAIL SALES DATA.'!K802,'RETAIL SALES DATA.'!L802)</f>
        <v>5</v>
      </c>
      <c r="I803" s="13">
        <v>5</v>
      </c>
      <c r="J803" s="10"/>
      <c r="K803" s="13">
        <v>12</v>
      </c>
      <c r="L803" s="13">
        <v>10</v>
      </c>
      <c r="M803" s="13">
        <v>14</v>
      </c>
      <c r="N803" s="13">
        <v>0</v>
      </c>
      <c r="O803" s="54">
        <f t="shared" si="24"/>
        <v>0.42638888888888887</v>
      </c>
      <c r="P803" s="55">
        <f t="shared" si="25"/>
        <v>0.50972222222222219</v>
      </c>
    </row>
    <row r="804" spans="1:16" x14ac:dyDescent="0.3">
      <c r="A804" s="25">
        <f>YEAR('RETAIL SALES DATA.'!K803)</f>
        <v>2025</v>
      </c>
      <c r="B804" s="13" t="str">
        <v>Apr</v>
      </c>
      <c r="C804" s="42">
        <f>DAY('RETAIL SALES DATA.'!K803)</f>
        <v>11</v>
      </c>
      <c r="D804" s="13">
        <v>2025</v>
      </c>
      <c r="E804" s="13" t="str">
        <v>Apr</v>
      </c>
      <c r="F804" s="13">
        <v>15</v>
      </c>
      <c r="G804" s="10"/>
      <c r="H804" s="13">
        <f>NETWORKDAYS('RETAIL SALES DATA.'!K803,'RETAIL SALES DATA.'!L803)</f>
        <v>3</v>
      </c>
      <c r="I804" s="13">
        <v>4</v>
      </c>
      <c r="J804" s="10"/>
      <c r="K804" s="13">
        <v>19</v>
      </c>
      <c r="L804" s="13">
        <v>10</v>
      </c>
      <c r="M804" s="13">
        <v>20</v>
      </c>
      <c r="N804" s="13">
        <v>0</v>
      </c>
      <c r="O804" s="54">
        <f t="shared" si="24"/>
        <v>0.43055555555555558</v>
      </c>
      <c r="P804" s="55">
        <f t="shared" si="25"/>
        <v>0.80555555555555558</v>
      </c>
    </row>
    <row r="805" spans="1:16" x14ac:dyDescent="0.3">
      <c r="A805" s="25">
        <f>YEAR('RETAIL SALES DATA.'!K804)</f>
        <v>2025</v>
      </c>
      <c r="B805" s="13" t="str">
        <v>Jun</v>
      </c>
      <c r="C805" s="42">
        <f>DAY('RETAIL SALES DATA.'!K804)</f>
        <v>18</v>
      </c>
      <c r="D805" s="13">
        <v>2025</v>
      </c>
      <c r="E805" s="13" t="str">
        <v>Jun</v>
      </c>
      <c r="F805" s="13">
        <v>28</v>
      </c>
      <c r="G805" s="10"/>
      <c r="H805" s="13">
        <f>NETWORKDAYS('RETAIL SALES DATA.'!K804,'RETAIL SALES DATA.'!L804)</f>
        <v>8</v>
      </c>
      <c r="I805" s="13">
        <v>10</v>
      </c>
      <c r="J805" s="10"/>
      <c r="K805" s="13">
        <v>0</v>
      </c>
      <c r="L805" s="13">
        <v>8</v>
      </c>
      <c r="M805" s="13">
        <v>2</v>
      </c>
      <c r="N805" s="13">
        <v>0</v>
      </c>
      <c r="O805" s="54">
        <f t="shared" si="24"/>
        <v>0.3347222222222222</v>
      </c>
      <c r="P805" s="55">
        <f t="shared" si="25"/>
        <v>1.3888888888888889E-3</v>
      </c>
    </row>
    <row r="806" spans="1:16" x14ac:dyDescent="0.3">
      <c r="A806" s="25">
        <f>YEAR('RETAIL SALES DATA.'!K805)</f>
        <v>2025</v>
      </c>
      <c r="B806" s="13" t="str">
        <v>Nov</v>
      </c>
      <c r="C806" s="42">
        <f>DAY('RETAIL SALES DATA.'!K805)</f>
        <v>4</v>
      </c>
      <c r="D806" s="13">
        <v>2025</v>
      </c>
      <c r="E806" s="13" t="str">
        <v>Nov</v>
      </c>
      <c r="F806" s="13">
        <v>12</v>
      </c>
      <c r="G806" s="10"/>
      <c r="H806" s="13">
        <f>NETWORKDAYS('RETAIL SALES DATA.'!K805,'RETAIL SALES DATA.'!L805)</f>
        <v>7</v>
      </c>
      <c r="I806" s="13">
        <v>8</v>
      </c>
      <c r="J806" s="10"/>
      <c r="K806" s="13">
        <v>0</v>
      </c>
      <c r="L806" s="13">
        <v>11</v>
      </c>
      <c r="M806" s="13">
        <v>0</v>
      </c>
      <c r="N806" s="13">
        <v>0</v>
      </c>
      <c r="O806" s="54">
        <f t="shared" si="24"/>
        <v>0.45833333333333331</v>
      </c>
      <c r="P806" s="55">
        <f t="shared" si="25"/>
        <v>0</v>
      </c>
    </row>
    <row r="807" spans="1:16" x14ac:dyDescent="0.3">
      <c r="A807" s="25">
        <f>YEAR('RETAIL SALES DATA.'!K806)</f>
        <v>2025</v>
      </c>
      <c r="B807" s="13" t="str">
        <v>Feb</v>
      </c>
      <c r="C807" s="42">
        <f>DAY('RETAIL SALES DATA.'!K806)</f>
        <v>4</v>
      </c>
      <c r="D807" s="13">
        <v>2025</v>
      </c>
      <c r="E807" s="13" t="str">
        <v>Feb</v>
      </c>
      <c r="F807" s="13">
        <v>7</v>
      </c>
      <c r="G807" s="10"/>
      <c r="H807" s="13">
        <f>NETWORKDAYS('RETAIL SALES DATA.'!K806,'RETAIL SALES DATA.'!L806)</f>
        <v>4</v>
      </c>
      <c r="I807" s="13">
        <v>3</v>
      </c>
      <c r="J807" s="10"/>
      <c r="K807" s="13">
        <v>7</v>
      </c>
      <c r="L807" s="13">
        <v>9</v>
      </c>
      <c r="M807" s="13">
        <v>47</v>
      </c>
      <c r="N807" s="13">
        <v>0</v>
      </c>
      <c r="O807" s="54">
        <f t="shared" si="24"/>
        <v>0.40763888888888888</v>
      </c>
      <c r="P807" s="55">
        <f t="shared" si="25"/>
        <v>0.32430555555555557</v>
      </c>
    </row>
    <row r="808" spans="1:16" x14ac:dyDescent="0.3">
      <c r="A808" s="25">
        <f>YEAR('RETAIL SALES DATA.'!K807)</f>
        <v>2024</v>
      </c>
      <c r="B808" s="13" t="str">
        <v>Nov</v>
      </c>
      <c r="C808" s="42">
        <f>DAY('RETAIL SALES DATA.'!K807)</f>
        <v>2</v>
      </c>
      <c r="D808" s="13">
        <v>2024</v>
      </c>
      <c r="E808" s="13" t="str">
        <v>Nov</v>
      </c>
      <c r="F808" s="13">
        <v>7</v>
      </c>
      <c r="G808" s="10"/>
      <c r="H808" s="13">
        <f>NETWORKDAYS('RETAIL SALES DATA.'!K807,'RETAIL SALES DATA.'!L807)</f>
        <v>4</v>
      </c>
      <c r="I808" s="13">
        <v>5</v>
      </c>
      <c r="J808" s="10"/>
      <c r="K808" s="13">
        <v>14</v>
      </c>
      <c r="L808" s="13">
        <v>8</v>
      </c>
      <c r="M808" s="13">
        <v>56</v>
      </c>
      <c r="N808" s="13">
        <v>0</v>
      </c>
      <c r="O808" s="54">
        <f t="shared" si="24"/>
        <v>0.37222222222222223</v>
      </c>
      <c r="P808" s="55">
        <f t="shared" si="25"/>
        <v>0.62222222222222223</v>
      </c>
    </row>
    <row r="809" spans="1:16" x14ac:dyDescent="0.3">
      <c r="A809" s="25">
        <f>YEAR('RETAIL SALES DATA.'!K808)</f>
        <v>2024</v>
      </c>
      <c r="B809" s="13" t="str">
        <v>Dec</v>
      </c>
      <c r="C809" s="42">
        <f>DAY('RETAIL SALES DATA.'!K808)</f>
        <v>17</v>
      </c>
      <c r="D809" s="13">
        <v>2024</v>
      </c>
      <c r="E809" s="13" t="str">
        <v>Dec</v>
      </c>
      <c r="F809" s="13">
        <v>22</v>
      </c>
      <c r="G809" s="10"/>
      <c r="H809" s="13">
        <f>NETWORKDAYS('RETAIL SALES DATA.'!K808,'RETAIL SALES DATA.'!L808)</f>
        <v>4</v>
      </c>
      <c r="I809" s="13">
        <v>5</v>
      </c>
      <c r="J809" s="10"/>
      <c r="K809" s="13">
        <v>14</v>
      </c>
      <c r="L809" s="13">
        <v>9</v>
      </c>
      <c r="M809" s="13">
        <v>8</v>
      </c>
      <c r="N809" s="13">
        <v>0</v>
      </c>
      <c r="O809" s="54">
        <f t="shared" si="24"/>
        <v>0.38055555555555554</v>
      </c>
      <c r="P809" s="55">
        <f t="shared" si="25"/>
        <v>0.58888888888888891</v>
      </c>
    </row>
    <row r="810" spans="1:16" x14ac:dyDescent="0.3">
      <c r="A810" s="25">
        <f>YEAR('RETAIL SALES DATA.'!K809)</f>
        <v>2024</v>
      </c>
      <c r="B810" s="13" t="str">
        <v>Dec</v>
      </c>
      <c r="C810" s="42">
        <f>DAY('RETAIL SALES DATA.'!K809)</f>
        <v>1</v>
      </c>
      <c r="D810" s="13">
        <v>2024</v>
      </c>
      <c r="E810" s="13" t="str">
        <v>Dec</v>
      </c>
      <c r="F810" s="13">
        <v>4</v>
      </c>
      <c r="G810" s="10"/>
      <c r="H810" s="13">
        <f>NETWORKDAYS('RETAIL SALES DATA.'!K809,'RETAIL SALES DATA.'!L809)</f>
        <v>3</v>
      </c>
      <c r="I810" s="13">
        <v>3</v>
      </c>
      <c r="J810" s="10"/>
      <c r="K810" s="13">
        <v>2</v>
      </c>
      <c r="L810" s="13">
        <v>9</v>
      </c>
      <c r="M810" s="13">
        <v>27</v>
      </c>
      <c r="N810" s="13">
        <v>0</v>
      </c>
      <c r="O810" s="54">
        <f t="shared" si="24"/>
        <v>0.39374999999999999</v>
      </c>
      <c r="P810" s="55">
        <f t="shared" si="25"/>
        <v>0.10208333333333333</v>
      </c>
    </row>
    <row r="811" spans="1:16" x14ac:dyDescent="0.3">
      <c r="A811" s="25">
        <f>YEAR('RETAIL SALES DATA.'!K810)</f>
        <v>2024</v>
      </c>
      <c r="B811" s="13" t="str">
        <v>Aug</v>
      </c>
      <c r="C811" s="42">
        <f>DAY('RETAIL SALES DATA.'!K810)</f>
        <v>19</v>
      </c>
      <c r="D811" s="13">
        <v>2024</v>
      </c>
      <c r="E811" s="13" t="str">
        <v>Aug</v>
      </c>
      <c r="F811" s="13">
        <v>23</v>
      </c>
      <c r="G811" s="10"/>
      <c r="H811" s="13">
        <f>NETWORKDAYS('RETAIL SALES DATA.'!K810,'RETAIL SALES DATA.'!L810)</f>
        <v>5</v>
      </c>
      <c r="I811" s="13">
        <v>4</v>
      </c>
      <c r="J811" s="10"/>
      <c r="K811" s="13">
        <v>16</v>
      </c>
      <c r="L811" s="13">
        <v>8</v>
      </c>
      <c r="M811" s="13">
        <v>57</v>
      </c>
      <c r="N811" s="13">
        <v>0</v>
      </c>
      <c r="O811" s="54">
        <f t="shared" si="24"/>
        <v>0.37291666666666667</v>
      </c>
      <c r="P811" s="55">
        <f t="shared" si="25"/>
        <v>0.70625000000000004</v>
      </c>
    </row>
    <row r="812" spans="1:16" x14ac:dyDescent="0.3">
      <c r="A812" s="25">
        <f>YEAR('RETAIL SALES DATA.'!K811)</f>
        <v>2024</v>
      </c>
      <c r="B812" s="13" t="str">
        <v>Aug</v>
      </c>
      <c r="C812" s="42">
        <f>DAY('RETAIL SALES DATA.'!K811)</f>
        <v>18</v>
      </c>
      <c r="D812" s="13">
        <v>2024</v>
      </c>
      <c r="E812" s="13" t="str">
        <v>Aug</v>
      </c>
      <c r="F812" s="13">
        <v>26</v>
      </c>
      <c r="G812" s="10"/>
      <c r="H812" s="13">
        <f>NETWORKDAYS('RETAIL SALES DATA.'!K811,'RETAIL SALES DATA.'!L811)</f>
        <v>6</v>
      </c>
      <c r="I812" s="13">
        <v>8</v>
      </c>
      <c r="J812" s="10"/>
      <c r="K812" s="13">
        <v>19</v>
      </c>
      <c r="L812" s="13">
        <v>9</v>
      </c>
      <c r="M812" s="13">
        <v>13</v>
      </c>
      <c r="N812" s="13">
        <v>0</v>
      </c>
      <c r="O812" s="54">
        <f t="shared" si="24"/>
        <v>0.3840277777777778</v>
      </c>
      <c r="P812" s="55">
        <f t="shared" si="25"/>
        <v>0.80069444444444449</v>
      </c>
    </row>
    <row r="813" spans="1:16" x14ac:dyDescent="0.3">
      <c r="A813" s="25">
        <f>YEAR('RETAIL SALES DATA.'!K812)</f>
        <v>2025</v>
      </c>
      <c r="B813" s="13" t="str">
        <v>Apr</v>
      </c>
      <c r="C813" s="42">
        <f>DAY('RETAIL SALES DATA.'!K812)</f>
        <v>13</v>
      </c>
      <c r="D813" s="13">
        <v>2025</v>
      </c>
      <c r="E813" s="13" t="str">
        <v>Apr</v>
      </c>
      <c r="F813" s="13">
        <v>23</v>
      </c>
      <c r="G813" s="10"/>
      <c r="H813" s="13">
        <f>NETWORKDAYS('RETAIL SALES DATA.'!K812,'RETAIL SALES DATA.'!L812)</f>
        <v>8</v>
      </c>
      <c r="I813" s="13">
        <v>10</v>
      </c>
      <c r="J813" s="10"/>
      <c r="K813" s="13">
        <v>9</v>
      </c>
      <c r="L813" s="13">
        <v>9</v>
      </c>
      <c r="M813" s="13">
        <v>6</v>
      </c>
      <c r="N813" s="13">
        <v>0</v>
      </c>
      <c r="O813" s="54">
        <f t="shared" si="24"/>
        <v>0.37916666666666665</v>
      </c>
      <c r="P813" s="55">
        <f t="shared" si="25"/>
        <v>0.37916666666666665</v>
      </c>
    </row>
    <row r="814" spans="1:16" x14ac:dyDescent="0.3">
      <c r="A814" s="25">
        <f>YEAR('RETAIL SALES DATA.'!K813)</f>
        <v>2024</v>
      </c>
      <c r="B814" s="13" t="str">
        <v>Jul</v>
      </c>
      <c r="C814" s="42">
        <f>DAY('RETAIL SALES DATA.'!K813)</f>
        <v>21</v>
      </c>
      <c r="D814" s="13">
        <v>2024</v>
      </c>
      <c r="E814" s="13" t="str">
        <v>Jul</v>
      </c>
      <c r="F814" s="13">
        <v>27</v>
      </c>
      <c r="G814" s="10"/>
      <c r="H814" s="13">
        <f>NETWORKDAYS('RETAIL SALES DATA.'!K813,'RETAIL SALES DATA.'!L813)</f>
        <v>5</v>
      </c>
      <c r="I814" s="13">
        <v>6</v>
      </c>
      <c r="J814" s="10"/>
      <c r="K814" s="13">
        <v>19</v>
      </c>
      <c r="L814" s="13">
        <v>10</v>
      </c>
      <c r="M814" s="13">
        <v>31</v>
      </c>
      <c r="N814" s="13">
        <v>0</v>
      </c>
      <c r="O814" s="54">
        <f t="shared" si="24"/>
        <v>0.43819444444444444</v>
      </c>
      <c r="P814" s="55">
        <f t="shared" si="25"/>
        <v>0.81319444444444444</v>
      </c>
    </row>
    <row r="815" spans="1:16" x14ac:dyDescent="0.3">
      <c r="A815" s="25">
        <f>YEAR('RETAIL SALES DATA.'!K814)</f>
        <v>2026</v>
      </c>
      <c r="B815" s="13" t="str">
        <v>Mar</v>
      </c>
      <c r="C815" s="42">
        <f>DAY('RETAIL SALES DATA.'!K814)</f>
        <v>11</v>
      </c>
      <c r="D815" s="13">
        <v>2026</v>
      </c>
      <c r="E815" s="13" t="str">
        <v>Mar</v>
      </c>
      <c r="F815" s="13">
        <v>16</v>
      </c>
      <c r="G815" s="10"/>
      <c r="H815" s="13">
        <f>NETWORKDAYS('RETAIL SALES DATA.'!K814,'RETAIL SALES DATA.'!L814)</f>
        <v>4</v>
      </c>
      <c r="I815" s="13">
        <v>5</v>
      </c>
      <c r="J815" s="10"/>
      <c r="K815" s="13">
        <v>4</v>
      </c>
      <c r="L815" s="13">
        <v>11</v>
      </c>
      <c r="M815" s="13">
        <v>36</v>
      </c>
      <c r="N815" s="13">
        <v>0</v>
      </c>
      <c r="O815" s="54">
        <f t="shared" si="24"/>
        <v>0.48333333333333334</v>
      </c>
      <c r="P815" s="55">
        <f t="shared" si="25"/>
        <v>0.19166666666666668</v>
      </c>
    </row>
    <row r="816" spans="1:16" x14ac:dyDescent="0.3">
      <c r="A816" s="25">
        <f>YEAR('RETAIL SALES DATA.'!K815)</f>
        <v>2024</v>
      </c>
      <c r="B816" s="13" t="str">
        <v>Sep</v>
      </c>
      <c r="C816" s="42">
        <f>DAY('RETAIL SALES DATA.'!K815)</f>
        <v>27</v>
      </c>
      <c r="D816" s="13">
        <v>2024</v>
      </c>
      <c r="E816" s="13" t="str">
        <v>Oct</v>
      </c>
      <c r="F816" s="13">
        <v>1</v>
      </c>
      <c r="G816" s="10"/>
      <c r="H816" s="13">
        <f>NETWORKDAYS('RETAIL SALES DATA.'!K815,'RETAIL SALES DATA.'!L815)</f>
        <v>3</v>
      </c>
      <c r="I816" s="13">
        <v>4</v>
      </c>
      <c r="J816" s="10"/>
      <c r="K816" s="13">
        <v>14</v>
      </c>
      <c r="L816" s="13">
        <v>8</v>
      </c>
      <c r="M816" s="13">
        <v>1</v>
      </c>
      <c r="N816" s="13">
        <v>0</v>
      </c>
      <c r="O816" s="54">
        <f t="shared" si="24"/>
        <v>0.33402777777777776</v>
      </c>
      <c r="P816" s="55">
        <f t="shared" si="25"/>
        <v>0.58402777777777781</v>
      </c>
    </row>
    <row r="817" spans="1:16" x14ac:dyDescent="0.3">
      <c r="A817" s="25">
        <f>YEAR('RETAIL SALES DATA.'!K816)</f>
        <v>2025</v>
      </c>
      <c r="B817" s="13" t="str">
        <v>Jun</v>
      </c>
      <c r="C817" s="42">
        <f>DAY('RETAIL SALES DATA.'!K816)</f>
        <v>6</v>
      </c>
      <c r="D817" s="13">
        <v>2025</v>
      </c>
      <c r="E817" s="13" t="str">
        <v>Jun</v>
      </c>
      <c r="F817" s="13">
        <v>13</v>
      </c>
      <c r="G817" s="10"/>
      <c r="H817" s="13">
        <f>NETWORKDAYS('RETAIL SALES DATA.'!K816,'RETAIL SALES DATA.'!L816)</f>
        <v>6</v>
      </c>
      <c r="I817" s="13">
        <v>7</v>
      </c>
      <c r="J817" s="10"/>
      <c r="K817" s="13">
        <v>4</v>
      </c>
      <c r="L817" s="13">
        <v>8</v>
      </c>
      <c r="M817" s="13">
        <v>51</v>
      </c>
      <c r="N817" s="13">
        <v>0</v>
      </c>
      <c r="O817" s="54">
        <f t="shared" si="24"/>
        <v>0.36875000000000002</v>
      </c>
      <c r="P817" s="55">
        <f t="shared" si="25"/>
        <v>0.20208333333333334</v>
      </c>
    </row>
    <row r="818" spans="1:16" x14ac:dyDescent="0.3">
      <c r="A818" s="25">
        <f>YEAR('RETAIL SALES DATA.'!K817)</f>
        <v>2026</v>
      </c>
      <c r="B818" s="13" t="str">
        <v>May</v>
      </c>
      <c r="C818" s="42">
        <f>DAY('RETAIL SALES DATA.'!K817)</f>
        <v>8</v>
      </c>
      <c r="D818" s="13">
        <v>2026</v>
      </c>
      <c r="E818" s="13" t="str">
        <v>May</v>
      </c>
      <c r="F818" s="13">
        <v>10</v>
      </c>
      <c r="G818" s="10"/>
      <c r="H818" s="13">
        <f>NETWORKDAYS('RETAIL SALES DATA.'!K817,'RETAIL SALES DATA.'!L817)</f>
        <v>1</v>
      </c>
      <c r="I818" s="13">
        <v>2</v>
      </c>
      <c r="J818" s="10"/>
      <c r="K818" s="13">
        <v>9</v>
      </c>
      <c r="L818" s="13">
        <v>11</v>
      </c>
      <c r="M818" s="13">
        <v>32</v>
      </c>
      <c r="N818" s="13">
        <v>0</v>
      </c>
      <c r="O818" s="54">
        <f t="shared" si="24"/>
        <v>0.48055555555555557</v>
      </c>
      <c r="P818" s="55">
        <f t="shared" si="25"/>
        <v>0.3972222222222222</v>
      </c>
    </row>
    <row r="819" spans="1:16" x14ac:dyDescent="0.3">
      <c r="A819" s="25">
        <f>YEAR('RETAIL SALES DATA.'!K818)</f>
        <v>2024</v>
      </c>
      <c r="B819" s="13" t="str">
        <v>Sep</v>
      </c>
      <c r="C819" s="42">
        <f>DAY('RETAIL SALES DATA.'!K818)</f>
        <v>22</v>
      </c>
      <c r="D819" s="13">
        <v>2024</v>
      </c>
      <c r="E819" s="13" t="str">
        <v>Sep</v>
      </c>
      <c r="F819" s="13">
        <v>24</v>
      </c>
      <c r="G819" s="10"/>
      <c r="H819" s="13">
        <f>NETWORKDAYS('RETAIL SALES DATA.'!K818,'RETAIL SALES DATA.'!L818)</f>
        <v>2</v>
      </c>
      <c r="I819" s="13">
        <v>2</v>
      </c>
      <c r="J819" s="10"/>
      <c r="K819" s="13">
        <v>14</v>
      </c>
      <c r="L819" s="13">
        <v>10</v>
      </c>
      <c r="M819" s="13">
        <v>33</v>
      </c>
      <c r="N819" s="13">
        <v>0</v>
      </c>
      <c r="O819" s="54">
        <f t="shared" si="24"/>
        <v>0.43958333333333333</v>
      </c>
      <c r="P819" s="55">
        <f t="shared" si="25"/>
        <v>0.60624999999999996</v>
      </c>
    </row>
    <row r="820" spans="1:16" x14ac:dyDescent="0.3">
      <c r="A820" s="25">
        <f>YEAR('RETAIL SALES DATA.'!K819)</f>
        <v>2024</v>
      </c>
      <c r="B820" s="13" t="str">
        <v>Oct</v>
      </c>
      <c r="C820" s="42">
        <f>DAY('RETAIL SALES DATA.'!K819)</f>
        <v>10</v>
      </c>
      <c r="D820" s="13">
        <v>2024</v>
      </c>
      <c r="E820" s="13" t="str">
        <v>Oct</v>
      </c>
      <c r="F820" s="13">
        <v>13</v>
      </c>
      <c r="G820" s="10"/>
      <c r="H820" s="13">
        <f>NETWORKDAYS('RETAIL SALES DATA.'!K819,'RETAIL SALES DATA.'!L819)</f>
        <v>2</v>
      </c>
      <c r="I820" s="13">
        <v>3</v>
      </c>
      <c r="J820" s="10"/>
      <c r="K820" s="13">
        <v>0</v>
      </c>
      <c r="L820" s="13">
        <v>9</v>
      </c>
      <c r="M820" s="13">
        <v>8</v>
      </c>
      <c r="N820" s="13">
        <v>0</v>
      </c>
      <c r="O820" s="54">
        <f t="shared" si="24"/>
        <v>0.38055555555555554</v>
      </c>
      <c r="P820" s="55">
        <f t="shared" si="25"/>
        <v>5.5555555555555558E-3</v>
      </c>
    </row>
    <row r="821" spans="1:16" x14ac:dyDescent="0.3">
      <c r="A821" s="25">
        <f>YEAR('RETAIL SALES DATA.'!K820)</f>
        <v>2026</v>
      </c>
      <c r="B821" s="13" t="str">
        <v>Feb</v>
      </c>
      <c r="C821" s="42">
        <f>DAY('RETAIL SALES DATA.'!K820)</f>
        <v>3</v>
      </c>
      <c r="D821" s="13">
        <v>2026</v>
      </c>
      <c r="E821" s="13" t="str">
        <v>Feb</v>
      </c>
      <c r="F821" s="13">
        <v>12</v>
      </c>
      <c r="G821" s="10"/>
      <c r="H821" s="13">
        <f>NETWORKDAYS('RETAIL SALES DATA.'!K820,'RETAIL SALES DATA.'!L820)</f>
        <v>8</v>
      </c>
      <c r="I821" s="13">
        <v>9</v>
      </c>
      <c r="J821" s="10"/>
      <c r="K821" s="13">
        <v>4</v>
      </c>
      <c r="L821" s="13">
        <v>11</v>
      </c>
      <c r="M821" s="13">
        <v>10</v>
      </c>
      <c r="N821" s="13">
        <v>0</v>
      </c>
      <c r="O821" s="54">
        <f t="shared" si="24"/>
        <v>0.46527777777777779</v>
      </c>
      <c r="P821" s="55">
        <f t="shared" si="25"/>
        <v>0.1736111111111111</v>
      </c>
    </row>
    <row r="822" spans="1:16" x14ac:dyDescent="0.3">
      <c r="A822" s="25">
        <f>YEAR('RETAIL SALES DATA.'!K821)</f>
        <v>2025</v>
      </c>
      <c r="B822" s="13" t="str">
        <v>Jul</v>
      </c>
      <c r="C822" s="42">
        <f>DAY('RETAIL SALES DATA.'!K821)</f>
        <v>8</v>
      </c>
      <c r="D822" s="13">
        <v>2025</v>
      </c>
      <c r="E822" s="13" t="str">
        <v>Jul</v>
      </c>
      <c r="F822" s="13">
        <v>17</v>
      </c>
      <c r="G822" s="10"/>
      <c r="H822" s="13">
        <f>NETWORKDAYS('RETAIL SALES DATA.'!K821,'RETAIL SALES DATA.'!L821)</f>
        <v>8</v>
      </c>
      <c r="I822" s="13">
        <v>9</v>
      </c>
      <c r="J822" s="10"/>
      <c r="K822" s="13">
        <v>9</v>
      </c>
      <c r="L822" s="13">
        <v>8</v>
      </c>
      <c r="M822" s="13">
        <v>14</v>
      </c>
      <c r="N822" s="13">
        <v>0</v>
      </c>
      <c r="O822" s="54">
        <f t="shared" si="24"/>
        <v>0.34305555555555556</v>
      </c>
      <c r="P822" s="55">
        <f t="shared" si="25"/>
        <v>0.38472222222222224</v>
      </c>
    </row>
    <row r="823" spans="1:16" x14ac:dyDescent="0.3">
      <c r="A823" s="25">
        <f>YEAR('RETAIL SALES DATA.'!K822)</f>
        <v>2025</v>
      </c>
      <c r="B823" s="13" t="str">
        <v>Apr</v>
      </c>
      <c r="C823" s="42">
        <f>DAY('RETAIL SALES DATA.'!K822)</f>
        <v>9</v>
      </c>
      <c r="D823" s="13">
        <v>2025</v>
      </c>
      <c r="E823" s="13" t="str">
        <v>Apr</v>
      </c>
      <c r="F823" s="13">
        <v>10</v>
      </c>
      <c r="G823" s="10"/>
      <c r="H823" s="13">
        <f>NETWORKDAYS('RETAIL SALES DATA.'!K822,'RETAIL SALES DATA.'!L822)</f>
        <v>2</v>
      </c>
      <c r="I823" s="13">
        <v>1</v>
      </c>
      <c r="J823" s="10"/>
      <c r="K823" s="13">
        <v>14</v>
      </c>
      <c r="L823" s="13">
        <v>10</v>
      </c>
      <c r="M823" s="13">
        <v>34</v>
      </c>
      <c r="N823" s="13">
        <v>0</v>
      </c>
      <c r="O823" s="54">
        <f t="shared" si="24"/>
        <v>0.44027777777777777</v>
      </c>
      <c r="P823" s="55">
        <f t="shared" si="25"/>
        <v>0.6069444444444444</v>
      </c>
    </row>
    <row r="824" spans="1:16" x14ac:dyDescent="0.3">
      <c r="A824" s="25">
        <f>YEAR('RETAIL SALES DATA.'!K823)</f>
        <v>2026</v>
      </c>
      <c r="B824" s="13" t="str">
        <v>Apr</v>
      </c>
      <c r="C824" s="42">
        <f>DAY('RETAIL SALES DATA.'!K823)</f>
        <v>23</v>
      </c>
      <c r="D824" s="13">
        <v>2026</v>
      </c>
      <c r="E824" s="13" t="str">
        <v>Apr</v>
      </c>
      <c r="F824" s="13">
        <v>26</v>
      </c>
      <c r="G824" s="10"/>
      <c r="H824" s="13">
        <f>NETWORKDAYS('RETAIL SALES DATA.'!K823,'RETAIL SALES DATA.'!L823)</f>
        <v>2</v>
      </c>
      <c r="I824" s="13">
        <v>3</v>
      </c>
      <c r="J824" s="10"/>
      <c r="K824" s="13">
        <v>12</v>
      </c>
      <c r="L824" s="13">
        <v>10</v>
      </c>
      <c r="M824" s="13">
        <v>30</v>
      </c>
      <c r="N824" s="13">
        <v>0</v>
      </c>
      <c r="O824" s="54">
        <f t="shared" si="24"/>
        <v>0.4375</v>
      </c>
      <c r="P824" s="55">
        <f t="shared" si="25"/>
        <v>0.52083333333333337</v>
      </c>
    </row>
    <row r="825" spans="1:16" x14ac:dyDescent="0.3">
      <c r="A825" s="25">
        <f>YEAR('RETAIL SALES DATA.'!K824)</f>
        <v>2025</v>
      </c>
      <c r="B825" s="13" t="str">
        <v>Dec</v>
      </c>
      <c r="C825" s="42">
        <f>DAY('RETAIL SALES DATA.'!K824)</f>
        <v>15</v>
      </c>
      <c r="D825" s="13">
        <v>2025</v>
      </c>
      <c r="E825" s="13" t="str">
        <v>Dec</v>
      </c>
      <c r="F825" s="13">
        <v>24</v>
      </c>
      <c r="G825" s="10"/>
      <c r="H825" s="13">
        <f>NETWORKDAYS('RETAIL SALES DATA.'!K824,'RETAIL SALES DATA.'!L824)</f>
        <v>8</v>
      </c>
      <c r="I825" s="13">
        <v>9</v>
      </c>
      <c r="J825" s="10"/>
      <c r="K825" s="13">
        <v>16</v>
      </c>
      <c r="L825" s="13">
        <v>10</v>
      </c>
      <c r="M825" s="13">
        <v>24</v>
      </c>
      <c r="N825" s="13">
        <v>0</v>
      </c>
      <c r="O825" s="54">
        <f t="shared" si="24"/>
        <v>0.43333333333333335</v>
      </c>
      <c r="P825" s="55">
        <f t="shared" si="25"/>
        <v>0.68333333333333335</v>
      </c>
    </row>
    <row r="826" spans="1:16" x14ac:dyDescent="0.3">
      <c r="A826" s="25">
        <f>YEAR('RETAIL SALES DATA.'!K825)</f>
        <v>2025</v>
      </c>
      <c r="B826" s="13" t="str">
        <v>Mar</v>
      </c>
      <c r="C826" s="42">
        <f>DAY('RETAIL SALES DATA.'!K825)</f>
        <v>7</v>
      </c>
      <c r="D826" s="13">
        <v>2025</v>
      </c>
      <c r="E826" s="13" t="str">
        <v>Mar</v>
      </c>
      <c r="F826" s="13">
        <v>10</v>
      </c>
      <c r="G826" s="10"/>
      <c r="H826" s="13">
        <f>NETWORKDAYS('RETAIL SALES DATA.'!K825,'RETAIL SALES DATA.'!L825)</f>
        <v>2</v>
      </c>
      <c r="I826" s="13">
        <v>3</v>
      </c>
      <c r="J826" s="10"/>
      <c r="K826" s="13">
        <v>7</v>
      </c>
      <c r="L826" s="13">
        <v>8</v>
      </c>
      <c r="M826" s="13">
        <v>37</v>
      </c>
      <c r="N826" s="13">
        <v>0</v>
      </c>
      <c r="O826" s="54">
        <f t="shared" si="24"/>
        <v>0.35902777777777778</v>
      </c>
      <c r="P826" s="55">
        <f t="shared" si="25"/>
        <v>0.31736111111111109</v>
      </c>
    </row>
    <row r="827" spans="1:16" x14ac:dyDescent="0.3">
      <c r="A827" s="25">
        <f>YEAR('RETAIL SALES DATA.'!K826)</f>
        <v>2025</v>
      </c>
      <c r="B827" s="13" t="str">
        <v>Sep</v>
      </c>
      <c r="C827" s="42">
        <f>DAY('RETAIL SALES DATA.'!K826)</f>
        <v>30</v>
      </c>
      <c r="D827" s="13">
        <v>2025</v>
      </c>
      <c r="E827" s="13" t="str">
        <v>Oct</v>
      </c>
      <c r="F827" s="13">
        <v>6</v>
      </c>
      <c r="G827" s="10"/>
      <c r="H827" s="13">
        <f>NETWORKDAYS('RETAIL SALES DATA.'!K826,'RETAIL SALES DATA.'!L826)</f>
        <v>5</v>
      </c>
      <c r="I827" s="13">
        <v>6</v>
      </c>
      <c r="J827" s="10"/>
      <c r="K827" s="13">
        <v>2</v>
      </c>
      <c r="L827" s="13">
        <v>8</v>
      </c>
      <c r="M827" s="13">
        <v>0</v>
      </c>
      <c r="N827" s="13">
        <v>0</v>
      </c>
      <c r="O827" s="54">
        <f t="shared" si="24"/>
        <v>0.33333333333333331</v>
      </c>
      <c r="P827" s="55">
        <f t="shared" si="25"/>
        <v>8.3333333333333329E-2</v>
      </c>
    </row>
    <row r="828" spans="1:16" x14ac:dyDescent="0.3">
      <c r="A828" s="25">
        <f>YEAR('RETAIL SALES DATA.'!K827)</f>
        <v>2025</v>
      </c>
      <c r="B828" s="13" t="str">
        <v>May</v>
      </c>
      <c r="C828" s="42">
        <f>DAY('RETAIL SALES DATA.'!K827)</f>
        <v>19</v>
      </c>
      <c r="D828" s="13">
        <v>2025</v>
      </c>
      <c r="E828" s="13" t="str">
        <v>May</v>
      </c>
      <c r="F828" s="13">
        <v>26</v>
      </c>
      <c r="G828" s="10"/>
      <c r="H828" s="13">
        <f>NETWORKDAYS('RETAIL SALES DATA.'!K827,'RETAIL SALES DATA.'!L827)</f>
        <v>6</v>
      </c>
      <c r="I828" s="13">
        <v>7</v>
      </c>
      <c r="J828" s="10"/>
      <c r="K828" s="13">
        <v>14</v>
      </c>
      <c r="L828" s="13">
        <v>8</v>
      </c>
      <c r="M828" s="13">
        <v>36</v>
      </c>
      <c r="N828" s="13">
        <v>0</v>
      </c>
      <c r="O828" s="54">
        <f t="shared" si="24"/>
        <v>0.35833333333333334</v>
      </c>
      <c r="P828" s="55">
        <f t="shared" si="25"/>
        <v>0.60833333333333328</v>
      </c>
    </row>
    <row r="829" spans="1:16" x14ac:dyDescent="0.3">
      <c r="A829" s="25">
        <f>YEAR('RETAIL SALES DATA.'!K828)</f>
        <v>2024</v>
      </c>
      <c r="B829" s="13" t="str">
        <v>Nov</v>
      </c>
      <c r="C829" s="42">
        <f>DAY('RETAIL SALES DATA.'!K828)</f>
        <v>21</v>
      </c>
      <c r="D829" s="13">
        <v>2024</v>
      </c>
      <c r="E829" s="13" t="str">
        <v>Nov</v>
      </c>
      <c r="F829" s="13">
        <v>24</v>
      </c>
      <c r="G829" s="10"/>
      <c r="H829" s="13">
        <f>NETWORKDAYS('RETAIL SALES DATA.'!K828,'RETAIL SALES DATA.'!L828)</f>
        <v>2</v>
      </c>
      <c r="I829" s="13">
        <v>3</v>
      </c>
      <c r="J829" s="10"/>
      <c r="K829" s="13">
        <v>19</v>
      </c>
      <c r="L829" s="13">
        <v>10</v>
      </c>
      <c r="M829" s="13">
        <v>9</v>
      </c>
      <c r="N829" s="13">
        <v>0</v>
      </c>
      <c r="O829" s="54">
        <f t="shared" si="24"/>
        <v>0.42291666666666666</v>
      </c>
      <c r="P829" s="55">
        <f t="shared" si="25"/>
        <v>0.79791666666666672</v>
      </c>
    </row>
    <row r="830" spans="1:16" x14ac:dyDescent="0.3">
      <c r="A830" s="25">
        <f>YEAR('RETAIL SALES DATA.'!K829)</f>
        <v>2024</v>
      </c>
      <c r="B830" s="13" t="str">
        <v>Sep</v>
      </c>
      <c r="C830" s="42">
        <f>DAY('RETAIL SALES DATA.'!K829)</f>
        <v>3</v>
      </c>
      <c r="D830" s="13">
        <v>2024</v>
      </c>
      <c r="E830" s="13" t="str">
        <v>Sep</v>
      </c>
      <c r="F830" s="13">
        <v>12</v>
      </c>
      <c r="G830" s="10"/>
      <c r="H830" s="13">
        <f>NETWORKDAYS('RETAIL SALES DATA.'!K829,'RETAIL SALES DATA.'!L829)</f>
        <v>8</v>
      </c>
      <c r="I830" s="13">
        <v>9</v>
      </c>
      <c r="J830" s="10"/>
      <c r="K830" s="13">
        <v>14</v>
      </c>
      <c r="L830" s="13">
        <v>9</v>
      </c>
      <c r="M830" s="13">
        <v>13</v>
      </c>
      <c r="N830" s="13">
        <v>0</v>
      </c>
      <c r="O830" s="54">
        <f t="shared" si="24"/>
        <v>0.3840277777777778</v>
      </c>
      <c r="P830" s="55">
        <f t="shared" si="25"/>
        <v>0.59236111111111112</v>
      </c>
    </row>
    <row r="831" spans="1:16" x14ac:dyDescent="0.3">
      <c r="A831" s="25">
        <f>YEAR('RETAIL SALES DATA.'!K830)</f>
        <v>2024</v>
      </c>
      <c r="B831" s="13" t="str">
        <v>Aug</v>
      </c>
      <c r="C831" s="42">
        <f>DAY('RETAIL SALES DATA.'!K830)</f>
        <v>31</v>
      </c>
      <c r="D831" s="13">
        <v>2024</v>
      </c>
      <c r="E831" s="13" t="str">
        <v>Sep</v>
      </c>
      <c r="F831" s="13">
        <v>8</v>
      </c>
      <c r="G831" s="10"/>
      <c r="H831" s="13">
        <f>NETWORKDAYS('RETAIL SALES DATA.'!K830,'RETAIL SALES DATA.'!L830)</f>
        <v>5</v>
      </c>
      <c r="I831" s="13">
        <v>8</v>
      </c>
      <c r="J831" s="10"/>
      <c r="K831" s="13">
        <v>21</v>
      </c>
      <c r="L831" s="13">
        <v>9</v>
      </c>
      <c r="M831" s="13">
        <v>16</v>
      </c>
      <c r="N831" s="13">
        <v>0</v>
      </c>
      <c r="O831" s="54">
        <f t="shared" si="24"/>
        <v>0.38611111111111113</v>
      </c>
      <c r="P831" s="55">
        <f t="shared" si="25"/>
        <v>0.88611111111111107</v>
      </c>
    </row>
    <row r="832" spans="1:16" x14ac:dyDescent="0.3">
      <c r="A832" s="25">
        <f>YEAR('RETAIL SALES DATA.'!K831)</f>
        <v>2024</v>
      </c>
      <c r="B832" s="13" t="str">
        <v>Jun</v>
      </c>
      <c r="C832" s="42">
        <f>DAY('RETAIL SALES DATA.'!K831)</f>
        <v>3</v>
      </c>
      <c r="D832" s="13">
        <v>2024</v>
      </c>
      <c r="E832" s="13" t="str">
        <v>Jun</v>
      </c>
      <c r="F832" s="13">
        <v>4</v>
      </c>
      <c r="G832" s="10"/>
      <c r="H832" s="13">
        <f>NETWORKDAYS('RETAIL SALES DATA.'!K831,'RETAIL SALES DATA.'!L831)</f>
        <v>2</v>
      </c>
      <c r="I832" s="13">
        <v>1</v>
      </c>
      <c r="J832" s="10"/>
      <c r="K832" s="13">
        <v>7</v>
      </c>
      <c r="L832" s="13">
        <v>9</v>
      </c>
      <c r="M832" s="13">
        <v>12</v>
      </c>
      <c r="N832" s="13">
        <v>0</v>
      </c>
      <c r="O832" s="54">
        <f t="shared" si="24"/>
        <v>0.38333333333333336</v>
      </c>
      <c r="P832" s="55">
        <f t="shared" si="25"/>
        <v>0.3</v>
      </c>
    </row>
    <row r="833" spans="1:16" x14ac:dyDescent="0.3">
      <c r="A833" s="25">
        <f>YEAR('RETAIL SALES DATA.'!K832)</f>
        <v>2026</v>
      </c>
      <c r="B833" s="13" t="str">
        <v>Mar</v>
      </c>
      <c r="C833" s="42">
        <f>DAY('RETAIL SALES DATA.'!K832)</f>
        <v>9</v>
      </c>
      <c r="D833" s="13">
        <v>2026</v>
      </c>
      <c r="E833" s="13" t="str">
        <v>Mar</v>
      </c>
      <c r="F833" s="13">
        <v>11</v>
      </c>
      <c r="G833" s="10"/>
      <c r="H833" s="13">
        <f>NETWORKDAYS('RETAIL SALES DATA.'!K832,'RETAIL SALES DATA.'!L832)</f>
        <v>3</v>
      </c>
      <c r="I833" s="13">
        <v>2</v>
      </c>
      <c r="J833" s="10"/>
      <c r="K833" s="13">
        <v>9</v>
      </c>
      <c r="L833" s="13">
        <v>11</v>
      </c>
      <c r="M833" s="13">
        <v>16</v>
      </c>
      <c r="N833" s="13">
        <v>0</v>
      </c>
      <c r="O833" s="54">
        <f t="shared" si="24"/>
        <v>0.46944444444444444</v>
      </c>
      <c r="P833" s="55">
        <f t="shared" si="25"/>
        <v>0.38611111111111113</v>
      </c>
    </row>
    <row r="834" spans="1:16" x14ac:dyDescent="0.3">
      <c r="A834" s="25">
        <f>YEAR('RETAIL SALES DATA.'!K833)</f>
        <v>2024</v>
      </c>
      <c r="B834" s="13" t="str">
        <v>Aug</v>
      </c>
      <c r="C834" s="42">
        <f>DAY('RETAIL SALES DATA.'!K833)</f>
        <v>1</v>
      </c>
      <c r="D834" s="13">
        <v>2024</v>
      </c>
      <c r="E834" s="13" t="str">
        <v>Aug</v>
      </c>
      <c r="F834" s="13">
        <v>3</v>
      </c>
      <c r="G834" s="10"/>
      <c r="H834" s="13">
        <f>NETWORKDAYS('RETAIL SALES DATA.'!K833,'RETAIL SALES DATA.'!L833)</f>
        <v>2</v>
      </c>
      <c r="I834" s="13">
        <v>2</v>
      </c>
      <c r="J834" s="10"/>
      <c r="K834" s="13">
        <v>4</v>
      </c>
      <c r="L834" s="13">
        <v>9</v>
      </c>
      <c r="M834" s="13">
        <v>41</v>
      </c>
      <c r="N834" s="13">
        <v>0</v>
      </c>
      <c r="O834" s="54">
        <f t="shared" si="24"/>
        <v>0.40347222222222223</v>
      </c>
      <c r="P834" s="55">
        <f t="shared" si="25"/>
        <v>0.19513888888888889</v>
      </c>
    </row>
    <row r="835" spans="1:16" x14ac:dyDescent="0.3">
      <c r="A835" s="25">
        <f>YEAR('RETAIL SALES DATA.'!K834)</f>
        <v>2025</v>
      </c>
      <c r="B835" s="13" t="str">
        <v>Apr</v>
      </c>
      <c r="C835" s="42">
        <f>DAY('RETAIL SALES DATA.'!K834)</f>
        <v>23</v>
      </c>
      <c r="D835" s="13">
        <v>2025</v>
      </c>
      <c r="E835" s="13" t="str">
        <v>Apr</v>
      </c>
      <c r="F835" s="13">
        <v>29</v>
      </c>
      <c r="G835" s="10"/>
      <c r="H835" s="13">
        <f>NETWORKDAYS('RETAIL SALES DATA.'!K834,'RETAIL SALES DATA.'!L834)</f>
        <v>5</v>
      </c>
      <c r="I835" s="13">
        <v>6</v>
      </c>
      <c r="J835" s="10"/>
      <c r="K835" s="13">
        <v>2</v>
      </c>
      <c r="L835" s="13">
        <v>10</v>
      </c>
      <c r="M835" s="13">
        <v>31</v>
      </c>
      <c r="N835" s="13">
        <v>0</v>
      </c>
      <c r="O835" s="54">
        <f t="shared" si="24"/>
        <v>0.43819444444444444</v>
      </c>
      <c r="P835" s="55">
        <f t="shared" si="25"/>
        <v>0.10486111111111111</v>
      </c>
    </row>
    <row r="836" spans="1:16" x14ac:dyDescent="0.3">
      <c r="A836" s="25">
        <f>YEAR('RETAIL SALES DATA.'!K835)</f>
        <v>2025</v>
      </c>
      <c r="B836" s="13" t="str">
        <v>Jul</v>
      </c>
      <c r="C836" s="42">
        <f>DAY('RETAIL SALES DATA.'!K835)</f>
        <v>21</v>
      </c>
      <c r="D836" s="13">
        <v>2025</v>
      </c>
      <c r="E836" s="13" t="str">
        <v>Jul</v>
      </c>
      <c r="F836" s="13">
        <v>23</v>
      </c>
      <c r="G836" s="10"/>
      <c r="H836" s="13">
        <f>NETWORKDAYS('RETAIL SALES DATA.'!K835,'RETAIL SALES DATA.'!L835)</f>
        <v>3</v>
      </c>
      <c r="I836" s="13">
        <v>2</v>
      </c>
      <c r="J836" s="10"/>
      <c r="K836" s="13">
        <v>21</v>
      </c>
      <c r="L836" s="13">
        <v>9</v>
      </c>
      <c r="M836" s="13">
        <v>34</v>
      </c>
      <c r="N836" s="13">
        <v>0</v>
      </c>
      <c r="O836" s="54">
        <f t="shared" ref="O836:O899" si="26">TIME(L836,M836,N836)</f>
        <v>0.39861111111111114</v>
      </c>
      <c r="P836" s="55">
        <f t="shared" ref="P836:P899" si="27">TIME(K836,M836,N836)</f>
        <v>0.89861111111111114</v>
      </c>
    </row>
    <row r="837" spans="1:16" x14ac:dyDescent="0.3">
      <c r="A837" s="25">
        <f>YEAR('RETAIL SALES DATA.'!K836)</f>
        <v>2024</v>
      </c>
      <c r="B837" s="13" t="str">
        <v>Oct</v>
      </c>
      <c r="C837" s="42">
        <f>DAY('RETAIL SALES DATA.'!K836)</f>
        <v>19</v>
      </c>
      <c r="D837" s="13">
        <v>2024</v>
      </c>
      <c r="E837" s="13" t="str">
        <v>Oct</v>
      </c>
      <c r="F837" s="13">
        <v>22</v>
      </c>
      <c r="G837" s="10"/>
      <c r="H837" s="13">
        <f>NETWORKDAYS('RETAIL SALES DATA.'!K836,'RETAIL SALES DATA.'!L836)</f>
        <v>2</v>
      </c>
      <c r="I837" s="13">
        <v>3</v>
      </c>
      <c r="J837" s="10"/>
      <c r="K837" s="13">
        <v>19</v>
      </c>
      <c r="L837" s="13">
        <v>9</v>
      </c>
      <c r="M837" s="13">
        <v>47</v>
      </c>
      <c r="N837" s="13">
        <v>0</v>
      </c>
      <c r="O837" s="54">
        <f t="shared" si="26"/>
        <v>0.40763888888888888</v>
      </c>
      <c r="P837" s="55">
        <f t="shared" si="27"/>
        <v>0.82430555555555551</v>
      </c>
    </row>
    <row r="838" spans="1:16" x14ac:dyDescent="0.3">
      <c r="A838" s="25">
        <f>YEAR('RETAIL SALES DATA.'!K837)</f>
        <v>2025</v>
      </c>
      <c r="B838" s="13" t="str">
        <v>Apr</v>
      </c>
      <c r="C838" s="42">
        <f>DAY('RETAIL SALES DATA.'!K837)</f>
        <v>6</v>
      </c>
      <c r="D838" s="13">
        <v>2025</v>
      </c>
      <c r="E838" s="13" t="str">
        <v>Apr</v>
      </c>
      <c r="F838" s="13">
        <v>12</v>
      </c>
      <c r="G838" s="10"/>
      <c r="H838" s="13">
        <f>NETWORKDAYS('RETAIL SALES DATA.'!K837,'RETAIL SALES DATA.'!L837)</f>
        <v>5</v>
      </c>
      <c r="I838" s="13">
        <v>6</v>
      </c>
      <c r="J838" s="10"/>
      <c r="K838" s="13">
        <v>12</v>
      </c>
      <c r="L838" s="13">
        <v>8</v>
      </c>
      <c r="M838" s="13">
        <v>36</v>
      </c>
      <c r="N838" s="13">
        <v>0</v>
      </c>
      <c r="O838" s="54">
        <f t="shared" si="26"/>
        <v>0.35833333333333334</v>
      </c>
      <c r="P838" s="55">
        <f t="shared" si="27"/>
        <v>0.52500000000000002</v>
      </c>
    </row>
    <row r="839" spans="1:16" x14ac:dyDescent="0.3">
      <c r="A839" s="25">
        <f>YEAR('RETAIL SALES DATA.'!K838)</f>
        <v>2025</v>
      </c>
      <c r="B839" s="13" t="str">
        <v>May</v>
      </c>
      <c r="C839" s="42">
        <f>DAY('RETAIL SALES DATA.'!K838)</f>
        <v>24</v>
      </c>
      <c r="D839" s="13">
        <v>2025</v>
      </c>
      <c r="E839" s="13" t="str">
        <v>May</v>
      </c>
      <c r="F839" s="13">
        <v>25</v>
      </c>
      <c r="G839" s="10"/>
      <c r="H839" s="13">
        <f>NETWORKDAYS('RETAIL SALES DATA.'!K838,'RETAIL SALES DATA.'!L838)</f>
        <v>0</v>
      </c>
      <c r="I839" s="13">
        <v>1</v>
      </c>
      <c r="J839" s="10"/>
      <c r="K839" s="13">
        <v>0</v>
      </c>
      <c r="L839" s="13">
        <v>10</v>
      </c>
      <c r="M839" s="13">
        <v>9</v>
      </c>
      <c r="N839" s="13">
        <v>0</v>
      </c>
      <c r="O839" s="54">
        <f t="shared" si="26"/>
        <v>0.42291666666666666</v>
      </c>
      <c r="P839" s="55">
        <f t="shared" si="27"/>
        <v>6.2500000000000003E-3</v>
      </c>
    </row>
    <row r="840" spans="1:16" x14ac:dyDescent="0.3">
      <c r="A840" s="25">
        <f>YEAR('RETAIL SALES DATA.'!K839)</f>
        <v>2025</v>
      </c>
      <c r="B840" s="13" t="str">
        <v>Jul</v>
      </c>
      <c r="C840" s="42">
        <f>DAY('RETAIL SALES DATA.'!K839)</f>
        <v>29</v>
      </c>
      <c r="D840" s="13">
        <v>2025</v>
      </c>
      <c r="E840" s="13" t="str">
        <v>Aug</v>
      </c>
      <c r="F840" s="13">
        <v>3</v>
      </c>
      <c r="G840" s="10"/>
      <c r="H840" s="13">
        <f>NETWORKDAYS('RETAIL SALES DATA.'!K839,'RETAIL SALES DATA.'!L839)</f>
        <v>4</v>
      </c>
      <c r="I840" s="13">
        <v>5</v>
      </c>
      <c r="J840" s="10"/>
      <c r="K840" s="13">
        <v>19</v>
      </c>
      <c r="L840" s="13">
        <v>10</v>
      </c>
      <c r="M840" s="13">
        <v>14</v>
      </c>
      <c r="N840" s="13">
        <v>0</v>
      </c>
      <c r="O840" s="54">
        <f t="shared" si="26"/>
        <v>0.42638888888888887</v>
      </c>
      <c r="P840" s="55">
        <f t="shared" si="27"/>
        <v>0.80138888888888893</v>
      </c>
    </row>
    <row r="841" spans="1:16" x14ac:dyDescent="0.3">
      <c r="A841" s="25">
        <f>YEAR('RETAIL SALES DATA.'!K840)</f>
        <v>2026</v>
      </c>
      <c r="B841" s="13" t="str">
        <v>Feb</v>
      </c>
      <c r="C841" s="42">
        <f>DAY('RETAIL SALES DATA.'!K840)</f>
        <v>12</v>
      </c>
      <c r="D841" s="13">
        <v>2026</v>
      </c>
      <c r="E841" s="13" t="str">
        <v>Feb</v>
      </c>
      <c r="F841" s="13">
        <v>22</v>
      </c>
      <c r="G841" s="10"/>
      <c r="H841" s="13">
        <f>NETWORKDAYS('RETAIL SALES DATA.'!K840,'RETAIL SALES DATA.'!L840)</f>
        <v>7</v>
      </c>
      <c r="I841" s="13">
        <v>10</v>
      </c>
      <c r="J841" s="10"/>
      <c r="K841" s="13">
        <v>16</v>
      </c>
      <c r="L841" s="13">
        <v>10</v>
      </c>
      <c r="M841" s="13">
        <v>30</v>
      </c>
      <c r="N841" s="13">
        <v>0</v>
      </c>
      <c r="O841" s="54">
        <f t="shared" si="26"/>
        <v>0.4375</v>
      </c>
      <c r="P841" s="55">
        <f t="shared" si="27"/>
        <v>0.6875</v>
      </c>
    </row>
    <row r="842" spans="1:16" x14ac:dyDescent="0.3">
      <c r="A842" s="25">
        <f>YEAR('RETAIL SALES DATA.'!K841)</f>
        <v>2024</v>
      </c>
      <c r="B842" s="13" t="str">
        <v>May</v>
      </c>
      <c r="C842" s="42">
        <f>DAY('RETAIL SALES DATA.'!K841)</f>
        <v>22</v>
      </c>
      <c r="D842" s="13">
        <v>2024</v>
      </c>
      <c r="E842" s="13" t="str">
        <v>May</v>
      </c>
      <c r="F842" s="13">
        <v>23</v>
      </c>
      <c r="G842" s="10"/>
      <c r="H842" s="13">
        <f>NETWORKDAYS('RETAIL SALES DATA.'!K841,'RETAIL SALES DATA.'!L841)</f>
        <v>2</v>
      </c>
      <c r="I842" s="13">
        <v>1</v>
      </c>
      <c r="J842" s="10"/>
      <c r="K842" s="13">
        <v>9</v>
      </c>
      <c r="L842" s="13">
        <v>11</v>
      </c>
      <c r="M842" s="13">
        <v>18</v>
      </c>
      <c r="N842" s="13">
        <v>0</v>
      </c>
      <c r="O842" s="54">
        <f t="shared" si="26"/>
        <v>0.47083333333333333</v>
      </c>
      <c r="P842" s="55">
        <f t="shared" si="27"/>
        <v>0.38750000000000001</v>
      </c>
    </row>
    <row r="843" spans="1:16" x14ac:dyDescent="0.3">
      <c r="A843" s="25">
        <f>YEAR('RETAIL SALES DATA.'!K842)</f>
        <v>2025</v>
      </c>
      <c r="B843" s="13" t="str">
        <v>Jan</v>
      </c>
      <c r="C843" s="42">
        <f>DAY('RETAIL SALES DATA.'!K842)</f>
        <v>24</v>
      </c>
      <c r="D843" s="13">
        <v>2025</v>
      </c>
      <c r="E843" s="13" t="str">
        <v>Feb</v>
      </c>
      <c r="F843" s="13">
        <v>3</v>
      </c>
      <c r="G843" s="10"/>
      <c r="H843" s="13">
        <f>NETWORKDAYS('RETAIL SALES DATA.'!K842,'RETAIL SALES DATA.'!L842)</f>
        <v>7</v>
      </c>
      <c r="I843" s="13">
        <v>10</v>
      </c>
      <c r="J843" s="10"/>
      <c r="K843" s="13">
        <v>21</v>
      </c>
      <c r="L843" s="13">
        <v>11</v>
      </c>
      <c r="M843" s="13">
        <v>53</v>
      </c>
      <c r="N843" s="13">
        <v>0</v>
      </c>
      <c r="O843" s="54">
        <f t="shared" si="26"/>
        <v>0.49513888888888891</v>
      </c>
      <c r="P843" s="55">
        <f t="shared" si="27"/>
        <v>0.91180555555555554</v>
      </c>
    </row>
    <row r="844" spans="1:16" x14ac:dyDescent="0.3">
      <c r="A844" s="25">
        <f>YEAR('RETAIL SALES DATA.'!K843)</f>
        <v>2025</v>
      </c>
      <c r="B844" s="13" t="str">
        <v>Mar</v>
      </c>
      <c r="C844" s="42">
        <f>DAY('RETAIL SALES DATA.'!K843)</f>
        <v>1</v>
      </c>
      <c r="D844" s="13">
        <v>2025</v>
      </c>
      <c r="E844" s="13" t="str">
        <v>Mar</v>
      </c>
      <c r="F844" s="13">
        <v>10</v>
      </c>
      <c r="G844" s="10"/>
      <c r="H844" s="13">
        <f>NETWORKDAYS('RETAIL SALES DATA.'!K843,'RETAIL SALES DATA.'!L843)</f>
        <v>6</v>
      </c>
      <c r="I844" s="13">
        <v>9</v>
      </c>
      <c r="J844" s="10"/>
      <c r="K844" s="13">
        <v>14</v>
      </c>
      <c r="L844" s="13">
        <v>10</v>
      </c>
      <c r="M844" s="13">
        <v>49</v>
      </c>
      <c r="N844" s="13">
        <v>0</v>
      </c>
      <c r="O844" s="54">
        <f t="shared" si="26"/>
        <v>0.45069444444444445</v>
      </c>
      <c r="P844" s="55">
        <f t="shared" si="27"/>
        <v>0.61736111111111114</v>
      </c>
    </row>
    <row r="845" spans="1:16" x14ac:dyDescent="0.3">
      <c r="A845" s="25">
        <f>YEAR('RETAIL SALES DATA.'!K844)</f>
        <v>2025</v>
      </c>
      <c r="B845" s="13" t="str">
        <v>Nov</v>
      </c>
      <c r="C845" s="42">
        <f>DAY('RETAIL SALES DATA.'!K844)</f>
        <v>27</v>
      </c>
      <c r="D845" s="13">
        <v>2025</v>
      </c>
      <c r="E845" s="13" t="str">
        <v>Dec</v>
      </c>
      <c r="F845" s="13">
        <v>6</v>
      </c>
      <c r="G845" s="10"/>
      <c r="H845" s="13">
        <f>NETWORKDAYS('RETAIL SALES DATA.'!K844,'RETAIL SALES DATA.'!L844)</f>
        <v>7</v>
      </c>
      <c r="I845" s="13">
        <v>9</v>
      </c>
      <c r="J845" s="10"/>
      <c r="K845" s="13">
        <v>21</v>
      </c>
      <c r="L845" s="13">
        <v>9</v>
      </c>
      <c r="M845" s="13">
        <v>23</v>
      </c>
      <c r="N845" s="13">
        <v>0</v>
      </c>
      <c r="O845" s="54">
        <f t="shared" si="26"/>
        <v>0.39097222222222222</v>
      </c>
      <c r="P845" s="55">
        <f t="shared" si="27"/>
        <v>0.89097222222222228</v>
      </c>
    </row>
    <row r="846" spans="1:16" x14ac:dyDescent="0.3">
      <c r="A846" s="25">
        <f>YEAR('RETAIL SALES DATA.'!K845)</f>
        <v>2024</v>
      </c>
      <c r="B846" s="13" t="str">
        <v>Oct</v>
      </c>
      <c r="C846" s="42">
        <f>DAY('RETAIL SALES DATA.'!K845)</f>
        <v>29</v>
      </c>
      <c r="D846" s="13">
        <v>2024</v>
      </c>
      <c r="E846" s="13" t="str">
        <v>Nov</v>
      </c>
      <c r="F846" s="13">
        <v>1</v>
      </c>
      <c r="G846" s="10"/>
      <c r="H846" s="13">
        <f>NETWORKDAYS('RETAIL SALES DATA.'!K845,'RETAIL SALES DATA.'!L845)</f>
        <v>4</v>
      </c>
      <c r="I846" s="13">
        <v>3</v>
      </c>
      <c r="J846" s="10"/>
      <c r="K846" s="13">
        <v>9</v>
      </c>
      <c r="L846" s="13">
        <v>8</v>
      </c>
      <c r="M846" s="13">
        <v>21</v>
      </c>
      <c r="N846" s="13">
        <v>0</v>
      </c>
      <c r="O846" s="54">
        <f t="shared" si="26"/>
        <v>0.34791666666666665</v>
      </c>
      <c r="P846" s="55">
        <f t="shared" si="27"/>
        <v>0.38958333333333334</v>
      </c>
    </row>
    <row r="847" spans="1:16" x14ac:dyDescent="0.3">
      <c r="A847" s="25">
        <f>YEAR('RETAIL SALES DATA.'!K846)</f>
        <v>2024</v>
      </c>
      <c r="B847" s="13" t="str">
        <v>Dec</v>
      </c>
      <c r="C847" s="42">
        <f>DAY('RETAIL SALES DATA.'!K846)</f>
        <v>13</v>
      </c>
      <c r="D847" s="13">
        <v>2024</v>
      </c>
      <c r="E847" s="13" t="str">
        <v>Dec</v>
      </c>
      <c r="F847" s="13">
        <v>23</v>
      </c>
      <c r="G847" s="10"/>
      <c r="H847" s="13">
        <f>NETWORKDAYS('RETAIL SALES DATA.'!K846,'RETAIL SALES DATA.'!L846)</f>
        <v>7</v>
      </c>
      <c r="I847" s="13">
        <v>10</v>
      </c>
      <c r="J847" s="10"/>
      <c r="K847" s="13">
        <v>16</v>
      </c>
      <c r="L847" s="13">
        <v>10</v>
      </c>
      <c r="M847" s="13">
        <v>55</v>
      </c>
      <c r="N847" s="13">
        <v>0</v>
      </c>
      <c r="O847" s="54">
        <f t="shared" si="26"/>
        <v>0.4548611111111111</v>
      </c>
      <c r="P847" s="55">
        <f t="shared" si="27"/>
        <v>0.70486111111111116</v>
      </c>
    </row>
    <row r="848" spans="1:16" x14ac:dyDescent="0.3">
      <c r="A848" s="25">
        <f>YEAR('RETAIL SALES DATA.'!K847)</f>
        <v>2025</v>
      </c>
      <c r="B848" s="13" t="str">
        <v>Jan</v>
      </c>
      <c r="C848" s="42">
        <f>DAY('RETAIL SALES DATA.'!K847)</f>
        <v>10</v>
      </c>
      <c r="D848" s="13">
        <v>2025</v>
      </c>
      <c r="E848" s="13" t="str">
        <v>Jan</v>
      </c>
      <c r="F848" s="13">
        <v>11</v>
      </c>
      <c r="G848" s="10"/>
      <c r="H848" s="13">
        <f>NETWORKDAYS('RETAIL SALES DATA.'!K847,'RETAIL SALES DATA.'!L847)</f>
        <v>1</v>
      </c>
      <c r="I848" s="13">
        <v>1</v>
      </c>
      <c r="J848" s="10"/>
      <c r="K848" s="13">
        <v>2</v>
      </c>
      <c r="L848" s="13">
        <v>8</v>
      </c>
      <c r="M848" s="13">
        <v>45</v>
      </c>
      <c r="N848" s="13">
        <v>0</v>
      </c>
      <c r="O848" s="54">
        <f t="shared" si="26"/>
        <v>0.36458333333333331</v>
      </c>
      <c r="P848" s="55">
        <f t="shared" si="27"/>
        <v>0.11458333333333333</v>
      </c>
    </row>
    <row r="849" spans="1:16" x14ac:dyDescent="0.3">
      <c r="A849" s="25">
        <f>YEAR('RETAIL SALES DATA.'!K848)</f>
        <v>2025</v>
      </c>
      <c r="B849" s="13" t="str">
        <v>Oct</v>
      </c>
      <c r="C849" s="42">
        <f>DAY('RETAIL SALES DATA.'!K848)</f>
        <v>25</v>
      </c>
      <c r="D849" s="13">
        <v>2025</v>
      </c>
      <c r="E849" s="13" t="str">
        <v>Oct</v>
      </c>
      <c r="F849" s="13">
        <v>30</v>
      </c>
      <c r="G849" s="10"/>
      <c r="H849" s="13">
        <f>NETWORKDAYS('RETAIL SALES DATA.'!K848,'RETAIL SALES DATA.'!L848)</f>
        <v>4</v>
      </c>
      <c r="I849" s="13">
        <v>5</v>
      </c>
      <c r="J849" s="10"/>
      <c r="K849" s="13">
        <v>4</v>
      </c>
      <c r="L849" s="13">
        <v>11</v>
      </c>
      <c r="M849" s="13">
        <v>39</v>
      </c>
      <c r="N849" s="13">
        <v>0</v>
      </c>
      <c r="O849" s="54">
        <f t="shared" si="26"/>
        <v>0.48541666666666666</v>
      </c>
      <c r="P849" s="55">
        <f t="shared" si="27"/>
        <v>0.19375000000000001</v>
      </c>
    </row>
    <row r="850" spans="1:16" x14ac:dyDescent="0.3">
      <c r="A850" s="25">
        <f>YEAR('RETAIL SALES DATA.'!K849)</f>
        <v>2024</v>
      </c>
      <c r="B850" s="13" t="str">
        <v>Dec</v>
      </c>
      <c r="C850" s="42">
        <f>DAY('RETAIL SALES DATA.'!K849)</f>
        <v>27</v>
      </c>
      <c r="D850" s="13">
        <v>2025</v>
      </c>
      <c r="E850" s="13" t="str">
        <v>Jan</v>
      </c>
      <c r="F850" s="13">
        <v>5</v>
      </c>
      <c r="G850" s="10"/>
      <c r="H850" s="13">
        <f>NETWORKDAYS('RETAIL SALES DATA.'!K849,'RETAIL SALES DATA.'!L849)</f>
        <v>6</v>
      </c>
      <c r="I850" s="13">
        <v>9</v>
      </c>
      <c r="J850" s="10"/>
      <c r="K850" s="13">
        <v>16</v>
      </c>
      <c r="L850" s="13">
        <v>10</v>
      </c>
      <c r="M850" s="13">
        <v>8</v>
      </c>
      <c r="N850" s="13">
        <v>0</v>
      </c>
      <c r="O850" s="54">
        <f t="shared" si="26"/>
        <v>0.42222222222222222</v>
      </c>
      <c r="P850" s="55">
        <f t="shared" si="27"/>
        <v>0.67222222222222228</v>
      </c>
    </row>
    <row r="851" spans="1:16" x14ac:dyDescent="0.3">
      <c r="A851" s="25">
        <f>YEAR('RETAIL SALES DATA.'!K850)</f>
        <v>2025</v>
      </c>
      <c r="B851" s="13" t="str">
        <v>Nov</v>
      </c>
      <c r="C851" s="42">
        <f>DAY('RETAIL SALES DATA.'!K850)</f>
        <v>30</v>
      </c>
      <c r="D851" s="13">
        <v>2025</v>
      </c>
      <c r="E851" s="13" t="str">
        <v>Dec</v>
      </c>
      <c r="F851" s="13">
        <v>8</v>
      </c>
      <c r="G851" s="10"/>
      <c r="H851" s="13">
        <f>NETWORKDAYS('RETAIL SALES DATA.'!K850,'RETAIL SALES DATA.'!L850)</f>
        <v>6</v>
      </c>
      <c r="I851" s="13">
        <v>8</v>
      </c>
      <c r="J851" s="10"/>
      <c r="K851" s="13">
        <v>16</v>
      </c>
      <c r="L851" s="13">
        <v>10</v>
      </c>
      <c r="M851" s="13">
        <v>30</v>
      </c>
      <c r="N851" s="13">
        <v>0</v>
      </c>
      <c r="O851" s="54">
        <f t="shared" si="26"/>
        <v>0.4375</v>
      </c>
      <c r="P851" s="55">
        <f t="shared" si="27"/>
        <v>0.6875</v>
      </c>
    </row>
    <row r="852" spans="1:16" x14ac:dyDescent="0.3">
      <c r="A852" s="25">
        <f>YEAR('RETAIL SALES DATA.'!K851)</f>
        <v>2026</v>
      </c>
      <c r="B852" s="13" t="str">
        <v>May</v>
      </c>
      <c r="C852" s="42">
        <f>DAY('RETAIL SALES DATA.'!K851)</f>
        <v>12</v>
      </c>
      <c r="D852" s="13">
        <v>2026</v>
      </c>
      <c r="E852" s="13" t="str">
        <v>May</v>
      </c>
      <c r="F852" s="13">
        <v>20</v>
      </c>
      <c r="G852" s="10"/>
      <c r="H852" s="13">
        <f>NETWORKDAYS('RETAIL SALES DATA.'!K851,'RETAIL SALES DATA.'!L851)</f>
        <v>7</v>
      </c>
      <c r="I852" s="13">
        <v>8</v>
      </c>
      <c r="J852" s="10"/>
      <c r="K852" s="13">
        <v>12</v>
      </c>
      <c r="L852" s="13">
        <v>10</v>
      </c>
      <c r="M852" s="13">
        <v>50</v>
      </c>
      <c r="N852" s="13">
        <v>0</v>
      </c>
      <c r="O852" s="54">
        <f t="shared" si="26"/>
        <v>0.4513888888888889</v>
      </c>
      <c r="P852" s="55">
        <f t="shared" si="27"/>
        <v>0.53472222222222221</v>
      </c>
    </row>
    <row r="853" spans="1:16" x14ac:dyDescent="0.3">
      <c r="A853" s="25">
        <f>YEAR('RETAIL SALES DATA.'!K852)</f>
        <v>2025</v>
      </c>
      <c r="B853" s="13" t="str">
        <v>Feb</v>
      </c>
      <c r="C853" s="42">
        <f>DAY('RETAIL SALES DATA.'!K852)</f>
        <v>25</v>
      </c>
      <c r="D853" s="13">
        <v>2025</v>
      </c>
      <c r="E853" s="13" t="str">
        <v>Mar</v>
      </c>
      <c r="F853" s="13">
        <v>5</v>
      </c>
      <c r="G853" s="10"/>
      <c r="H853" s="13">
        <f>NETWORKDAYS('RETAIL SALES DATA.'!K852,'RETAIL SALES DATA.'!L852)</f>
        <v>7</v>
      </c>
      <c r="I853" s="13">
        <v>8</v>
      </c>
      <c r="J853" s="10"/>
      <c r="K853" s="13">
        <v>2</v>
      </c>
      <c r="L853" s="13">
        <v>10</v>
      </c>
      <c r="M853" s="13">
        <v>29</v>
      </c>
      <c r="N853" s="13">
        <v>0</v>
      </c>
      <c r="O853" s="54">
        <f t="shared" si="26"/>
        <v>0.43680555555555556</v>
      </c>
      <c r="P853" s="55">
        <f t="shared" si="27"/>
        <v>0.10347222222222222</v>
      </c>
    </row>
    <row r="854" spans="1:16" x14ac:dyDescent="0.3">
      <c r="A854" s="25">
        <f>YEAR('RETAIL SALES DATA.'!K853)</f>
        <v>2024</v>
      </c>
      <c r="B854" s="13" t="str">
        <v>Oct</v>
      </c>
      <c r="C854" s="42">
        <f>DAY('RETAIL SALES DATA.'!K853)</f>
        <v>30</v>
      </c>
      <c r="D854" s="13">
        <v>2024</v>
      </c>
      <c r="E854" s="13" t="str">
        <v>Nov</v>
      </c>
      <c r="F854" s="13">
        <v>4</v>
      </c>
      <c r="G854" s="10"/>
      <c r="H854" s="13">
        <f>NETWORKDAYS('RETAIL SALES DATA.'!K853,'RETAIL SALES DATA.'!L853)</f>
        <v>4</v>
      </c>
      <c r="I854" s="13">
        <v>5</v>
      </c>
      <c r="J854" s="10"/>
      <c r="K854" s="13">
        <v>2</v>
      </c>
      <c r="L854" s="13">
        <v>11</v>
      </c>
      <c r="M854" s="13">
        <v>21</v>
      </c>
      <c r="N854" s="13">
        <v>0</v>
      </c>
      <c r="O854" s="54">
        <f t="shared" si="26"/>
        <v>0.47291666666666665</v>
      </c>
      <c r="P854" s="55">
        <f t="shared" si="27"/>
        <v>9.7916666666666666E-2</v>
      </c>
    </row>
    <row r="855" spans="1:16" x14ac:dyDescent="0.3">
      <c r="A855" s="25">
        <f>YEAR('RETAIL SALES DATA.'!K854)</f>
        <v>2024</v>
      </c>
      <c r="B855" s="13" t="str">
        <v>Sep</v>
      </c>
      <c r="C855" s="42">
        <f>DAY('RETAIL SALES DATA.'!K854)</f>
        <v>20</v>
      </c>
      <c r="D855" s="13">
        <v>2024</v>
      </c>
      <c r="E855" s="13" t="str">
        <v>Sep</v>
      </c>
      <c r="F855" s="13">
        <v>21</v>
      </c>
      <c r="G855" s="10"/>
      <c r="H855" s="13">
        <f>NETWORKDAYS('RETAIL SALES DATA.'!K854,'RETAIL SALES DATA.'!L854)</f>
        <v>1</v>
      </c>
      <c r="I855" s="13">
        <v>1</v>
      </c>
      <c r="J855" s="10"/>
      <c r="K855" s="13">
        <v>4</v>
      </c>
      <c r="L855" s="13">
        <v>8</v>
      </c>
      <c r="M855" s="13">
        <v>0</v>
      </c>
      <c r="N855" s="13">
        <v>0</v>
      </c>
      <c r="O855" s="54">
        <f t="shared" si="26"/>
        <v>0.33333333333333331</v>
      </c>
      <c r="P855" s="55">
        <f t="shared" si="27"/>
        <v>0.16666666666666666</v>
      </c>
    </row>
    <row r="856" spans="1:16" x14ac:dyDescent="0.3">
      <c r="A856" s="25">
        <f>YEAR('RETAIL SALES DATA.'!K855)</f>
        <v>2025</v>
      </c>
      <c r="B856" s="13" t="str">
        <v>Jul</v>
      </c>
      <c r="C856" s="42">
        <f>DAY('RETAIL SALES DATA.'!K855)</f>
        <v>24</v>
      </c>
      <c r="D856" s="13">
        <v>2025</v>
      </c>
      <c r="E856" s="13" t="str">
        <v>Jul</v>
      </c>
      <c r="F856" s="13">
        <v>30</v>
      </c>
      <c r="G856" s="10"/>
      <c r="H856" s="13">
        <f>NETWORKDAYS('RETAIL SALES DATA.'!K855,'RETAIL SALES DATA.'!L855)</f>
        <v>5</v>
      </c>
      <c r="I856" s="13">
        <v>6</v>
      </c>
      <c r="J856" s="10"/>
      <c r="K856" s="13">
        <v>19</v>
      </c>
      <c r="L856" s="13">
        <v>11</v>
      </c>
      <c r="M856" s="13">
        <v>7</v>
      </c>
      <c r="N856" s="13">
        <v>0</v>
      </c>
      <c r="O856" s="54">
        <f t="shared" si="26"/>
        <v>0.46319444444444446</v>
      </c>
      <c r="P856" s="55">
        <f t="shared" si="27"/>
        <v>0.79652777777777772</v>
      </c>
    </row>
    <row r="857" spans="1:16" x14ac:dyDescent="0.3">
      <c r="A857" s="25">
        <f>YEAR('RETAIL SALES DATA.'!K856)</f>
        <v>2025</v>
      </c>
      <c r="B857" s="13" t="str">
        <v>Mar</v>
      </c>
      <c r="C857" s="42">
        <f>DAY('RETAIL SALES DATA.'!K856)</f>
        <v>15</v>
      </c>
      <c r="D857" s="13">
        <v>2025</v>
      </c>
      <c r="E857" s="13" t="str">
        <v>Mar</v>
      </c>
      <c r="F857" s="13">
        <v>18</v>
      </c>
      <c r="G857" s="10"/>
      <c r="H857" s="13">
        <f>NETWORKDAYS('RETAIL SALES DATA.'!K856,'RETAIL SALES DATA.'!L856)</f>
        <v>2</v>
      </c>
      <c r="I857" s="13">
        <v>3</v>
      </c>
      <c r="J857" s="10"/>
      <c r="K857" s="13">
        <v>21</v>
      </c>
      <c r="L857" s="13">
        <v>10</v>
      </c>
      <c r="M857" s="13">
        <v>34</v>
      </c>
      <c r="N857" s="13">
        <v>0</v>
      </c>
      <c r="O857" s="54">
        <f t="shared" si="26"/>
        <v>0.44027777777777777</v>
      </c>
      <c r="P857" s="55">
        <f t="shared" si="27"/>
        <v>0.89861111111111114</v>
      </c>
    </row>
    <row r="858" spans="1:16" x14ac:dyDescent="0.3">
      <c r="A858" s="25">
        <f>YEAR('RETAIL SALES DATA.'!K857)</f>
        <v>2026</v>
      </c>
      <c r="B858" s="13" t="str">
        <v>Jan</v>
      </c>
      <c r="C858" s="42">
        <f>DAY('RETAIL SALES DATA.'!K857)</f>
        <v>14</v>
      </c>
      <c r="D858" s="13">
        <v>2026</v>
      </c>
      <c r="E858" s="13" t="str">
        <v>Jan</v>
      </c>
      <c r="F858" s="13">
        <v>24</v>
      </c>
      <c r="G858" s="10"/>
      <c r="H858" s="13">
        <f>NETWORKDAYS('RETAIL SALES DATA.'!K857,'RETAIL SALES DATA.'!L857)</f>
        <v>8</v>
      </c>
      <c r="I858" s="13">
        <v>10</v>
      </c>
      <c r="J858" s="10"/>
      <c r="K858" s="13">
        <v>2</v>
      </c>
      <c r="L858" s="13">
        <v>8</v>
      </c>
      <c r="M858" s="13">
        <v>11</v>
      </c>
      <c r="N858" s="13">
        <v>0</v>
      </c>
      <c r="O858" s="54">
        <f t="shared" si="26"/>
        <v>0.34097222222222223</v>
      </c>
      <c r="P858" s="55">
        <f t="shared" si="27"/>
        <v>9.0972222222222218E-2</v>
      </c>
    </row>
    <row r="859" spans="1:16" x14ac:dyDescent="0.3">
      <c r="A859" s="25">
        <f>YEAR('RETAIL SALES DATA.'!K858)</f>
        <v>2024</v>
      </c>
      <c r="B859" s="13" t="str">
        <v>Aug</v>
      </c>
      <c r="C859" s="42">
        <f>DAY('RETAIL SALES DATA.'!K858)</f>
        <v>21</v>
      </c>
      <c r="D859" s="13">
        <v>2024</v>
      </c>
      <c r="E859" s="13" t="str">
        <v>Aug</v>
      </c>
      <c r="F859" s="13">
        <v>25</v>
      </c>
      <c r="G859" s="10"/>
      <c r="H859" s="13">
        <f>NETWORKDAYS('RETAIL SALES DATA.'!K858,'RETAIL SALES DATA.'!L858)</f>
        <v>3</v>
      </c>
      <c r="I859" s="13">
        <v>4</v>
      </c>
      <c r="J859" s="10"/>
      <c r="K859" s="13">
        <v>9</v>
      </c>
      <c r="L859" s="13">
        <v>9</v>
      </c>
      <c r="M859" s="13">
        <v>52</v>
      </c>
      <c r="N859" s="13">
        <v>0</v>
      </c>
      <c r="O859" s="54">
        <f t="shared" si="26"/>
        <v>0.41111111111111109</v>
      </c>
      <c r="P859" s="55">
        <f t="shared" si="27"/>
        <v>0.41111111111111109</v>
      </c>
    </row>
    <row r="860" spans="1:16" x14ac:dyDescent="0.3">
      <c r="A860" s="25">
        <f>YEAR('RETAIL SALES DATA.'!K859)</f>
        <v>2024</v>
      </c>
      <c r="B860" s="13" t="str">
        <v>Oct</v>
      </c>
      <c r="C860" s="42">
        <f>DAY('RETAIL SALES DATA.'!K859)</f>
        <v>25</v>
      </c>
      <c r="D860" s="13">
        <v>2024</v>
      </c>
      <c r="E860" s="13" t="str">
        <v>Oct</v>
      </c>
      <c r="F860" s="13">
        <v>28</v>
      </c>
      <c r="G860" s="10"/>
      <c r="H860" s="13">
        <f>NETWORKDAYS('RETAIL SALES DATA.'!K859,'RETAIL SALES DATA.'!L859)</f>
        <v>2</v>
      </c>
      <c r="I860" s="13">
        <v>3</v>
      </c>
      <c r="J860" s="10"/>
      <c r="K860" s="13">
        <v>9</v>
      </c>
      <c r="L860" s="13">
        <v>8</v>
      </c>
      <c r="M860" s="13">
        <v>21</v>
      </c>
      <c r="N860" s="13">
        <v>0</v>
      </c>
      <c r="O860" s="54">
        <f t="shared" si="26"/>
        <v>0.34791666666666665</v>
      </c>
      <c r="P860" s="55">
        <f t="shared" si="27"/>
        <v>0.38958333333333334</v>
      </c>
    </row>
    <row r="861" spans="1:16" x14ac:dyDescent="0.3">
      <c r="A861" s="25">
        <f>YEAR('RETAIL SALES DATA.'!K860)</f>
        <v>2026</v>
      </c>
      <c r="B861" s="13" t="str">
        <v>Feb</v>
      </c>
      <c r="C861" s="42">
        <f>DAY('RETAIL SALES DATA.'!K860)</f>
        <v>4</v>
      </c>
      <c r="D861" s="13">
        <v>2026</v>
      </c>
      <c r="E861" s="13" t="str">
        <v>Feb</v>
      </c>
      <c r="F861" s="13">
        <v>6</v>
      </c>
      <c r="G861" s="10"/>
      <c r="H861" s="13">
        <f>NETWORKDAYS('RETAIL SALES DATA.'!K860,'RETAIL SALES DATA.'!L860)</f>
        <v>3</v>
      </c>
      <c r="I861" s="13">
        <v>2</v>
      </c>
      <c r="J861" s="10"/>
      <c r="K861" s="13">
        <v>9</v>
      </c>
      <c r="L861" s="13">
        <v>8</v>
      </c>
      <c r="M861" s="13">
        <v>53</v>
      </c>
      <c r="N861" s="13">
        <v>0</v>
      </c>
      <c r="O861" s="54">
        <f t="shared" si="26"/>
        <v>0.37013888888888891</v>
      </c>
      <c r="P861" s="55">
        <f t="shared" si="27"/>
        <v>0.41180555555555554</v>
      </c>
    </row>
    <row r="862" spans="1:16" x14ac:dyDescent="0.3">
      <c r="A862" s="25">
        <f>YEAR('RETAIL SALES DATA.'!K861)</f>
        <v>2025</v>
      </c>
      <c r="B862" s="13" t="str">
        <v>Oct</v>
      </c>
      <c r="C862" s="42">
        <f>DAY('RETAIL SALES DATA.'!K861)</f>
        <v>3</v>
      </c>
      <c r="D862" s="13">
        <v>2025</v>
      </c>
      <c r="E862" s="13" t="str">
        <v>Oct</v>
      </c>
      <c r="F862" s="13">
        <v>9</v>
      </c>
      <c r="G862" s="10"/>
      <c r="H862" s="13">
        <f>NETWORKDAYS('RETAIL SALES DATA.'!K861,'RETAIL SALES DATA.'!L861)</f>
        <v>5</v>
      </c>
      <c r="I862" s="13">
        <v>6</v>
      </c>
      <c r="J862" s="10"/>
      <c r="K862" s="13">
        <v>21</v>
      </c>
      <c r="L862" s="13">
        <v>11</v>
      </c>
      <c r="M862" s="13">
        <v>23</v>
      </c>
      <c r="N862" s="13">
        <v>0</v>
      </c>
      <c r="O862" s="54">
        <f t="shared" si="26"/>
        <v>0.47430555555555554</v>
      </c>
      <c r="P862" s="55">
        <f t="shared" si="27"/>
        <v>0.89097222222222228</v>
      </c>
    </row>
    <row r="863" spans="1:16" x14ac:dyDescent="0.3">
      <c r="A863" s="25">
        <f>YEAR('RETAIL SALES DATA.'!K862)</f>
        <v>2024</v>
      </c>
      <c r="B863" s="13" t="str">
        <v>Nov</v>
      </c>
      <c r="C863" s="42">
        <f>DAY('RETAIL SALES DATA.'!K862)</f>
        <v>9</v>
      </c>
      <c r="D863" s="13">
        <v>2024</v>
      </c>
      <c r="E863" s="13" t="str">
        <v>Nov</v>
      </c>
      <c r="F863" s="13">
        <v>15</v>
      </c>
      <c r="G863" s="10"/>
      <c r="H863" s="13">
        <f>NETWORKDAYS('RETAIL SALES DATA.'!K862,'RETAIL SALES DATA.'!L862)</f>
        <v>5</v>
      </c>
      <c r="I863" s="13">
        <v>6</v>
      </c>
      <c r="J863" s="10"/>
      <c r="K863" s="13">
        <v>2</v>
      </c>
      <c r="L863" s="13">
        <v>8</v>
      </c>
      <c r="M863" s="13">
        <v>20</v>
      </c>
      <c r="N863" s="13">
        <v>0</v>
      </c>
      <c r="O863" s="54">
        <f t="shared" si="26"/>
        <v>0.34722222222222221</v>
      </c>
      <c r="P863" s="55">
        <f t="shared" si="27"/>
        <v>9.7222222222222224E-2</v>
      </c>
    </row>
    <row r="864" spans="1:16" x14ac:dyDescent="0.3">
      <c r="A864" s="25">
        <f>YEAR('RETAIL SALES DATA.'!K863)</f>
        <v>2025</v>
      </c>
      <c r="B864" s="13" t="str">
        <v>Jan</v>
      </c>
      <c r="C864" s="42">
        <f>DAY('RETAIL SALES DATA.'!K863)</f>
        <v>14</v>
      </c>
      <c r="D864" s="13">
        <v>2025</v>
      </c>
      <c r="E864" s="13" t="str">
        <v>Jan</v>
      </c>
      <c r="F864" s="13">
        <v>19</v>
      </c>
      <c r="G864" s="10"/>
      <c r="H864" s="13">
        <f>NETWORKDAYS('RETAIL SALES DATA.'!K863,'RETAIL SALES DATA.'!L863)</f>
        <v>4</v>
      </c>
      <c r="I864" s="13">
        <v>5</v>
      </c>
      <c r="J864" s="10"/>
      <c r="K864" s="13">
        <v>2</v>
      </c>
      <c r="L864" s="13">
        <v>9</v>
      </c>
      <c r="M864" s="13">
        <v>51</v>
      </c>
      <c r="N864" s="13">
        <v>0</v>
      </c>
      <c r="O864" s="54">
        <f t="shared" si="26"/>
        <v>0.41041666666666665</v>
      </c>
      <c r="P864" s="55">
        <f t="shared" si="27"/>
        <v>0.11874999999999999</v>
      </c>
    </row>
    <row r="865" spans="1:16" x14ac:dyDescent="0.3">
      <c r="A865" s="25">
        <f>YEAR('RETAIL SALES DATA.'!K864)</f>
        <v>2026</v>
      </c>
      <c r="B865" s="13" t="str">
        <v>Mar</v>
      </c>
      <c r="C865" s="42">
        <f>DAY('RETAIL SALES DATA.'!K864)</f>
        <v>16</v>
      </c>
      <c r="D865" s="13">
        <v>2026</v>
      </c>
      <c r="E865" s="13" t="str">
        <v>Mar</v>
      </c>
      <c r="F865" s="13">
        <v>25</v>
      </c>
      <c r="G865" s="10"/>
      <c r="H865" s="13">
        <f>NETWORKDAYS('RETAIL SALES DATA.'!K864,'RETAIL SALES DATA.'!L864)</f>
        <v>8</v>
      </c>
      <c r="I865" s="13">
        <v>9</v>
      </c>
      <c r="J865" s="10"/>
      <c r="K865" s="13">
        <v>19</v>
      </c>
      <c r="L865" s="13">
        <v>9</v>
      </c>
      <c r="M865" s="13">
        <v>16</v>
      </c>
      <c r="N865" s="13">
        <v>0</v>
      </c>
      <c r="O865" s="54">
        <f t="shared" si="26"/>
        <v>0.38611111111111113</v>
      </c>
      <c r="P865" s="55">
        <f t="shared" si="27"/>
        <v>0.80277777777777781</v>
      </c>
    </row>
    <row r="866" spans="1:16" x14ac:dyDescent="0.3">
      <c r="A866" s="25">
        <f>YEAR('RETAIL SALES DATA.'!K865)</f>
        <v>2025</v>
      </c>
      <c r="B866" s="13" t="str">
        <v>Jun</v>
      </c>
      <c r="C866" s="42">
        <f>DAY('RETAIL SALES DATA.'!K865)</f>
        <v>17</v>
      </c>
      <c r="D866" s="13">
        <v>2025</v>
      </c>
      <c r="E866" s="13" t="str">
        <v>Jun</v>
      </c>
      <c r="F866" s="13">
        <v>25</v>
      </c>
      <c r="G866" s="10"/>
      <c r="H866" s="13">
        <f>NETWORKDAYS('RETAIL SALES DATA.'!K865,'RETAIL SALES DATA.'!L865)</f>
        <v>7</v>
      </c>
      <c r="I866" s="13">
        <v>8</v>
      </c>
      <c r="J866" s="10"/>
      <c r="K866" s="13">
        <v>19</v>
      </c>
      <c r="L866" s="13">
        <v>11</v>
      </c>
      <c r="M866" s="13">
        <v>4</v>
      </c>
      <c r="N866" s="13">
        <v>0</v>
      </c>
      <c r="O866" s="54">
        <f t="shared" si="26"/>
        <v>0.46111111111111114</v>
      </c>
      <c r="P866" s="55">
        <f t="shared" si="27"/>
        <v>0.7944444444444444</v>
      </c>
    </row>
    <row r="867" spans="1:16" x14ac:dyDescent="0.3">
      <c r="A867" s="25">
        <f>YEAR('RETAIL SALES DATA.'!K866)</f>
        <v>2024</v>
      </c>
      <c r="B867" s="13" t="str">
        <v>Nov</v>
      </c>
      <c r="C867" s="42">
        <f>DAY('RETAIL SALES DATA.'!K866)</f>
        <v>15</v>
      </c>
      <c r="D867" s="13">
        <v>2024</v>
      </c>
      <c r="E867" s="13" t="str">
        <v>Nov</v>
      </c>
      <c r="F867" s="13">
        <v>20</v>
      </c>
      <c r="G867" s="10"/>
      <c r="H867" s="13">
        <f>NETWORKDAYS('RETAIL SALES DATA.'!K866,'RETAIL SALES DATA.'!L866)</f>
        <v>4</v>
      </c>
      <c r="I867" s="13">
        <v>5</v>
      </c>
      <c r="J867" s="10"/>
      <c r="K867" s="13">
        <v>12</v>
      </c>
      <c r="L867" s="13">
        <v>9</v>
      </c>
      <c r="M867" s="13">
        <v>53</v>
      </c>
      <c r="N867" s="13">
        <v>0</v>
      </c>
      <c r="O867" s="54">
        <f t="shared" si="26"/>
        <v>0.41180555555555554</v>
      </c>
      <c r="P867" s="55">
        <f t="shared" si="27"/>
        <v>0.53680555555555554</v>
      </c>
    </row>
    <row r="868" spans="1:16" x14ac:dyDescent="0.3">
      <c r="A868" s="25">
        <f>YEAR('RETAIL SALES DATA.'!K867)</f>
        <v>2024</v>
      </c>
      <c r="B868" s="13" t="str">
        <v>Jun</v>
      </c>
      <c r="C868" s="42">
        <f>DAY('RETAIL SALES DATA.'!K867)</f>
        <v>15</v>
      </c>
      <c r="D868" s="13">
        <v>2024</v>
      </c>
      <c r="E868" s="13" t="str">
        <v>Jun</v>
      </c>
      <c r="F868" s="13">
        <v>21</v>
      </c>
      <c r="G868" s="10"/>
      <c r="H868" s="13">
        <f>NETWORKDAYS('RETAIL SALES DATA.'!K867,'RETAIL SALES DATA.'!L867)</f>
        <v>5</v>
      </c>
      <c r="I868" s="13">
        <v>6</v>
      </c>
      <c r="J868" s="10"/>
      <c r="K868" s="13">
        <v>4</v>
      </c>
      <c r="L868" s="13">
        <v>10</v>
      </c>
      <c r="M868" s="13">
        <v>32</v>
      </c>
      <c r="N868" s="13">
        <v>0</v>
      </c>
      <c r="O868" s="54">
        <f t="shared" si="26"/>
        <v>0.43888888888888888</v>
      </c>
      <c r="P868" s="55">
        <f t="shared" si="27"/>
        <v>0.18888888888888888</v>
      </c>
    </row>
    <row r="869" spans="1:16" x14ac:dyDescent="0.3">
      <c r="A869" s="25">
        <f>YEAR('RETAIL SALES DATA.'!K868)</f>
        <v>2025</v>
      </c>
      <c r="B869" s="13" t="str">
        <v>Dec</v>
      </c>
      <c r="C869" s="42">
        <f>DAY('RETAIL SALES DATA.'!K868)</f>
        <v>28</v>
      </c>
      <c r="D869" s="13">
        <v>2026</v>
      </c>
      <c r="E869" s="13" t="str">
        <v>Jan</v>
      </c>
      <c r="F869" s="13">
        <v>7</v>
      </c>
      <c r="G869" s="10"/>
      <c r="H869" s="13">
        <f>NETWORKDAYS('RETAIL SALES DATA.'!K868,'RETAIL SALES DATA.'!L868)</f>
        <v>8</v>
      </c>
      <c r="I869" s="13">
        <v>10</v>
      </c>
      <c r="J869" s="10"/>
      <c r="K869" s="13">
        <v>14</v>
      </c>
      <c r="L869" s="13">
        <v>11</v>
      </c>
      <c r="M869" s="13">
        <v>14</v>
      </c>
      <c r="N869" s="13">
        <v>0</v>
      </c>
      <c r="O869" s="54">
        <f t="shared" si="26"/>
        <v>0.46805555555555556</v>
      </c>
      <c r="P869" s="55">
        <f t="shared" si="27"/>
        <v>0.59305555555555556</v>
      </c>
    </row>
    <row r="870" spans="1:16" x14ac:dyDescent="0.3">
      <c r="A870" s="25">
        <f>YEAR('RETAIL SALES DATA.'!K869)</f>
        <v>2025</v>
      </c>
      <c r="B870" s="13" t="str">
        <v>Aug</v>
      </c>
      <c r="C870" s="42">
        <f>DAY('RETAIL SALES DATA.'!K869)</f>
        <v>15</v>
      </c>
      <c r="D870" s="13">
        <v>2025</v>
      </c>
      <c r="E870" s="13" t="str">
        <v>Aug</v>
      </c>
      <c r="F870" s="13">
        <v>16</v>
      </c>
      <c r="G870" s="10"/>
      <c r="H870" s="13">
        <f>NETWORKDAYS('RETAIL SALES DATA.'!K869,'RETAIL SALES DATA.'!L869)</f>
        <v>1</v>
      </c>
      <c r="I870" s="13">
        <v>1</v>
      </c>
      <c r="J870" s="10"/>
      <c r="K870" s="13">
        <v>16</v>
      </c>
      <c r="L870" s="13">
        <v>10</v>
      </c>
      <c r="M870" s="13">
        <v>22</v>
      </c>
      <c r="N870" s="13">
        <v>0</v>
      </c>
      <c r="O870" s="54">
        <f t="shared" si="26"/>
        <v>0.43194444444444446</v>
      </c>
      <c r="P870" s="55">
        <f t="shared" si="27"/>
        <v>0.68194444444444446</v>
      </c>
    </row>
    <row r="871" spans="1:16" x14ac:dyDescent="0.3">
      <c r="A871" s="25">
        <f>YEAR('RETAIL SALES DATA.'!K870)</f>
        <v>2026</v>
      </c>
      <c r="B871" s="13" t="str">
        <v>May</v>
      </c>
      <c r="C871" s="42">
        <f>DAY('RETAIL SALES DATA.'!K870)</f>
        <v>5</v>
      </c>
      <c r="D871" s="13">
        <v>2026</v>
      </c>
      <c r="E871" s="13" t="str">
        <v>May</v>
      </c>
      <c r="F871" s="13">
        <v>6</v>
      </c>
      <c r="G871" s="10"/>
      <c r="H871" s="13">
        <f>NETWORKDAYS('RETAIL SALES DATA.'!K870,'RETAIL SALES DATA.'!L870)</f>
        <v>2</v>
      </c>
      <c r="I871" s="13">
        <v>1</v>
      </c>
      <c r="J871" s="10"/>
      <c r="K871" s="13">
        <v>19</v>
      </c>
      <c r="L871" s="13">
        <v>8</v>
      </c>
      <c r="M871" s="13">
        <v>25</v>
      </c>
      <c r="N871" s="13">
        <v>0</v>
      </c>
      <c r="O871" s="54">
        <f t="shared" si="26"/>
        <v>0.35069444444444442</v>
      </c>
      <c r="P871" s="55">
        <f t="shared" si="27"/>
        <v>0.80902777777777779</v>
      </c>
    </row>
    <row r="872" spans="1:16" x14ac:dyDescent="0.3">
      <c r="A872" s="25">
        <f>YEAR('RETAIL SALES DATA.'!K871)</f>
        <v>2025</v>
      </c>
      <c r="B872" s="13" t="str">
        <v>Jan</v>
      </c>
      <c r="C872" s="42">
        <f>DAY('RETAIL SALES DATA.'!K871)</f>
        <v>13</v>
      </c>
      <c r="D872" s="13">
        <v>2025</v>
      </c>
      <c r="E872" s="13" t="str">
        <v>Jan</v>
      </c>
      <c r="F872" s="13">
        <v>21</v>
      </c>
      <c r="G872" s="10"/>
      <c r="H872" s="13">
        <f>NETWORKDAYS('RETAIL SALES DATA.'!K871,'RETAIL SALES DATA.'!L871)</f>
        <v>7</v>
      </c>
      <c r="I872" s="13">
        <v>8</v>
      </c>
      <c r="J872" s="10"/>
      <c r="K872" s="13">
        <v>2</v>
      </c>
      <c r="L872" s="13">
        <v>9</v>
      </c>
      <c r="M872" s="13">
        <v>16</v>
      </c>
      <c r="N872" s="13">
        <v>0</v>
      </c>
      <c r="O872" s="54">
        <f t="shared" si="26"/>
        <v>0.38611111111111113</v>
      </c>
      <c r="P872" s="55">
        <f t="shared" si="27"/>
        <v>9.4444444444444442E-2</v>
      </c>
    </row>
    <row r="873" spans="1:16" x14ac:dyDescent="0.3">
      <c r="A873" s="25">
        <f>YEAR('RETAIL SALES DATA.'!K872)</f>
        <v>2025</v>
      </c>
      <c r="B873" s="13" t="str">
        <v>Jul</v>
      </c>
      <c r="C873" s="42">
        <f>DAY('RETAIL SALES DATA.'!K872)</f>
        <v>25</v>
      </c>
      <c r="D873" s="13">
        <v>2025</v>
      </c>
      <c r="E873" s="13" t="str">
        <v>Aug</v>
      </c>
      <c r="F873" s="13">
        <v>3</v>
      </c>
      <c r="G873" s="10"/>
      <c r="H873" s="13">
        <f>NETWORKDAYS('RETAIL SALES DATA.'!K872,'RETAIL SALES DATA.'!L872)</f>
        <v>6</v>
      </c>
      <c r="I873" s="13">
        <v>9</v>
      </c>
      <c r="J873" s="10"/>
      <c r="K873" s="13">
        <v>0</v>
      </c>
      <c r="L873" s="13">
        <v>10</v>
      </c>
      <c r="M873" s="13">
        <v>4</v>
      </c>
      <c r="N873" s="13">
        <v>0</v>
      </c>
      <c r="O873" s="54">
        <f t="shared" si="26"/>
        <v>0.41944444444444445</v>
      </c>
      <c r="P873" s="55">
        <f t="shared" si="27"/>
        <v>2.7777777777777779E-3</v>
      </c>
    </row>
    <row r="874" spans="1:16" x14ac:dyDescent="0.3">
      <c r="A874" s="25">
        <f>YEAR('RETAIL SALES DATA.'!K873)</f>
        <v>2025</v>
      </c>
      <c r="B874" s="13" t="str">
        <v>Feb</v>
      </c>
      <c r="C874" s="42">
        <f>DAY('RETAIL SALES DATA.'!K873)</f>
        <v>8</v>
      </c>
      <c r="D874" s="13">
        <v>2025</v>
      </c>
      <c r="E874" s="13" t="str">
        <v>Feb</v>
      </c>
      <c r="F874" s="13">
        <v>16</v>
      </c>
      <c r="G874" s="10"/>
      <c r="H874" s="13">
        <f>NETWORKDAYS('RETAIL SALES DATA.'!K873,'RETAIL SALES DATA.'!L873)</f>
        <v>5</v>
      </c>
      <c r="I874" s="13">
        <v>8</v>
      </c>
      <c r="J874" s="10"/>
      <c r="K874" s="13">
        <v>16</v>
      </c>
      <c r="L874" s="13">
        <v>9</v>
      </c>
      <c r="M874" s="13">
        <v>35</v>
      </c>
      <c r="N874" s="13">
        <v>0</v>
      </c>
      <c r="O874" s="54">
        <f t="shared" si="26"/>
        <v>0.39930555555555558</v>
      </c>
      <c r="P874" s="55">
        <f t="shared" si="27"/>
        <v>0.69097222222222221</v>
      </c>
    </row>
    <row r="875" spans="1:16" x14ac:dyDescent="0.3">
      <c r="A875" s="25">
        <f>YEAR('RETAIL SALES DATA.'!K874)</f>
        <v>2024</v>
      </c>
      <c r="B875" s="13" t="str">
        <v>Jul</v>
      </c>
      <c r="C875" s="42">
        <f>DAY('RETAIL SALES DATA.'!K874)</f>
        <v>11</v>
      </c>
      <c r="D875" s="13">
        <v>2024</v>
      </c>
      <c r="E875" s="13" t="str">
        <v>Jul</v>
      </c>
      <c r="F875" s="13">
        <v>16</v>
      </c>
      <c r="G875" s="10"/>
      <c r="H875" s="13">
        <f>NETWORKDAYS('RETAIL SALES DATA.'!K874,'RETAIL SALES DATA.'!L874)</f>
        <v>4</v>
      </c>
      <c r="I875" s="13">
        <v>5</v>
      </c>
      <c r="J875" s="10"/>
      <c r="K875" s="13">
        <v>0</v>
      </c>
      <c r="L875" s="13">
        <v>8</v>
      </c>
      <c r="M875" s="13">
        <v>49</v>
      </c>
      <c r="N875" s="13">
        <v>0</v>
      </c>
      <c r="O875" s="54">
        <f t="shared" si="26"/>
        <v>0.36736111111111114</v>
      </c>
      <c r="P875" s="55">
        <f t="shared" si="27"/>
        <v>3.4027777777777775E-2</v>
      </c>
    </row>
    <row r="876" spans="1:16" x14ac:dyDescent="0.3">
      <c r="A876" s="25">
        <f>YEAR('RETAIL SALES DATA.'!K875)</f>
        <v>2025</v>
      </c>
      <c r="B876" s="13" t="str">
        <v>Apr</v>
      </c>
      <c r="C876" s="42">
        <f>DAY('RETAIL SALES DATA.'!K875)</f>
        <v>28</v>
      </c>
      <c r="D876" s="13">
        <v>2025</v>
      </c>
      <c r="E876" s="13" t="str">
        <v>May</v>
      </c>
      <c r="F876" s="13">
        <v>2</v>
      </c>
      <c r="G876" s="10"/>
      <c r="H876" s="13">
        <f>NETWORKDAYS('RETAIL SALES DATA.'!K875,'RETAIL SALES DATA.'!L875)</f>
        <v>5</v>
      </c>
      <c r="I876" s="13">
        <v>4</v>
      </c>
      <c r="J876" s="10"/>
      <c r="K876" s="13">
        <v>7</v>
      </c>
      <c r="L876" s="13">
        <v>9</v>
      </c>
      <c r="M876" s="13">
        <v>7</v>
      </c>
      <c r="N876" s="13">
        <v>0</v>
      </c>
      <c r="O876" s="54">
        <f t="shared" si="26"/>
        <v>0.37986111111111109</v>
      </c>
      <c r="P876" s="55">
        <f t="shared" si="27"/>
        <v>0.29652777777777778</v>
      </c>
    </row>
    <row r="877" spans="1:16" x14ac:dyDescent="0.3">
      <c r="A877" s="25">
        <f>YEAR('RETAIL SALES DATA.'!K876)</f>
        <v>2025</v>
      </c>
      <c r="B877" s="13" t="str">
        <v>Nov</v>
      </c>
      <c r="C877" s="42">
        <f>DAY('RETAIL SALES DATA.'!K876)</f>
        <v>22</v>
      </c>
      <c r="D877" s="13">
        <v>2025</v>
      </c>
      <c r="E877" s="13" t="str">
        <v>Nov</v>
      </c>
      <c r="F877" s="13">
        <v>26</v>
      </c>
      <c r="G877" s="10"/>
      <c r="H877" s="13">
        <f>NETWORKDAYS('RETAIL SALES DATA.'!K876,'RETAIL SALES DATA.'!L876)</f>
        <v>3</v>
      </c>
      <c r="I877" s="13">
        <v>4</v>
      </c>
      <c r="J877" s="10"/>
      <c r="K877" s="13">
        <v>2</v>
      </c>
      <c r="L877" s="13">
        <v>11</v>
      </c>
      <c r="M877" s="13">
        <v>31</v>
      </c>
      <c r="N877" s="13">
        <v>0</v>
      </c>
      <c r="O877" s="54">
        <f t="shared" si="26"/>
        <v>0.47986111111111113</v>
      </c>
      <c r="P877" s="55">
        <f t="shared" si="27"/>
        <v>0.10486111111111111</v>
      </c>
    </row>
    <row r="878" spans="1:16" x14ac:dyDescent="0.3">
      <c r="A878" s="25">
        <f>YEAR('RETAIL SALES DATA.'!K877)</f>
        <v>2024</v>
      </c>
      <c r="B878" s="13" t="str">
        <v>Aug</v>
      </c>
      <c r="C878" s="42">
        <f>DAY('RETAIL SALES DATA.'!K877)</f>
        <v>3</v>
      </c>
      <c r="D878" s="13">
        <v>2024</v>
      </c>
      <c r="E878" s="13" t="str">
        <v>Aug</v>
      </c>
      <c r="F878" s="13">
        <v>7</v>
      </c>
      <c r="G878" s="10"/>
      <c r="H878" s="13">
        <f>NETWORKDAYS('RETAIL SALES DATA.'!K877,'RETAIL SALES DATA.'!L877)</f>
        <v>3</v>
      </c>
      <c r="I878" s="13">
        <v>4</v>
      </c>
      <c r="J878" s="10"/>
      <c r="K878" s="13">
        <v>21</v>
      </c>
      <c r="L878" s="13">
        <v>11</v>
      </c>
      <c r="M878" s="13">
        <v>59</v>
      </c>
      <c r="N878" s="13">
        <v>0</v>
      </c>
      <c r="O878" s="54">
        <f t="shared" si="26"/>
        <v>0.49930555555555556</v>
      </c>
      <c r="P878" s="55">
        <f t="shared" si="27"/>
        <v>0.91597222222222219</v>
      </c>
    </row>
    <row r="879" spans="1:16" x14ac:dyDescent="0.3">
      <c r="A879" s="25">
        <f>YEAR('RETAIL SALES DATA.'!K878)</f>
        <v>2024</v>
      </c>
      <c r="B879" s="13" t="str">
        <v>Jun</v>
      </c>
      <c r="C879" s="42">
        <f>DAY('RETAIL SALES DATA.'!K878)</f>
        <v>1</v>
      </c>
      <c r="D879" s="13">
        <v>2024</v>
      </c>
      <c r="E879" s="13" t="str">
        <v>Jun</v>
      </c>
      <c r="F879" s="13">
        <v>6</v>
      </c>
      <c r="G879" s="10"/>
      <c r="H879" s="13">
        <f>NETWORKDAYS('RETAIL SALES DATA.'!K878,'RETAIL SALES DATA.'!L878)</f>
        <v>4</v>
      </c>
      <c r="I879" s="13">
        <v>5</v>
      </c>
      <c r="J879" s="10"/>
      <c r="K879" s="13">
        <v>21</v>
      </c>
      <c r="L879" s="13">
        <v>8</v>
      </c>
      <c r="M879" s="13">
        <v>57</v>
      </c>
      <c r="N879" s="13">
        <v>0</v>
      </c>
      <c r="O879" s="54">
        <f t="shared" si="26"/>
        <v>0.37291666666666667</v>
      </c>
      <c r="P879" s="55">
        <f t="shared" si="27"/>
        <v>0.9145833333333333</v>
      </c>
    </row>
    <row r="880" spans="1:16" x14ac:dyDescent="0.3">
      <c r="A880" s="25">
        <f>YEAR('RETAIL SALES DATA.'!K879)</f>
        <v>2025</v>
      </c>
      <c r="B880" s="13" t="str">
        <v>Mar</v>
      </c>
      <c r="C880" s="42">
        <f>DAY('RETAIL SALES DATA.'!K879)</f>
        <v>13</v>
      </c>
      <c r="D880" s="13">
        <v>2025</v>
      </c>
      <c r="E880" s="13" t="str">
        <v>Mar</v>
      </c>
      <c r="F880" s="13">
        <v>18</v>
      </c>
      <c r="G880" s="10"/>
      <c r="H880" s="13">
        <f>NETWORKDAYS('RETAIL SALES DATA.'!K879,'RETAIL SALES DATA.'!L879)</f>
        <v>4</v>
      </c>
      <c r="I880" s="13">
        <v>5</v>
      </c>
      <c r="J880" s="10"/>
      <c r="K880" s="13">
        <v>2</v>
      </c>
      <c r="L880" s="13">
        <v>9</v>
      </c>
      <c r="M880" s="13">
        <v>25</v>
      </c>
      <c r="N880" s="13">
        <v>0</v>
      </c>
      <c r="O880" s="54">
        <f t="shared" si="26"/>
        <v>0.3923611111111111</v>
      </c>
      <c r="P880" s="55">
        <f t="shared" si="27"/>
        <v>0.10069444444444445</v>
      </c>
    </row>
    <row r="881" spans="1:16" x14ac:dyDescent="0.3">
      <c r="A881" s="25">
        <f>YEAR('RETAIL SALES DATA.'!K880)</f>
        <v>2025</v>
      </c>
      <c r="B881" s="13" t="str">
        <v>Dec</v>
      </c>
      <c r="C881" s="42">
        <f>DAY('RETAIL SALES DATA.'!K880)</f>
        <v>10</v>
      </c>
      <c r="D881" s="13">
        <v>2025</v>
      </c>
      <c r="E881" s="13" t="str">
        <v>Dec</v>
      </c>
      <c r="F881" s="13">
        <v>15</v>
      </c>
      <c r="G881" s="10"/>
      <c r="H881" s="13">
        <f>NETWORKDAYS('RETAIL SALES DATA.'!K880,'RETAIL SALES DATA.'!L880)</f>
        <v>4</v>
      </c>
      <c r="I881" s="13">
        <v>5</v>
      </c>
      <c r="J881" s="10"/>
      <c r="K881" s="13">
        <v>19</v>
      </c>
      <c r="L881" s="13">
        <v>9</v>
      </c>
      <c r="M881" s="13">
        <v>19</v>
      </c>
      <c r="N881" s="13">
        <v>0</v>
      </c>
      <c r="O881" s="54">
        <f t="shared" si="26"/>
        <v>0.38819444444444445</v>
      </c>
      <c r="P881" s="55">
        <f t="shared" si="27"/>
        <v>0.80486111111111114</v>
      </c>
    </row>
    <row r="882" spans="1:16" x14ac:dyDescent="0.3">
      <c r="A882" s="25">
        <f>YEAR('RETAIL SALES DATA.'!K881)</f>
        <v>2026</v>
      </c>
      <c r="B882" s="13" t="str">
        <v>Jan</v>
      </c>
      <c r="C882" s="42">
        <f>DAY('RETAIL SALES DATA.'!K881)</f>
        <v>11</v>
      </c>
      <c r="D882" s="13">
        <v>2026</v>
      </c>
      <c r="E882" s="13" t="str">
        <v>Jan</v>
      </c>
      <c r="F882" s="13">
        <v>21</v>
      </c>
      <c r="G882" s="10"/>
      <c r="H882" s="13">
        <f>NETWORKDAYS('RETAIL SALES DATA.'!K881,'RETAIL SALES DATA.'!L881)</f>
        <v>8</v>
      </c>
      <c r="I882" s="13">
        <v>10</v>
      </c>
      <c r="J882" s="10"/>
      <c r="K882" s="13">
        <v>12</v>
      </c>
      <c r="L882" s="13">
        <v>10</v>
      </c>
      <c r="M882" s="13">
        <v>15</v>
      </c>
      <c r="N882" s="13">
        <v>0</v>
      </c>
      <c r="O882" s="54">
        <f t="shared" si="26"/>
        <v>0.42708333333333331</v>
      </c>
      <c r="P882" s="55">
        <f t="shared" si="27"/>
        <v>0.51041666666666663</v>
      </c>
    </row>
    <row r="883" spans="1:16" x14ac:dyDescent="0.3">
      <c r="A883" s="25">
        <f>YEAR('RETAIL SALES DATA.'!K882)</f>
        <v>2024</v>
      </c>
      <c r="B883" s="13" t="str">
        <v>Nov</v>
      </c>
      <c r="C883" s="42">
        <f>DAY('RETAIL SALES DATA.'!K882)</f>
        <v>17</v>
      </c>
      <c r="D883" s="13">
        <v>2024</v>
      </c>
      <c r="E883" s="13" t="str">
        <v>Nov</v>
      </c>
      <c r="F883" s="13">
        <v>20</v>
      </c>
      <c r="G883" s="10"/>
      <c r="H883" s="13">
        <f>NETWORKDAYS('RETAIL SALES DATA.'!K882,'RETAIL SALES DATA.'!L882)</f>
        <v>3</v>
      </c>
      <c r="I883" s="13">
        <v>3</v>
      </c>
      <c r="J883" s="10"/>
      <c r="K883" s="13">
        <v>0</v>
      </c>
      <c r="L883" s="13">
        <v>8</v>
      </c>
      <c r="M883" s="13">
        <v>29</v>
      </c>
      <c r="N883" s="13">
        <v>0</v>
      </c>
      <c r="O883" s="54">
        <f t="shared" si="26"/>
        <v>0.35347222222222224</v>
      </c>
      <c r="P883" s="55">
        <f t="shared" si="27"/>
        <v>2.013888888888889E-2</v>
      </c>
    </row>
    <row r="884" spans="1:16" x14ac:dyDescent="0.3">
      <c r="A884" s="25">
        <f>YEAR('RETAIL SALES DATA.'!K883)</f>
        <v>2025</v>
      </c>
      <c r="B884" s="13" t="str">
        <v>Aug</v>
      </c>
      <c r="C884" s="42">
        <f>DAY('RETAIL SALES DATA.'!K883)</f>
        <v>23</v>
      </c>
      <c r="D884" s="13">
        <v>2025</v>
      </c>
      <c r="E884" s="13" t="str">
        <v>Aug</v>
      </c>
      <c r="F884" s="13">
        <v>25</v>
      </c>
      <c r="G884" s="10"/>
      <c r="H884" s="13">
        <f>NETWORKDAYS('RETAIL SALES DATA.'!K883,'RETAIL SALES DATA.'!L883)</f>
        <v>1</v>
      </c>
      <c r="I884" s="13">
        <v>2</v>
      </c>
      <c r="J884" s="10"/>
      <c r="K884" s="13">
        <v>16</v>
      </c>
      <c r="L884" s="13">
        <v>9</v>
      </c>
      <c r="M884" s="13">
        <v>20</v>
      </c>
      <c r="N884" s="13">
        <v>0</v>
      </c>
      <c r="O884" s="54">
        <f t="shared" si="26"/>
        <v>0.3888888888888889</v>
      </c>
      <c r="P884" s="55">
        <f t="shared" si="27"/>
        <v>0.68055555555555558</v>
      </c>
    </row>
    <row r="885" spans="1:16" x14ac:dyDescent="0.3">
      <c r="A885" s="25">
        <f>YEAR('RETAIL SALES DATA.'!K884)</f>
        <v>2025</v>
      </c>
      <c r="B885" s="13" t="str">
        <v>Apr</v>
      </c>
      <c r="C885" s="42">
        <f>DAY('RETAIL SALES DATA.'!K884)</f>
        <v>27</v>
      </c>
      <c r="D885" s="13">
        <v>2025</v>
      </c>
      <c r="E885" s="13" t="str">
        <v>Apr</v>
      </c>
      <c r="F885" s="13">
        <v>30</v>
      </c>
      <c r="G885" s="10"/>
      <c r="H885" s="13">
        <f>NETWORKDAYS('RETAIL SALES DATA.'!K884,'RETAIL SALES DATA.'!L884)</f>
        <v>3</v>
      </c>
      <c r="I885" s="13">
        <v>3</v>
      </c>
      <c r="J885" s="10"/>
      <c r="K885" s="13">
        <v>16</v>
      </c>
      <c r="L885" s="13">
        <v>10</v>
      </c>
      <c r="M885" s="13">
        <v>4</v>
      </c>
      <c r="N885" s="13">
        <v>0</v>
      </c>
      <c r="O885" s="54">
        <f t="shared" si="26"/>
        <v>0.41944444444444445</v>
      </c>
      <c r="P885" s="55">
        <f t="shared" si="27"/>
        <v>0.6694444444444444</v>
      </c>
    </row>
    <row r="886" spans="1:16" x14ac:dyDescent="0.3">
      <c r="A886" s="25">
        <f>YEAR('RETAIL SALES DATA.'!K885)</f>
        <v>2024</v>
      </c>
      <c r="B886" s="13" t="str">
        <v>Oct</v>
      </c>
      <c r="C886" s="42">
        <f>DAY('RETAIL SALES DATA.'!K885)</f>
        <v>12</v>
      </c>
      <c r="D886" s="13">
        <v>2024</v>
      </c>
      <c r="E886" s="13" t="str">
        <v>Oct</v>
      </c>
      <c r="F886" s="13">
        <v>13</v>
      </c>
      <c r="G886" s="10"/>
      <c r="H886" s="13">
        <f>NETWORKDAYS('RETAIL SALES DATA.'!K885,'RETAIL SALES DATA.'!L885)</f>
        <v>0</v>
      </c>
      <c r="I886" s="13">
        <v>1</v>
      </c>
      <c r="J886" s="10"/>
      <c r="K886" s="13">
        <v>0</v>
      </c>
      <c r="L886" s="13">
        <v>8</v>
      </c>
      <c r="M886" s="13">
        <v>8</v>
      </c>
      <c r="N886" s="13">
        <v>0</v>
      </c>
      <c r="O886" s="54">
        <f t="shared" si="26"/>
        <v>0.33888888888888891</v>
      </c>
      <c r="P886" s="55">
        <f t="shared" si="27"/>
        <v>5.5555555555555558E-3</v>
      </c>
    </row>
    <row r="887" spans="1:16" x14ac:dyDescent="0.3">
      <c r="A887" s="25">
        <f>YEAR('RETAIL SALES DATA.'!K886)</f>
        <v>2026</v>
      </c>
      <c r="B887" s="13" t="str">
        <v>Feb</v>
      </c>
      <c r="C887" s="42">
        <f>DAY('RETAIL SALES DATA.'!K886)</f>
        <v>16</v>
      </c>
      <c r="D887" s="13">
        <v>2026</v>
      </c>
      <c r="E887" s="13" t="str">
        <v>Feb</v>
      </c>
      <c r="F887" s="13">
        <v>22</v>
      </c>
      <c r="G887" s="10"/>
      <c r="H887" s="13">
        <f>NETWORKDAYS('RETAIL SALES DATA.'!K886,'RETAIL SALES DATA.'!L886)</f>
        <v>5</v>
      </c>
      <c r="I887" s="13">
        <v>6</v>
      </c>
      <c r="J887" s="10"/>
      <c r="K887" s="13">
        <v>7</v>
      </c>
      <c r="L887" s="13">
        <v>10</v>
      </c>
      <c r="M887" s="13">
        <v>9</v>
      </c>
      <c r="N887" s="13">
        <v>0</v>
      </c>
      <c r="O887" s="54">
        <f t="shared" si="26"/>
        <v>0.42291666666666666</v>
      </c>
      <c r="P887" s="55">
        <f t="shared" si="27"/>
        <v>0.29791666666666666</v>
      </c>
    </row>
    <row r="888" spans="1:16" x14ac:dyDescent="0.3">
      <c r="A888" s="25">
        <f>YEAR('RETAIL SALES DATA.'!K887)</f>
        <v>2025</v>
      </c>
      <c r="B888" s="13" t="str">
        <v>Feb</v>
      </c>
      <c r="C888" s="42">
        <f>DAY('RETAIL SALES DATA.'!K887)</f>
        <v>21</v>
      </c>
      <c r="D888" s="13">
        <v>2025</v>
      </c>
      <c r="E888" s="13" t="str">
        <v>Feb</v>
      </c>
      <c r="F888" s="13">
        <v>24</v>
      </c>
      <c r="G888" s="10"/>
      <c r="H888" s="13">
        <f>NETWORKDAYS('RETAIL SALES DATA.'!K887,'RETAIL SALES DATA.'!L887)</f>
        <v>2</v>
      </c>
      <c r="I888" s="13">
        <v>3</v>
      </c>
      <c r="J888" s="10"/>
      <c r="K888" s="13">
        <v>0</v>
      </c>
      <c r="L888" s="13">
        <v>11</v>
      </c>
      <c r="M888" s="13">
        <v>35</v>
      </c>
      <c r="N888" s="13">
        <v>0</v>
      </c>
      <c r="O888" s="54">
        <f t="shared" si="26"/>
        <v>0.4826388888888889</v>
      </c>
      <c r="P888" s="55">
        <f t="shared" si="27"/>
        <v>2.4305555555555556E-2</v>
      </c>
    </row>
    <row r="889" spans="1:16" x14ac:dyDescent="0.3">
      <c r="A889" s="25">
        <f>YEAR('RETAIL SALES DATA.'!K888)</f>
        <v>2026</v>
      </c>
      <c r="B889" s="13" t="str">
        <v>Jan</v>
      </c>
      <c r="C889" s="42">
        <f>DAY('RETAIL SALES DATA.'!K888)</f>
        <v>15</v>
      </c>
      <c r="D889" s="13">
        <v>2026</v>
      </c>
      <c r="E889" s="13" t="str">
        <v>Jan</v>
      </c>
      <c r="F889" s="13">
        <v>19</v>
      </c>
      <c r="G889" s="10"/>
      <c r="H889" s="13">
        <f>NETWORKDAYS('RETAIL SALES DATA.'!K888,'RETAIL SALES DATA.'!L888)</f>
        <v>3</v>
      </c>
      <c r="I889" s="13">
        <v>4</v>
      </c>
      <c r="J889" s="10"/>
      <c r="K889" s="13">
        <v>9</v>
      </c>
      <c r="L889" s="13">
        <v>9</v>
      </c>
      <c r="M889" s="13">
        <v>9</v>
      </c>
      <c r="N889" s="13">
        <v>0</v>
      </c>
      <c r="O889" s="54">
        <f t="shared" si="26"/>
        <v>0.38124999999999998</v>
      </c>
      <c r="P889" s="55">
        <f t="shared" si="27"/>
        <v>0.38124999999999998</v>
      </c>
    </row>
    <row r="890" spans="1:16" x14ac:dyDescent="0.3">
      <c r="A890" s="25">
        <f>YEAR('RETAIL SALES DATA.'!K889)</f>
        <v>2026</v>
      </c>
      <c r="B890" s="13" t="str">
        <v>Jan</v>
      </c>
      <c r="C890" s="42">
        <f>DAY('RETAIL SALES DATA.'!K889)</f>
        <v>1</v>
      </c>
      <c r="D890" s="13">
        <v>2026</v>
      </c>
      <c r="E890" s="13" t="str">
        <v>Jan</v>
      </c>
      <c r="F890" s="13">
        <v>6</v>
      </c>
      <c r="G890" s="10"/>
      <c r="H890" s="13">
        <f>NETWORKDAYS('RETAIL SALES DATA.'!K889,'RETAIL SALES DATA.'!L889)</f>
        <v>4</v>
      </c>
      <c r="I890" s="13">
        <v>5</v>
      </c>
      <c r="J890" s="10"/>
      <c r="K890" s="13">
        <v>16</v>
      </c>
      <c r="L890" s="13">
        <v>8</v>
      </c>
      <c r="M890" s="13">
        <v>33</v>
      </c>
      <c r="N890" s="13">
        <v>0</v>
      </c>
      <c r="O890" s="54">
        <f t="shared" si="26"/>
        <v>0.35625000000000001</v>
      </c>
      <c r="P890" s="55">
        <f t="shared" si="27"/>
        <v>0.68958333333333333</v>
      </c>
    </row>
    <row r="891" spans="1:16" x14ac:dyDescent="0.3">
      <c r="A891" s="25">
        <f>YEAR('RETAIL SALES DATA.'!K890)</f>
        <v>2025</v>
      </c>
      <c r="B891" s="13" t="str">
        <v>Nov</v>
      </c>
      <c r="C891" s="42">
        <f>DAY('RETAIL SALES DATA.'!K890)</f>
        <v>13</v>
      </c>
      <c r="D891" s="13">
        <v>2025</v>
      </c>
      <c r="E891" s="13" t="str">
        <v>Nov</v>
      </c>
      <c r="F891" s="13">
        <v>21</v>
      </c>
      <c r="G891" s="10"/>
      <c r="H891" s="13">
        <f>NETWORKDAYS('RETAIL SALES DATA.'!K890,'RETAIL SALES DATA.'!L890)</f>
        <v>7</v>
      </c>
      <c r="I891" s="13">
        <v>8</v>
      </c>
      <c r="J891" s="10"/>
      <c r="K891" s="13">
        <v>14</v>
      </c>
      <c r="L891" s="13">
        <v>11</v>
      </c>
      <c r="M891" s="13">
        <v>0</v>
      </c>
      <c r="N891" s="13">
        <v>0</v>
      </c>
      <c r="O891" s="54">
        <f t="shared" si="26"/>
        <v>0.45833333333333331</v>
      </c>
      <c r="P891" s="55">
        <f t="shared" si="27"/>
        <v>0.58333333333333337</v>
      </c>
    </row>
    <row r="892" spans="1:16" x14ac:dyDescent="0.3">
      <c r="A892" s="25">
        <f>YEAR('RETAIL SALES DATA.'!K891)</f>
        <v>2024</v>
      </c>
      <c r="B892" s="13" t="str">
        <v>Aug</v>
      </c>
      <c r="C892" s="42">
        <f>DAY('RETAIL SALES DATA.'!K891)</f>
        <v>31</v>
      </c>
      <c r="D892" s="13">
        <v>2024</v>
      </c>
      <c r="E892" s="13" t="str">
        <v>Sep</v>
      </c>
      <c r="F892" s="13">
        <v>3</v>
      </c>
      <c r="G892" s="10"/>
      <c r="H892" s="13">
        <f>NETWORKDAYS('RETAIL SALES DATA.'!K891,'RETAIL SALES DATA.'!L891)</f>
        <v>2</v>
      </c>
      <c r="I892" s="13">
        <v>3</v>
      </c>
      <c r="J892" s="10"/>
      <c r="K892" s="13">
        <v>7</v>
      </c>
      <c r="L892" s="13">
        <v>11</v>
      </c>
      <c r="M892" s="13">
        <v>15</v>
      </c>
      <c r="N892" s="13">
        <v>0</v>
      </c>
      <c r="O892" s="54">
        <f t="shared" si="26"/>
        <v>0.46875</v>
      </c>
      <c r="P892" s="55">
        <f t="shared" si="27"/>
        <v>0.30208333333333331</v>
      </c>
    </row>
    <row r="893" spans="1:16" x14ac:dyDescent="0.3">
      <c r="A893" s="25">
        <f>YEAR('RETAIL SALES DATA.'!K892)</f>
        <v>2024</v>
      </c>
      <c r="B893" s="13" t="str">
        <v>Jul</v>
      </c>
      <c r="C893" s="42">
        <f>DAY('RETAIL SALES DATA.'!K892)</f>
        <v>9</v>
      </c>
      <c r="D893" s="13">
        <v>2024</v>
      </c>
      <c r="E893" s="13" t="str">
        <v>Jul</v>
      </c>
      <c r="F893" s="13">
        <v>12</v>
      </c>
      <c r="G893" s="10"/>
      <c r="H893" s="13">
        <f>NETWORKDAYS('RETAIL SALES DATA.'!K892,'RETAIL SALES DATA.'!L892)</f>
        <v>4</v>
      </c>
      <c r="I893" s="13">
        <v>3</v>
      </c>
      <c r="J893" s="10"/>
      <c r="K893" s="13">
        <v>2</v>
      </c>
      <c r="L893" s="13">
        <v>11</v>
      </c>
      <c r="M893" s="13">
        <v>18</v>
      </c>
      <c r="N893" s="13">
        <v>0</v>
      </c>
      <c r="O893" s="54">
        <f t="shared" si="26"/>
        <v>0.47083333333333333</v>
      </c>
      <c r="P893" s="55">
        <f t="shared" si="27"/>
        <v>9.583333333333334E-2</v>
      </c>
    </row>
    <row r="894" spans="1:16" x14ac:dyDescent="0.3">
      <c r="A894" s="25">
        <f>YEAR('RETAIL SALES DATA.'!K893)</f>
        <v>2024</v>
      </c>
      <c r="B894" s="13" t="str">
        <v>Nov</v>
      </c>
      <c r="C894" s="42">
        <f>DAY('RETAIL SALES DATA.'!K893)</f>
        <v>7</v>
      </c>
      <c r="D894" s="13">
        <v>2024</v>
      </c>
      <c r="E894" s="13" t="str">
        <v>Nov</v>
      </c>
      <c r="F894" s="13">
        <v>16</v>
      </c>
      <c r="G894" s="10"/>
      <c r="H894" s="13">
        <f>NETWORKDAYS('RETAIL SALES DATA.'!K893,'RETAIL SALES DATA.'!L893)</f>
        <v>7</v>
      </c>
      <c r="I894" s="13">
        <v>9</v>
      </c>
      <c r="J894" s="10"/>
      <c r="K894" s="13">
        <v>16</v>
      </c>
      <c r="L894" s="13">
        <v>10</v>
      </c>
      <c r="M894" s="13">
        <v>20</v>
      </c>
      <c r="N894" s="13">
        <v>0</v>
      </c>
      <c r="O894" s="54">
        <f t="shared" si="26"/>
        <v>0.43055555555555558</v>
      </c>
      <c r="P894" s="55">
        <f t="shared" si="27"/>
        <v>0.68055555555555558</v>
      </c>
    </row>
    <row r="895" spans="1:16" x14ac:dyDescent="0.3">
      <c r="A895" s="25">
        <f>YEAR('RETAIL SALES DATA.'!K894)</f>
        <v>2025</v>
      </c>
      <c r="B895" s="13" t="str">
        <v>Mar</v>
      </c>
      <c r="C895" s="42">
        <f>DAY('RETAIL SALES DATA.'!K894)</f>
        <v>16</v>
      </c>
      <c r="D895" s="13">
        <v>2025</v>
      </c>
      <c r="E895" s="13" t="str">
        <v>Mar</v>
      </c>
      <c r="F895" s="13">
        <v>20</v>
      </c>
      <c r="G895" s="10"/>
      <c r="H895" s="13">
        <f>NETWORKDAYS('RETAIL SALES DATA.'!K894,'RETAIL SALES DATA.'!L894)</f>
        <v>4</v>
      </c>
      <c r="I895" s="13">
        <v>4</v>
      </c>
      <c r="J895" s="10"/>
      <c r="K895" s="13">
        <v>21</v>
      </c>
      <c r="L895" s="13">
        <v>9</v>
      </c>
      <c r="M895" s="13">
        <v>31</v>
      </c>
      <c r="N895" s="13">
        <v>0</v>
      </c>
      <c r="O895" s="54">
        <f t="shared" si="26"/>
        <v>0.39652777777777776</v>
      </c>
      <c r="P895" s="55">
        <f t="shared" si="27"/>
        <v>0.89652777777777781</v>
      </c>
    </row>
    <row r="896" spans="1:16" x14ac:dyDescent="0.3">
      <c r="A896" s="25">
        <f>YEAR('RETAIL SALES DATA.'!K895)</f>
        <v>2025</v>
      </c>
      <c r="B896" s="13" t="str">
        <v>Dec</v>
      </c>
      <c r="C896" s="42">
        <f>DAY('RETAIL SALES DATA.'!K895)</f>
        <v>23</v>
      </c>
      <c r="D896" s="13">
        <v>2025</v>
      </c>
      <c r="E896" s="13" t="str">
        <v>Dec</v>
      </c>
      <c r="F896" s="13">
        <v>31</v>
      </c>
      <c r="G896" s="10"/>
      <c r="H896" s="13">
        <f>NETWORKDAYS('RETAIL SALES DATA.'!K895,'RETAIL SALES DATA.'!L895)</f>
        <v>7</v>
      </c>
      <c r="I896" s="13">
        <v>8</v>
      </c>
      <c r="J896" s="10"/>
      <c r="K896" s="13">
        <v>14</v>
      </c>
      <c r="L896" s="13">
        <v>9</v>
      </c>
      <c r="M896" s="13">
        <v>5</v>
      </c>
      <c r="N896" s="13">
        <v>0</v>
      </c>
      <c r="O896" s="54">
        <f t="shared" si="26"/>
        <v>0.37847222222222221</v>
      </c>
      <c r="P896" s="55">
        <f t="shared" si="27"/>
        <v>0.58680555555555558</v>
      </c>
    </row>
    <row r="897" spans="1:16" x14ac:dyDescent="0.3">
      <c r="A897" s="25">
        <f>YEAR('RETAIL SALES DATA.'!K896)</f>
        <v>2025</v>
      </c>
      <c r="B897" s="13" t="str">
        <v>May</v>
      </c>
      <c r="C897" s="42">
        <f>DAY('RETAIL SALES DATA.'!K896)</f>
        <v>13</v>
      </c>
      <c r="D897" s="13">
        <v>2025</v>
      </c>
      <c r="E897" s="13" t="str">
        <v>May</v>
      </c>
      <c r="F897" s="13">
        <v>23</v>
      </c>
      <c r="G897" s="10"/>
      <c r="H897" s="13">
        <f>NETWORKDAYS('RETAIL SALES DATA.'!K896,'RETAIL SALES DATA.'!L896)</f>
        <v>9</v>
      </c>
      <c r="I897" s="13">
        <v>10</v>
      </c>
      <c r="J897" s="10"/>
      <c r="K897" s="13">
        <v>7</v>
      </c>
      <c r="L897" s="13">
        <v>8</v>
      </c>
      <c r="M897" s="13">
        <v>44</v>
      </c>
      <c r="N897" s="13">
        <v>0</v>
      </c>
      <c r="O897" s="54">
        <f t="shared" si="26"/>
        <v>0.36388888888888887</v>
      </c>
      <c r="P897" s="55">
        <f t="shared" si="27"/>
        <v>0.32222222222222224</v>
      </c>
    </row>
    <row r="898" spans="1:16" x14ac:dyDescent="0.3">
      <c r="A898" s="25">
        <f>YEAR('RETAIL SALES DATA.'!K897)</f>
        <v>2025</v>
      </c>
      <c r="B898" s="13" t="str">
        <v>Jan</v>
      </c>
      <c r="C898" s="42">
        <f>DAY('RETAIL SALES DATA.'!K897)</f>
        <v>19</v>
      </c>
      <c r="D898" s="13">
        <v>2025</v>
      </c>
      <c r="E898" s="13" t="str">
        <v>Jan</v>
      </c>
      <c r="F898" s="13">
        <v>23</v>
      </c>
      <c r="G898" s="10"/>
      <c r="H898" s="13">
        <f>NETWORKDAYS('RETAIL SALES DATA.'!K897,'RETAIL SALES DATA.'!L897)</f>
        <v>4</v>
      </c>
      <c r="I898" s="13">
        <v>4</v>
      </c>
      <c r="J898" s="10"/>
      <c r="K898" s="13">
        <v>21</v>
      </c>
      <c r="L898" s="13">
        <v>11</v>
      </c>
      <c r="M898" s="13">
        <v>33</v>
      </c>
      <c r="N898" s="13">
        <v>0</v>
      </c>
      <c r="O898" s="54">
        <f t="shared" si="26"/>
        <v>0.48125000000000001</v>
      </c>
      <c r="P898" s="55">
        <f t="shared" si="27"/>
        <v>0.8979166666666667</v>
      </c>
    </row>
    <row r="899" spans="1:16" x14ac:dyDescent="0.3">
      <c r="A899" s="25">
        <f>YEAR('RETAIL SALES DATA.'!K898)</f>
        <v>2026</v>
      </c>
      <c r="B899" s="13" t="str">
        <v>Jan</v>
      </c>
      <c r="C899" s="42">
        <f>DAY('RETAIL SALES DATA.'!K898)</f>
        <v>7</v>
      </c>
      <c r="D899" s="13">
        <v>2026</v>
      </c>
      <c r="E899" s="13" t="str">
        <v>Jan</v>
      </c>
      <c r="F899" s="13">
        <v>8</v>
      </c>
      <c r="G899" s="10"/>
      <c r="H899" s="13">
        <f>NETWORKDAYS('RETAIL SALES DATA.'!K898,'RETAIL SALES DATA.'!L898)</f>
        <v>2</v>
      </c>
      <c r="I899" s="13">
        <v>1</v>
      </c>
      <c r="J899" s="10"/>
      <c r="K899" s="13">
        <v>16</v>
      </c>
      <c r="L899" s="13">
        <v>8</v>
      </c>
      <c r="M899" s="13">
        <v>47</v>
      </c>
      <c r="N899" s="13">
        <v>0</v>
      </c>
      <c r="O899" s="54">
        <f t="shared" si="26"/>
        <v>0.3659722222222222</v>
      </c>
      <c r="P899" s="55">
        <f t="shared" si="27"/>
        <v>0.69930555555555551</v>
      </c>
    </row>
    <row r="900" spans="1:16" x14ac:dyDescent="0.3">
      <c r="A900" s="25">
        <f>YEAR('RETAIL SALES DATA.'!K899)</f>
        <v>2025</v>
      </c>
      <c r="B900" s="13" t="str">
        <v>Apr</v>
      </c>
      <c r="C900" s="42">
        <f>DAY('RETAIL SALES DATA.'!K899)</f>
        <v>14</v>
      </c>
      <c r="D900" s="13">
        <v>2025</v>
      </c>
      <c r="E900" s="13" t="str">
        <v>Apr</v>
      </c>
      <c r="F900" s="13">
        <v>22</v>
      </c>
      <c r="G900" s="10"/>
      <c r="H900" s="13">
        <f>NETWORKDAYS('RETAIL SALES DATA.'!K899,'RETAIL SALES DATA.'!L899)</f>
        <v>7</v>
      </c>
      <c r="I900" s="13">
        <v>8</v>
      </c>
      <c r="J900" s="10"/>
      <c r="K900" s="13">
        <v>16</v>
      </c>
      <c r="L900" s="13">
        <v>10</v>
      </c>
      <c r="M900" s="13">
        <v>34</v>
      </c>
      <c r="N900" s="13">
        <v>0</v>
      </c>
      <c r="O900" s="54">
        <f t="shared" ref="O900:O963" si="28">TIME(L900,M900,N900)</f>
        <v>0.44027777777777777</v>
      </c>
      <c r="P900" s="55">
        <f t="shared" ref="P900:P963" si="29">TIME(K900,M900,N900)</f>
        <v>0.69027777777777777</v>
      </c>
    </row>
    <row r="901" spans="1:16" x14ac:dyDescent="0.3">
      <c r="A901" s="25">
        <f>YEAR('RETAIL SALES DATA.'!K900)</f>
        <v>2025</v>
      </c>
      <c r="B901" s="13" t="str">
        <v>Sep</v>
      </c>
      <c r="C901" s="42">
        <f>DAY('RETAIL SALES DATA.'!K900)</f>
        <v>21</v>
      </c>
      <c r="D901" s="13">
        <v>2025</v>
      </c>
      <c r="E901" s="13" t="str">
        <v>Sep</v>
      </c>
      <c r="F901" s="13">
        <v>29</v>
      </c>
      <c r="G901" s="10"/>
      <c r="H901" s="13">
        <f>NETWORKDAYS('RETAIL SALES DATA.'!K900,'RETAIL SALES DATA.'!L900)</f>
        <v>6</v>
      </c>
      <c r="I901" s="13">
        <v>8</v>
      </c>
      <c r="J901" s="10"/>
      <c r="K901" s="13">
        <v>16</v>
      </c>
      <c r="L901" s="13">
        <v>10</v>
      </c>
      <c r="M901" s="13">
        <v>17</v>
      </c>
      <c r="N901" s="13">
        <v>0</v>
      </c>
      <c r="O901" s="54">
        <f t="shared" si="28"/>
        <v>0.4284722222222222</v>
      </c>
      <c r="P901" s="55">
        <f t="shared" si="29"/>
        <v>0.67847222222222225</v>
      </c>
    </row>
    <row r="902" spans="1:16" x14ac:dyDescent="0.3">
      <c r="A902" s="25">
        <f>YEAR('RETAIL SALES DATA.'!K901)</f>
        <v>2025</v>
      </c>
      <c r="B902" s="13" t="str">
        <v>Jun</v>
      </c>
      <c r="C902" s="42">
        <f>DAY('RETAIL SALES DATA.'!K901)</f>
        <v>30</v>
      </c>
      <c r="D902" s="13">
        <v>2025</v>
      </c>
      <c r="E902" s="13" t="str">
        <v>Jul</v>
      </c>
      <c r="F902" s="13">
        <v>10</v>
      </c>
      <c r="G902" s="10"/>
      <c r="H902" s="13">
        <f>NETWORKDAYS('RETAIL SALES DATA.'!K901,'RETAIL SALES DATA.'!L901)</f>
        <v>9</v>
      </c>
      <c r="I902" s="13">
        <v>10</v>
      </c>
      <c r="J902" s="10"/>
      <c r="K902" s="13">
        <v>21</v>
      </c>
      <c r="L902" s="13">
        <v>11</v>
      </c>
      <c r="M902" s="13">
        <v>6</v>
      </c>
      <c r="N902" s="13">
        <v>0</v>
      </c>
      <c r="O902" s="54">
        <f t="shared" si="28"/>
        <v>0.46250000000000002</v>
      </c>
      <c r="P902" s="55">
        <f t="shared" si="29"/>
        <v>0.87916666666666665</v>
      </c>
    </row>
    <row r="903" spans="1:16" x14ac:dyDescent="0.3">
      <c r="A903" s="25">
        <f>YEAR('RETAIL SALES DATA.'!K902)</f>
        <v>2024</v>
      </c>
      <c r="B903" s="13" t="str">
        <v>Jul</v>
      </c>
      <c r="C903" s="42">
        <f>DAY('RETAIL SALES DATA.'!K902)</f>
        <v>17</v>
      </c>
      <c r="D903" s="13">
        <v>2024</v>
      </c>
      <c r="E903" s="13" t="str">
        <v>Jul</v>
      </c>
      <c r="F903" s="13">
        <v>22</v>
      </c>
      <c r="G903" s="10"/>
      <c r="H903" s="13">
        <f>NETWORKDAYS('RETAIL SALES DATA.'!K902,'RETAIL SALES DATA.'!L902)</f>
        <v>4</v>
      </c>
      <c r="I903" s="13">
        <v>5</v>
      </c>
      <c r="J903" s="10"/>
      <c r="K903" s="13">
        <v>19</v>
      </c>
      <c r="L903" s="13">
        <v>9</v>
      </c>
      <c r="M903" s="13">
        <v>11</v>
      </c>
      <c r="N903" s="13">
        <v>0</v>
      </c>
      <c r="O903" s="54">
        <f t="shared" si="28"/>
        <v>0.38263888888888886</v>
      </c>
      <c r="P903" s="55">
        <f t="shared" si="29"/>
        <v>0.7993055555555556</v>
      </c>
    </row>
    <row r="904" spans="1:16" x14ac:dyDescent="0.3">
      <c r="A904" s="25">
        <f>YEAR('RETAIL SALES DATA.'!K903)</f>
        <v>2025</v>
      </c>
      <c r="B904" s="13" t="str">
        <v>Jan</v>
      </c>
      <c r="C904" s="42">
        <f>DAY('RETAIL SALES DATA.'!K903)</f>
        <v>9</v>
      </c>
      <c r="D904" s="13">
        <v>2025</v>
      </c>
      <c r="E904" s="13" t="str">
        <v>Jan</v>
      </c>
      <c r="F904" s="13">
        <v>18</v>
      </c>
      <c r="G904" s="10"/>
      <c r="H904" s="13">
        <f>NETWORKDAYS('RETAIL SALES DATA.'!K903,'RETAIL SALES DATA.'!L903)</f>
        <v>7</v>
      </c>
      <c r="I904" s="13">
        <v>9</v>
      </c>
      <c r="J904" s="10"/>
      <c r="K904" s="13">
        <v>0</v>
      </c>
      <c r="L904" s="13">
        <v>9</v>
      </c>
      <c r="M904" s="13">
        <v>6</v>
      </c>
      <c r="N904" s="13">
        <v>0</v>
      </c>
      <c r="O904" s="54">
        <f t="shared" si="28"/>
        <v>0.37916666666666665</v>
      </c>
      <c r="P904" s="55">
        <f t="shared" si="29"/>
        <v>4.1666666666666666E-3</v>
      </c>
    </row>
    <row r="905" spans="1:16" x14ac:dyDescent="0.3">
      <c r="A905" s="25">
        <f>YEAR('RETAIL SALES DATA.'!K904)</f>
        <v>2025</v>
      </c>
      <c r="B905" s="13" t="str">
        <v>Jul</v>
      </c>
      <c r="C905" s="42">
        <f>DAY('RETAIL SALES DATA.'!K904)</f>
        <v>27</v>
      </c>
      <c r="D905" s="13">
        <v>2025</v>
      </c>
      <c r="E905" s="13" t="str">
        <v>Jul</v>
      </c>
      <c r="F905" s="13">
        <v>28</v>
      </c>
      <c r="G905" s="10"/>
      <c r="H905" s="13">
        <f>NETWORKDAYS('RETAIL SALES DATA.'!K904,'RETAIL SALES DATA.'!L904)</f>
        <v>1</v>
      </c>
      <c r="I905" s="13">
        <v>1</v>
      </c>
      <c r="J905" s="10"/>
      <c r="K905" s="13">
        <v>2</v>
      </c>
      <c r="L905" s="13">
        <v>9</v>
      </c>
      <c r="M905" s="13">
        <v>25</v>
      </c>
      <c r="N905" s="13">
        <v>0</v>
      </c>
      <c r="O905" s="54">
        <f t="shared" si="28"/>
        <v>0.3923611111111111</v>
      </c>
      <c r="P905" s="55">
        <f t="shared" si="29"/>
        <v>0.10069444444444445</v>
      </c>
    </row>
    <row r="906" spans="1:16" x14ac:dyDescent="0.3">
      <c r="A906" s="25">
        <f>YEAR('RETAIL SALES DATA.'!K905)</f>
        <v>2025</v>
      </c>
      <c r="B906" s="13" t="str">
        <v>Apr</v>
      </c>
      <c r="C906" s="42">
        <f>DAY('RETAIL SALES DATA.'!K905)</f>
        <v>8</v>
      </c>
      <c r="D906" s="13">
        <v>2025</v>
      </c>
      <c r="E906" s="13" t="str">
        <v>Apr</v>
      </c>
      <c r="F906" s="13">
        <v>9</v>
      </c>
      <c r="G906" s="10"/>
      <c r="H906" s="13">
        <f>NETWORKDAYS('RETAIL SALES DATA.'!K905,'RETAIL SALES DATA.'!L905)</f>
        <v>2</v>
      </c>
      <c r="I906" s="13">
        <v>1</v>
      </c>
      <c r="J906" s="10"/>
      <c r="K906" s="13">
        <v>19</v>
      </c>
      <c r="L906" s="13">
        <v>10</v>
      </c>
      <c r="M906" s="13">
        <v>6</v>
      </c>
      <c r="N906" s="13">
        <v>0</v>
      </c>
      <c r="O906" s="54">
        <f t="shared" si="28"/>
        <v>0.42083333333333334</v>
      </c>
      <c r="P906" s="55">
        <f t="shared" si="29"/>
        <v>0.79583333333333328</v>
      </c>
    </row>
    <row r="907" spans="1:16" x14ac:dyDescent="0.3">
      <c r="A907" s="25">
        <f>YEAR('RETAIL SALES DATA.'!K906)</f>
        <v>2025</v>
      </c>
      <c r="B907" s="13" t="str">
        <v>Feb</v>
      </c>
      <c r="C907" s="42">
        <f>DAY('RETAIL SALES DATA.'!K906)</f>
        <v>15</v>
      </c>
      <c r="D907" s="13">
        <v>2025</v>
      </c>
      <c r="E907" s="13" t="str">
        <v>Feb</v>
      </c>
      <c r="F907" s="13">
        <v>18</v>
      </c>
      <c r="G907" s="10"/>
      <c r="H907" s="13">
        <f>NETWORKDAYS('RETAIL SALES DATA.'!K906,'RETAIL SALES DATA.'!L906)</f>
        <v>2</v>
      </c>
      <c r="I907" s="13">
        <v>3</v>
      </c>
      <c r="J907" s="10"/>
      <c r="K907" s="13">
        <v>4</v>
      </c>
      <c r="L907" s="13">
        <v>10</v>
      </c>
      <c r="M907" s="13">
        <v>34</v>
      </c>
      <c r="N907" s="13">
        <v>0</v>
      </c>
      <c r="O907" s="54">
        <f t="shared" si="28"/>
        <v>0.44027777777777777</v>
      </c>
      <c r="P907" s="55">
        <f t="shared" si="29"/>
        <v>0.19027777777777777</v>
      </c>
    </row>
    <row r="908" spans="1:16" x14ac:dyDescent="0.3">
      <c r="A908" s="25">
        <f>YEAR('RETAIL SALES DATA.'!K907)</f>
        <v>2025</v>
      </c>
      <c r="B908" s="13" t="str">
        <v>Jan</v>
      </c>
      <c r="C908" s="42">
        <f>DAY('RETAIL SALES DATA.'!K907)</f>
        <v>3</v>
      </c>
      <c r="D908" s="13">
        <v>2025</v>
      </c>
      <c r="E908" s="13" t="str">
        <v>Jan</v>
      </c>
      <c r="F908" s="13">
        <v>8</v>
      </c>
      <c r="G908" s="10"/>
      <c r="H908" s="13">
        <f>NETWORKDAYS('RETAIL SALES DATA.'!K907,'RETAIL SALES DATA.'!L907)</f>
        <v>4</v>
      </c>
      <c r="I908" s="13">
        <v>5</v>
      </c>
      <c r="J908" s="10"/>
      <c r="K908" s="13">
        <v>14</v>
      </c>
      <c r="L908" s="13">
        <v>9</v>
      </c>
      <c r="M908" s="13">
        <v>56</v>
      </c>
      <c r="N908" s="13">
        <v>0</v>
      </c>
      <c r="O908" s="54">
        <f t="shared" si="28"/>
        <v>0.41388888888888886</v>
      </c>
      <c r="P908" s="55">
        <f t="shared" si="29"/>
        <v>0.62222222222222223</v>
      </c>
    </row>
    <row r="909" spans="1:16" x14ac:dyDescent="0.3">
      <c r="A909" s="25">
        <f>YEAR('RETAIL SALES DATA.'!K908)</f>
        <v>2024</v>
      </c>
      <c r="B909" s="13" t="str">
        <v>Sep</v>
      </c>
      <c r="C909" s="42">
        <f>DAY('RETAIL SALES DATA.'!K908)</f>
        <v>16</v>
      </c>
      <c r="D909" s="13">
        <v>2024</v>
      </c>
      <c r="E909" s="13" t="str">
        <v>Sep</v>
      </c>
      <c r="F909" s="13">
        <v>17</v>
      </c>
      <c r="G909" s="10"/>
      <c r="H909" s="13">
        <f>NETWORKDAYS('RETAIL SALES DATA.'!K908,'RETAIL SALES DATA.'!L908)</f>
        <v>2</v>
      </c>
      <c r="I909" s="13">
        <v>1</v>
      </c>
      <c r="J909" s="10"/>
      <c r="K909" s="13">
        <v>0</v>
      </c>
      <c r="L909" s="13">
        <v>8</v>
      </c>
      <c r="M909" s="13">
        <v>46</v>
      </c>
      <c r="N909" s="13">
        <v>0</v>
      </c>
      <c r="O909" s="54">
        <f t="shared" si="28"/>
        <v>0.36527777777777776</v>
      </c>
      <c r="P909" s="55">
        <f t="shared" si="29"/>
        <v>3.1944444444444442E-2</v>
      </c>
    </row>
    <row r="910" spans="1:16" x14ac:dyDescent="0.3">
      <c r="A910" s="25">
        <f>YEAR('RETAIL SALES DATA.'!K909)</f>
        <v>2025</v>
      </c>
      <c r="B910" s="13" t="str">
        <v>Dec</v>
      </c>
      <c r="C910" s="42">
        <f>DAY('RETAIL SALES DATA.'!K909)</f>
        <v>31</v>
      </c>
      <c r="D910" s="13">
        <v>2026</v>
      </c>
      <c r="E910" s="13" t="str">
        <v>Jan</v>
      </c>
      <c r="F910" s="13">
        <v>9</v>
      </c>
      <c r="G910" s="10"/>
      <c r="H910" s="13">
        <f>NETWORKDAYS('RETAIL SALES DATA.'!K909,'RETAIL SALES DATA.'!L909)</f>
        <v>8</v>
      </c>
      <c r="I910" s="13">
        <v>9</v>
      </c>
      <c r="J910" s="10"/>
      <c r="K910" s="13">
        <v>14</v>
      </c>
      <c r="L910" s="13">
        <v>11</v>
      </c>
      <c r="M910" s="13">
        <v>43</v>
      </c>
      <c r="N910" s="13">
        <v>0</v>
      </c>
      <c r="O910" s="54">
        <f t="shared" si="28"/>
        <v>0.48819444444444443</v>
      </c>
      <c r="P910" s="55">
        <f t="shared" si="29"/>
        <v>0.61319444444444449</v>
      </c>
    </row>
    <row r="911" spans="1:16" x14ac:dyDescent="0.3">
      <c r="A911" s="25">
        <f>YEAR('RETAIL SALES DATA.'!K910)</f>
        <v>2025</v>
      </c>
      <c r="B911" s="13" t="str">
        <v>Feb</v>
      </c>
      <c r="C911" s="42">
        <f>DAY('RETAIL SALES DATA.'!K910)</f>
        <v>17</v>
      </c>
      <c r="D911" s="13">
        <v>2025</v>
      </c>
      <c r="E911" s="13" t="str">
        <v>Feb</v>
      </c>
      <c r="F911" s="13">
        <v>18</v>
      </c>
      <c r="G911" s="10"/>
      <c r="H911" s="13">
        <f>NETWORKDAYS('RETAIL SALES DATA.'!K910,'RETAIL SALES DATA.'!L910)</f>
        <v>2</v>
      </c>
      <c r="I911" s="13">
        <v>1</v>
      </c>
      <c r="J911" s="10"/>
      <c r="K911" s="13">
        <v>21</v>
      </c>
      <c r="L911" s="13">
        <v>9</v>
      </c>
      <c r="M911" s="13">
        <v>25</v>
      </c>
      <c r="N911" s="13">
        <v>0</v>
      </c>
      <c r="O911" s="54">
        <f t="shared" si="28"/>
        <v>0.3923611111111111</v>
      </c>
      <c r="P911" s="55">
        <f t="shared" si="29"/>
        <v>0.89236111111111116</v>
      </c>
    </row>
    <row r="912" spans="1:16" x14ac:dyDescent="0.3">
      <c r="A912" s="25">
        <f>YEAR('RETAIL SALES DATA.'!K911)</f>
        <v>2024</v>
      </c>
      <c r="B912" s="13" t="str">
        <v>Oct</v>
      </c>
      <c r="C912" s="42">
        <f>DAY('RETAIL SALES DATA.'!K911)</f>
        <v>19</v>
      </c>
      <c r="D912" s="13">
        <v>2024</v>
      </c>
      <c r="E912" s="13" t="str">
        <v>Oct</v>
      </c>
      <c r="F912" s="13">
        <v>24</v>
      </c>
      <c r="G912" s="10"/>
      <c r="H912" s="13">
        <f>NETWORKDAYS('RETAIL SALES DATA.'!K911,'RETAIL SALES DATA.'!L911)</f>
        <v>4</v>
      </c>
      <c r="I912" s="13">
        <v>5</v>
      </c>
      <c r="J912" s="10"/>
      <c r="K912" s="13">
        <v>16</v>
      </c>
      <c r="L912" s="13">
        <v>10</v>
      </c>
      <c r="M912" s="13">
        <v>34</v>
      </c>
      <c r="N912" s="13">
        <v>0</v>
      </c>
      <c r="O912" s="54">
        <f t="shared" si="28"/>
        <v>0.44027777777777777</v>
      </c>
      <c r="P912" s="55">
        <f t="shared" si="29"/>
        <v>0.69027777777777777</v>
      </c>
    </row>
    <row r="913" spans="1:16" x14ac:dyDescent="0.3">
      <c r="A913" s="25">
        <f>YEAR('RETAIL SALES DATA.'!K912)</f>
        <v>2024</v>
      </c>
      <c r="B913" s="13" t="str">
        <v>Sep</v>
      </c>
      <c r="C913" s="42">
        <f>DAY('RETAIL SALES DATA.'!K912)</f>
        <v>10</v>
      </c>
      <c r="D913" s="13">
        <v>2024</v>
      </c>
      <c r="E913" s="13" t="str">
        <v>Sep</v>
      </c>
      <c r="F913" s="13">
        <v>17</v>
      </c>
      <c r="G913" s="10"/>
      <c r="H913" s="13">
        <f>NETWORKDAYS('RETAIL SALES DATA.'!K912,'RETAIL SALES DATA.'!L912)</f>
        <v>6</v>
      </c>
      <c r="I913" s="13">
        <v>7</v>
      </c>
      <c r="J913" s="10"/>
      <c r="K913" s="13">
        <v>0</v>
      </c>
      <c r="L913" s="13">
        <v>8</v>
      </c>
      <c r="M913" s="13">
        <v>10</v>
      </c>
      <c r="N913" s="13">
        <v>0</v>
      </c>
      <c r="O913" s="54">
        <f t="shared" si="28"/>
        <v>0.34027777777777779</v>
      </c>
      <c r="P913" s="55">
        <f t="shared" si="29"/>
        <v>6.9444444444444441E-3</v>
      </c>
    </row>
    <row r="914" spans="1:16" x14ac:dyDescent="0.3">
      <c r="A914" s="25">
        <f>YEAR('RETAIL SALES DATA.'!K913)</f>
        <v>2025</v>
      </c>
      <c r="B914" s="13" t="str">
        <v>Jul</v>
      </c>
      <c r="C914" s="42">
        <f>DAY('RETAIL SALES DATA.'!K913)</f>
        <v>25</v>
      </c>
      <c r="D914" s="13">
        <v>2025</v>
      </c>
      <c r="E914" s="13" t="str">
        <v>Jul</v>
      </c>
      <c r="F914" s="13">
        <v>29</v>
      </c>
      <c r="G914" s="10"/>
      <c r="H914" s="13">
        <f>NETWORKDAYS('RETAIL SALES DATA.'!K913,'RETAIL SALES DATA.'!L913)</f>
        <v>3</v>
      </c>
      <c r="I914" s="13">
        <v>4</v>
      </c>
      <c r="J914" s="10"/>
      <c r="K914" s="13">
        <v>16</v>
      </c>
      <c r="L914" s="13">
        <v>10</v>
      </c>
      <c r="M914" s="13">
        <v>57</v>
      </c>
      <c r="N914" s="13">
        <v>0</v>
      </c>
      <c r="O914" s="54">
        <f t="shared" si="28"/>
        <v>0.45624999999999999</v>
      </c>
      <c r="P914" s="55">
        <f t="shared" si="29"/>
        <v>0.70625000000000004</v>
      </c>
    </row>
    <row r="915" spans="1:16" x14ac:dyDescent="0.3">
      <c r="A915" s="25">
        <f>YEAR('RETAIL SALES DATA.'!K914)</f>
        <v>2025</v>
      </c>
      <c r="B915" s="13" t="str">
        <v>Dec</v>
      </c>
      <c r="C915" s="42">
        <f>DAY('RETAIL SALES DATA.'!K914)</f>
        <v>15</v>
      </c>
      <c r="D915" s="13">
        <v>2025</v>
      </c>
      <c r="E915" s="13" t="str">
        <v>Dec</v>
      </c>
      <c r="F915" s="13">
        <v>25</v>
      </c>
      <c r="G915" s="10"/>
      <c r="H915" s="13">
        <f>NETWORKDAYS('RETAIL SALES DATA.'!K914,'RETAIL SALES DATA.'!L914)</f>
        <v>9</v>
      </c>
      <c r="I915" s="13">
        <v>10</v>
      </c>
      <c r="J915" s="10"/>
      <c r="K915" s="13">
        <v>14</v>
      </c>
      <c r="L915" s="13">
        <v>11</v>
      </c>
      <c r="M915" s="13">
        <v>3</v>
      </c>
      <c r="N915" s="13">
        <v>0</v>
      </c>
      <c r="O915" s="54">
        <f t="shared" si="28"/>
        <v>0.46041666666666664</v>
      </c>
      <c r="P915" s="55">
        <f t="shared" si="29"/>
        <v>0.5854166666666667</v>
      </c>
    </row>
    <row r="916" spans="1:16" x14ac:dyDescent="0.3">
      <c r="A916" s="25">
        <f>YEAR('RETAIL SALES DATA.'!K915)</f>
        <v>2025</v>
      </c>
      <c r="B916" s="13" t="str">
        <v>Oct</v>
      </c>
      <c r="C916" s="42">
        <f>DAY('RETAIL SALES DATA.'!K915)</f>
        <v>22</v>
      </c>
      <c r="D916" s="13">
        <v>2025</v>
      </c>
      <c r="E916" s="13" t="str">
        <v>Oct</v>
      </c>
      <c r="F916" s="13">
        <v>28</v>
      </c>
      <c r="G916" s="10"/>
      <c r="H916" s="13">
        <f>NETWORKDAYS('RETAIL SALES DATA.'!K915,'RETAIL SALES DATA.'!L915)</f>
        <v>5</v>
      </c>
      <c r="I916" s="13">
        <v>6</v>
      </c>
      <c r="J916" s="10"/>
      <c r="K916" s="13">
        <v>4</v>
      </c>
      <c r="L916" s="13">
        <v>10</v>
      </c>
      <c r="M916" s="13">
        <v>46</v>
      </c>
      <c r="N916" s="13">
        <v>0</v>
      </c>
      <c r="O916" s="54">
        <f t="shared" si="28"/>
        <v>0.44861111111111113</v>
      </c>
      <c r="P916" s="55">
        <f t="shared" si="29"/>
        <v>0.1986111111111111</v>
      </c>
    </row>
    <row r="917" spans="1:16" x14ac:dyDescent="0.3">
      <c r="A917" s="25">
        <f>YEAR('RETAIL SALES DATA.'!K916)</f>
        <v>2026</v>
      </c>
      <c r="B917" s="13" t="str">
        <v>Jan</v>
      </c>
      <c r="C917" s="42">
        <f>DAY('RETAIL SALES DATA.'!K916)</f>
        <v>15</v>
      </c>
      <c r="D917" s="13">
        <v>2026</v>
      </c>
      <c r="E917" s="13" t="str">
        <v>Jan</v>
      </c>
      <c r="F917" s="13">
        <v>24</v>
      </c>
      <c r="G917" s="10"/>
      <c r="H917" s="13">
        <f>NETWORKDAYS('RETAIL SALES DATA.'!K916,'RETAIL SALES DATA.'!L916)</f>
        <v>7</v>
      </c>
      <c r="I917" s="13">
        <v>9</v>
      </c>
      <c r="J917" s="10"/>
      <c r="K917" s="13">
        <v>21</v>
      </c>
      <c r="L917" s="13">
        <v>11</v>
      </c>
      <c r="M917" s="13">
        <v>5</v>
      </c>
      <c r="N917" s="13">
        <v>0</v>
      </c>
      <c r="O917" s="54">
        <f t="shared" si="28"/>
        <v>0.46180555555555558</v>
      </c>
      <c r="P917" s="55">
        <f t="shared" si="29"/>
        <v>0.87847222222222221</v>
      </c>
    </row>
    <row r="918" spans="1:16" x14ac:dyDescent="0.3">
      <c r="A918" s="25">
        <f>YEAR('RETAIL SALES DATA.'!K917)</f>
        <v>2025</v>
      </c>
      <c r="B918" s="13" t="str">
        <v>Jun</v>
      </c>
      <c r="C918" s="42">
        <f>DAY('RETAIL SALES DATA.'!K917)</f>
        <v>28</v>
      </c>
      <c r="D918" s="13">
        <v>2025</v>
      </c>
      <c r="E918" s="13" t="str">
        <v>Jul</v>
      </c>
      <c r="F918" s="13">
        <v>1</v>
      </c>
      <c r="G918" s="10"/>
      <c r="H918" s="13">
        <f>NETWORKDAYS('RETAIL SALES DATA.'!K917,'RETAIL SALES DATA.'!L917)</f>
        <v>2</v>
      </c>
      <c r="I918" s="13">
        <v>3</v>
      </c>
      <c r="J918" s="10"/>
      <c r="K918" s="13">
        <v>12</v>
      </c>
      <c r="L918" s="13">
        <v>9</v>
      </c>
      <c r="M918" s="13">
        <v>57</v>
      </c>
      <c r="N918" s="13">
        <v>0</v>
      </c>
      <c r="O918" s="54">
        <f t="shared" si="28"/>
        <v>0.41458333333333336</v>
      </c>
      <c r="P918" s="55">
        <f t="shared" si="29"/>
        <v>0.5395833333333333</v>
      </c>
    </row>
    <row r="919" spans="1:16" x14ac:dyDescent="0.3">
      <c r="A919" s="25">
        <f>YEAR('RETAIL SALES DATA.'!K918)</f>
        <v>2025</v>
      </c>
      <c r="B919" s="13" t="str">
        <v>Jun</v>
      </c>
      <c r="C919" s="42">
        <f>DAY('RETAIL SALES DATA.'!K918)</f>
        <v>20</v>
      </c>
      <c r="D919" s="13">
        <v>2025</v>
      </c>
      <c r="E919" s="13" t="str">
        <v>Jun</v>
      </c>
      <c r="F919" s="13">
        <v>22</v>
      </c>
      <c r="G919" s="10"/>
      <c r="H919" s="13">
        <f>NETWORKDAYS('RETAIL SALES DATA.'!K918,'RETAIL SALES DATA.'!L918)</f>
        <v>1</v>
      </c>
      <c r="I919" s="13">
        <v>2</v>
      </c>
      <c r="J919" s="10"/>
      <c r="K919" s="13">
        <v>4</v>
      </c>
      <c r="L919" s="13">
        <v>9</v>
      </c>
      <c r="M919" s="13">
        <v>24</v>
      </c>
      <c r="N919" s="13">
        <v>0</v>
      </c>
      <c r="O919" s="54">
        <f t="shared" si="28"/>
        <v>0.39166666666666666</v>
      </c>
      <c r="P919" s="55">
        <f t="shared" si="29"/>
        <v>0.18333333333333332</v>
      </c>
    </row>
    <row r="920" spans="1:16" x14ac:dyDescent="0.3">
      <c r="A920" s="25">
        <f>YEAR('RETAIL SALES DATA.'!K919)</f>
        <v>2024</v>
      </c>
      <c r="B920" s="13" t="str">
        <v>Aug</v>
      </c>
      <c r="C920" s="42">
        <f>DAY('RETAIL SALES DATA.'!K919)</f>
        <v>7</v>
      </c>
      <c r="D920" s="13">
        <v>2024</v>
      </c>
      <c r="E920" s="13" t="str">
        <v>Aug</v>
      </c>
      <c r="F920" s="13">
        <v>15</v>
      </c>
      <c r="G920" s="10"/>
      <c r="H920" s="13">
        <f>NETWORKDAYS('RETAIL SALES DATA.'!K919,'RETAIL SALES DATA.'!L919)</f>
        <v>7</v>
      </c>
      <c r="I920" s="13">
        <v>8</v>
      </c>
      <c r="J920" s="10"/>
      <c r="K920" s="13">
        <v>9</v>
      </c>
      <c r="L920" s="13">
        <v>10</v>
      </c>
      <c r="M920" s="13">
        <v>37</v>
      </c>
      <c r="N920" s="13">
        <v>0</v>
      </c>
      <c r="O920" s="54">
        <f t="shared" si="28"/>
        <v>0.44236111111111109</v>
      </c>
      <c r="P920" s="55">
        <f t="shared" si="29"/>
        <v>0.40069444444444446</v>
      </c>
    </row>
    <row r="921" spans="1:16" x14ac:dyDescent="0.3">
      <c r="A921" s="25">
        <f>YEAR('RETAIL SALES DATA.'!K920)</f>
        <v>2026</v>
      </c>
      <c r="B921" s="13" t="str">
        <v>Jan</v>
      </c>
      <c r="C921" s="42">
        <f>DAY('RETAIL SALES DATA.'!K920)</f>
        <v>30</v>
      </c>
      <c r="D921" s="13">
        <v>2026</v>
      </c>
      <c r="E921" s="13" t="str">
        <v>Feb</v>
      </c>
      <c r="F921" s="13">
        <v>2</v>
      </c>
      <c r="G921" s="10"/>
      <c r="H921" s="13">
        <f>NETWORKDAYS('RETAIL SALES DATA.'!K920,'RETAIL SALES DATA.'!L920)</f>
        <v>2</v>
      </c>
      <c r="I921" s="13">
        <v>3</v>
      </c>
      <c r="J921" s="10"/>
      <c r="K921" s="13">
        <v>12</v>
      </c>
      <c r="L921" s="13">
        <v>11</v>
      </c>
      <c r="M921" s="13">
        <v>17</v>
      </c>
      <c r="N921" s="13">
        <v>0</v>
      </c>
      <c r="O921" s="54">
        <f t="shared" si="28"/>
        <v>0.47013888888888888</v>
      </c>
      <c r="P921" s="55">
        <f t="shared" si="29"/>
        <v>0.51180555555555551</v>
      </c>
    </row>
    <row r="922" spans="1:16" x14ac:dyDescent="0.3">
      <c r="A922" s="25">
        <f>YEAR('RETAIL SALES DATA.'!K921)</f>
        <v>2024</v>
      </c>
      <c r="B922" s="13" t="str">
        <v>Dec</v>
      </c>
      <c r="C922" s="42">
        <f>DAY('RETAIL SALES DATA.'!K921)</f>
        <v>15</v>
      </c>
      <c r="D922" s="13">
        <v>2024</v>
      </c>
      <c r="E922" s="13" t="str">
        <v>Dec</v>
      </c>
      <c r="F922" s="13">
        <v>17</v>
      </c>
      <c r="G922" s="10"/>
      <c r="H922" s="13">
        <f>NETWORKDAYS('RETAIL SALES DATA.'!K921,'RETAIL SALES DATA.'!L921)</f>
        <v>2</v>
      </c>
      <c r="I922" s="13">
        <v>2</v>
      </c>
      <c r="J922" s="10"/>
      <c r="K922" s="13">
        <v>2</v>
      </c>
      <c r="L922" s="13">
        <v>8</v>
      </c>
      <c r="M922" s="13">
        <v>27</v>
      </c>
      <c r="N922" s="13">
        <v>0</v>
      </c>
      <c r="O922" s="54">
        <f t="shared" si="28"/>
        <v>0.35208333333333336</v>
      </c>
      <c r="P922" s="55">
        <f t="shared" si="29"/>
        <v>0.10208333333333333</v>
      </c>
    </row>
    <row r="923" spans="1:16" x14ac:dyDescent="0.3">
      <c r="A923" s="25">
        <f>YEAR('RETAIL SALES DATA.'!K922)</f>
        <v>2025</v>
      </c>
      <c r="B923" s="13" t="str">
        <v>Jul</v>
      </c>
      <c r="C923" s="42">
        <f>DAY('RETAIL SALES DATA.'!K922)</f>
        <v>16</v>
      </c>
      <c r="D923" s="13">
        <v>2025</v>
      </c>
      <c r="E923" s="13" t="str">
        <v>Jul</v>
      </c>
      <c r="F923" s="13">
        <v>18</v>
      </c>
      <c r="G923" s="10"/>
      <c r="H923" s="13">
        <f>NETWORKDAYS('RETAIL SALES DATA.'!K922,'RETAIL SALES DATA.'!L922)</f>
        <v>3</v>
      </c>
      <c r="I923" s="13">
        <v>2</v>
      </c>
      <c r="J923" s="10"/>
      <c r="K923" s="13">
        <v>0</v>
      </c>
      <c r="L923" s="13">
        <v>10</v>
      </c>
      <c r="M923" s="13">
        <v>0</v>
      </c>
      <c r="N923" s="13">
        <v>0</v>
      </c>
      <c r="O923" s="54">
        <f t="shared" si="28"/>
        <v>0.41666666666666669</v>
      </c>
      <c r="P923" s="55">
        <f t="shared" si="29"/>
        <v>0</v>
      </c>
    </row>
    <row r="924" spans="1:16" x14ac:dyDescent="0.3">
      <c r="A924" s="25">
        <f>YEAR('RETAIL SALES DATA.'!K923)</f>
        <v>2025</v>
      </c>
      <c r="B924" s="13" t="str">
        <v>Jun</v>
      </c>
      <c r="C924" s="42">
        <f>DAY('RETAIL SALES DATA.'!K923)</f>
        <v>17</v>
      </c>
      <c r="D924" s="13">
        <v>2025</v>
      </c>
      <c r="E924" s="13" t="str">
        <v>Jun</v>
      </c>
      <c r="F924" s="13">
        <v>20</v>
      </c>
      <c r="G924" s="10"/>
      <c r="H924" s="13">
        <f>NETWORKDAYS('RETAIL SALES DATA.'!K923,'RETAIL SALES DATA.'!L923)</f>
        <v>4</v>
      </c>
      <c r="I924" s="13">
        <v>3</v>
      </c>
      <c r="J924" s="10"/>
      <c r="K924" s="13">
        <v>21</v>
      </c>
      <c r="L924" s="13">
        <v>11</v>
      </c>
      <c r="M924" s="13">
        <v>18</v>
      </c>
      <c r="N924" s="13">
        <v>0</v>
      </c>
      <c r="O924" s="54">
        <f t="shared" si="28"/>
        <v>0.47083333333333333</v>
      </c>
      <c r="P924" s="55">
        <f t="shared" si="29"/>
        <v>0.88749999999999996</v>
      </c>
    </row>
    <row r="925" spans="1:16" x14ac:dyDescent="0.3">
      <c r="A925" s="25">
        <f>YEAR('RETAIL SALES DATA.'!K924)</f>
        <v>2026</v>
      </c>
      <c r="B925" s="13" t="str">
        <v>Jan</v>
      </c>
      <c r="C925" s="42">
        <f>DAY('RETAIL SALES DATA.'!K924)</f>
        <v>14</v>
      </c>
      <c r="D925" s="13">
        <v>2026</v>
      </c>
      <c r="E925" s="13" t="str">
        <v>Jan</v>
      </c>
      <c r="F925" s="13">
        <v>21</v>
      </c>
      <c r="G925" s="10"/>
      <c r="H925" s="13">
        <f>NETWORKDAYS('RETAIL SALES DATA.'!K924,'RETAIL SALES DATA.'!L924)</f>
        <v>6</v>
      </c>
      <c r="I925" s="13">
        <v>7</v>
      </c>
      <c r="J925" s="10"/>
      <c r="K925" s="13">
        <v>16</v>
      </c>
      <c r="L925" s="13">
        <v>8</v>
      </c>
      <c r="M925" s="13">
        <v>2</v>
      </c>
      <c r="N925" s="13">
        <v>0</v>
      </c>
      <c r="O925" s="54">
        <f t="shared" si="28"/>
        <v>0.3347222222222222</v>
      </c>
      <c r="P925" s="55">
        <f t="shared" si="29"/>
        <v>0.66805555555555551</v>
      </c>
    </row>
    <row r="926" spans="1:16" x14ac:dyDescent="0.3">
      <c r="A926" s="25">
        <f>YEAR('RETAIL SALES DATA.'!K925)</f>
        <v>2025</v>
      </c>
      <c r="B926" s="13" t="str">
        <v>Sep</v>
      </c>
      <c r="C926" s="42">
        <f>DAY('RETAIL SALES DATA.'!K925)</f>
        <v>30</v>
      </c>
      <c r="D926" s="13">
        <v>2025</v>
      </c>
      <c r="E926" s="13" t="str">
        <v>Oct</v>
      </c>
      <c r="F926" s="13">
        <v>6</v>
      </c>
      <c r="G926" s="10"/>
      <c r="H926" s="13">
        <f>NETWORKDAYS('RETAIL SALES DATA.'!K925,'RETAIL SALES DATA.'!L925)</f>
        <v>5</v>
      </c>
      <c r="I926" s="13">
        <v>6</v>
      </c>
      <c r="J926" s="10"/>
      <c r="K926" s="13">
        <v>7</v>
      </c>
      <c r="L926" s="13">
        <v>10</v>
      </c>
      <c r="M926" s="13">
        <v>53</v>
      </c>
      <c r="N926" s="13">
        <v>0</v>
      </c>
      <c r="O926" s="54">
        <f t="shared" si="28"/>
        <v>0.45347222222222222</v>
      </c>
      <c r="P926" s="55">
        <f t="shared" si="29"/>
        <v>0.32847222222222222</v>
      </c>
    </row>
    <row r="927" spans="1:16" x14ac:dyDescent="0.3">
      <c r="A927" s="25">
        <f>YEAR('RETAIL SALES DATA.'!K926)</f>
        <v>2025</v>
      </c>
      <c r="B927" s="13" t="str">
        <v>Sep</v>
      </c>
      <c r="C927" s="42">
        <f>DAY('RETAIL SALES DATA.'!K926)</f>
        <v>12</v>
      </c>
      <c r="D927" s="13">
        <v>2025</v>
      </c>
      <c r="E927" s="13" t="str">
        <v>Sep</v>
      </c>
      <c r="F927" s="13">
        <v>19</v>
      </c>
      <c r="G927" s="10"/>
      <c r="H927" s="13">
        <f>NETWORKDAYS('RETAIL SALES DATA.'!K926,'RETAIL SALES DATA.'!L926)</f>
        <v>6</v>
      </c>
      <c r="I927" s="13">
        <v>7</v>
      </c>
      <c r="J927" s="10"/>
      <c r="K927" s="13">
        <v>2</v>
      </c>
      <c r="L927" s="13">
        <v>9</v>
      </c>
      <c r="M927" s="13">
        <v>24</v>
      </c>
      <c r="N927" s="13">
        <v>0</v>
      </c>
      <c r="O927" s="54">
        <f t="shared" si="28"/>
        <v>0.39166666666666666</v>
      </c>
      <c r="P927" s="55">
        <f t="shared" si="29"/>
        <v>0.1</v>
      </c>
    </row>
    <row r="928" spans="1:16" x14ac:dyDescent="0.3">
      <c r="A928" s="25">
        <f>YEAR('RETAIL SALES DATA.'!K927)</f>
        <v>2024</v>
      </c>
      <c r="B928" s="13" t="str">
        <v>Nov</v>
      </c>
      <c r="C928" s="42">
        <f>DAY('RETAIL SALES DATA.'!K927)</f>
        <v>30</v>
      </c>
      <c r="D928" s="13">
        <v>2024</v>
      </c>
      <c r="E928" s="13" t="str">
        <v>Dec</v>
      </c>
      <c r="F928" s="13">
        <v>10</v>
      </c>
      <c r="G928" s="10"/>
      <c r="H928" s="13">
        <f>NETWORKDAYS('RETAIL SALES DATA.'!K927,'RETAIL SALES DATA.'!L927)</f>
        <v>7</v>
      </c>
      <c r="I928" s="13">
        <v>10</v>
      </c>
      <c r="J928" s="10"/>
      <c r="K928" s="13">
        <v>2</v>
      </c>
      <c r="L928" s="13">
        <v>10</v>
      </c>
      <c r="M928" s="13">
        <v>28</v>
      </c>
      <c r="N928" s="13">
        <v>0</v>
      </c>
      <c r="O928" s="54">
        <f t="shared" si="28"/>
        <v>0.43611111111111112</v>
      </c>
      <c r="P928" s="55">
        <f t="shared" si="29"/>
        <v>0.10277777777777777</v>
      </c>
    </row>
    <row r="929" spans="1:16" x14ac:dyDescent="0.3">
      <c r="A929" s="25">
        <f>YEAR('RETAIL SALES DATA.'!K928)</f>
        <v>2025</v>
      </c>
      <c r="B929" s="13" t="str">
        <v>Aug</v>
      </c>
      <c r="C929" s="42">
        <f>DAY('RETAIL SALES DATA.'!K928)</f>
        <v>19</v>
      </c>
      <c r="D929" s="13">
        <v>2025</v>
      </c>
      <c r="E929" s="13" t="str">
        <v>Aug</v>
      </c>
      <c r="F929" s="13">
        <v>23</v>
      </c>
      <c r="G929" s="10"/>
      <c r="H929" s="13">
        <f>NETWORKDAYS('RETAIL SALES DATA.'!K928,'RETAIL SALES DATA.'!L928)</f>
        <v>4</v>
      </c>
      <c r="I929" s="13">
        <v>4</v>
      </c>
      <c r="J929" s="10"/>
      <c r="K929" s="13">
        <v>21</v>
      </c>
      <c r="L929" s="13">
        <v>11</v>
      </c>
      <c r="M929" s="13">
        <v>1</v>
      </c>
      <c r="N929" s="13">
        <v>0</v>
      </c>
      <c r="O929" s="54">
        <f t="shared" si="28"/>
        <v>0.45902777777777776</v>
      </c>
      <c r="P929" s="55">
        <f t="shared" si="29"/>
        <v>0.87569444444444444</v>
      </c>
    </row>
    <row r="930" spans="1:16" x14ac:dyDescent="0.3">
      <c r="A930" s="25">
        <f>YEAR('RETAIL SALES DATA.'!K929)</f>
        <v>2025</v>
      </c>
      <c r="B930" s="13" t="str">
        <v>Jul</v>
      </c>
      <c r="C930" s="42">
        <f>DAY('RETAIL SALES DATA.'!K929)</f>
        <v>16</v>
      </c>
      <c r="D930" s="13">
        <v>2025</v>
      </c>
      <c r="E930" s="13" t="str">
        <v>Jul</v>
      </c>
      <c r="F930" s="13">
        <v>18</v>
      </c>
      <c r="G930" s="10"/>
      <c r="H930" s="13">
        <f>NETWORKDAYS('RETAIL SALES DATA.'!K929,'RETAIL SALES DATA.'!L929)</f>
        <v>3</v>
      </c>
      <c r="I930" s="13">
        <v>2</v>
      </c>
      <c r="J930" s="10"/>
      <c r="K930" s="13">
        <v>21</v>
      </c>
      <c r="L930" s="13">
        <v>9</v>
      </c>
      <c r="M930" s="13">
        <v>38</v>
      </c>
      <c r="N930" s="13">
        <v>0</v>
      </c>
      <c r="O930" s="54">
        <f t="shared" si="28"/>
        <v>0.40138888888888891</v>
      </c>
      <c r="P930" s="55">
        <f t="shared" si="29"/>
        <v>0.90138888888888891</v>
      </c>
    </row>
    <row r="931" spans="1:16" x14ac:dyDescent="0.3">
      <c r="A931" s="25">
        <f>YEAR('RETAIL SALES DATA.'!K930)</f>
        <v>2024</v>
      </c>
      <c r="B931" s="13" t="str">
        <v>Nov</v>
      </c>
      <c r="C931" s="42">
        <f>DAY('RETAIL SALES DATA.'!K930)</f>
        <v>22</v>
      </c>
      <c r="D931" s="13">
        <v>2024</v>
      </c>
      <c r="E931" s="13" t="str">
        <v>Nov</v>
      </c>
      <c r="F931" s="13">
        <v>30</v>
      </c>
      <c r="G931" s="10"/>
      <c r="H931" s="13">
        <f>NETWORKDAYS('RETAIL SALES DATA.'!K930,'RETAIL SALES DATA.'!L930)</f>
        <v>6</v>
      </c>
      <c r="I931" s="13">
        <v>8</v>
      </c>
      <c r="J931" s="10"/>
      <c r="K931" s="13">
        <v>19</v>
      </c>
      <c r="L931" s="13">
        <v>11</v>
      </c>
      <c r="M931" s="13">
        <v>48</v>
      </c>
      <c r="N931" s="13">
        <v>0</v>
      </c>
      <c r="O931" s="54">
        <f t="shared" si="28"/>
        <v>0.49166666666666664</v>
      </c>
      <c r="P931" s="55">
        <f t="shared" si="29"/>
        <v>0.82499999999999996</v>
      </c>
    </row>
    <row r="932" spans="1:16" x14ac:dyDescent="0.3">
      <c r="A932" s="25">
        <f>YEAR('RETAIL SALES DATA.'!K931)</f>
        <v>2024</v>
      </c>
      <c r="B932" s="13" t="str">
        <v>Nov</v>
      </c>
      <c r="C932" s="42">
        <f>DAY('RETAIL SALES DATA.'!K931)</f>
        <v>5</v>
      </c>
      <c r="D932" s="13">
        <v>2024</v>
      </c>
      <c r="E932" s="13" t="str">
        <v>Nov</v>
      </c>
      <c r="F932" s="13">
        <v>15</v>
      </c>
      <c r="G932" s="10"/>
      <c r="H932" s="13">
        <f>NETWORKDAYS('RETAIL SALES DATA.'!K931,'RETAIL SALES DATA.'!L931)</f>
        <v>9</v>
      </c>
      <c r="I932" s="13">
        <v>10</v>
      </c>
      <c r="J932" s="10"/>
      <c r="K932" s="13">
        <v>4</v>
      </c>
      <c r="L932" s="13">
        <v>10</v>
      </c>
      <c r="M932" s="13">
        <v>31</v>
      </c>
      <c r="N932" s="13">
        <v>0</v>
      </c>
      <c r="O932" s="54">
        <f t="shared" si="28"/>
        <v>0.43819444444444444</v>
      </c>
      <c r="P932" s="55">
        <f t="shared" si="29"/>
        <v>0.18819444444444444</v>
      </c>
    </row>
    <row r="933" spans="1:16" x14ac:dyDescent="0.3">
      <c r="A933" s="25">
        <f>YEAR('RETAIL SALES DATA.'!K932)</f>
        <v>2026</v>
      </c>
      <c r="B933" s="13" t="str">
        <v>Jan</v>
      </c>
      <c r="C933" s="42">
        <f>DAY('RETAIL SALES DATA.'!K932)</f>
        <v>20</v>
      </c>
      <c r="D933" s="13">
        <v>2026</v>
      </c>
      <c r="E933" s="13" t="str">
        <v>Jan</v>
      </c>
      <c r="F933" s="13">
        <v>24</v>
      </c>
      <c r="G933" s="10"/>
      <c r="H933" s="13">
        <f>NETWORKDAYS('RETAIL SALES DATA.'!K932,'RETAIL SALES DATA.'!L932)</f>
        <v>4</v>
      </c>
      <c r="I933" s="13">
        <v>4</v>
      </c>
      <c r="J933" s="10"/>
      <c r="K933" s="13">
        <v>0</v>
      </c>
      <c r="L933" s="13">
        <v>10</v>
      </c>
      <c r="M933" s="13">
        <v>16</v>
      </c>
      <c r="N933" s="13">
        <v>0</v>
      </c>
      <c r="O933" s="54">
        <f t="shared" si="28"/>
        <v>0.42777777777777776</v>
      </c>
      <c r="P933" s="55">
        <f t="shared" si="29"/>
        <v>1.1111111111111112E-2</v>
      </c>
    </row>
    <row r="934" spans="1:16" x14ac:dyDescent="0.3">
      <c r="A934" s="25">
        <f>YEAR('RETAIL SALES DATA.'!K933)</f>
        <v>2024</v>
      </c>
      <c r="B934" s="13" t="str">
        <v>Sep</v>
      </c>
      <c r="C934" s="42">
        <f>DAY('RETAIL SALES DATA.'!K933)</f>
        <v>14</v>
      </c>
      <c r="D934" s="13">
        <v>2024</v>
      </c>
      <c r="E934" s="13" t="str">
        <v>Sep</v>
      </c>
      <c r="F934" s="13">
        <v>22</v>
      </c>
      <c r="G934" s="10"/>
      <c r="H934" s="13">
        <f>NETWORKDAYS('RETAIL SALES DATA.'!K933,'RETAIL SALES DATA.'!L933)</f>
        <v>5</v>
      </c>
      <c r="I934" s="13">
        <v>8</v>
      </c>
      <c r="J934" s="10"/>
      <c r="K934" s="13">
        <v>14</v>
      </c>
      <c r="L934" s="13">
        <v>11</v>
      </c>
      <c r="M934" s="13">
        <v>38</v>
      </c>
      <c r="N934" s="13">
        <v>0</v>
      </c>
      <c r="O934" s="54">
        <f t="shared" si="28"/>
        <v>0.48472222222222222</v>
      </c>
      <c r="P934" s="55">
        <f t="shared" si="29"/>
        <v>0.60972222222222228</v>
      </c>
    </row>
    <row r="935" spans="1:16" x14ac:dyDescent="0.3">
      <c r="A935" s="25">
        <f>YEAR('RETAIL SALES DATA.'!K934)</f>
        <v>2025</v>
      </c>
      <c r="B935" s="13" t="str">
        <v>May</v>
      </c>
      <c r="C935" s="42">
        <f>DAY('RETAIL SALES DATA.'!K934)</f>
        <v>28</v>
      </c>
      <c r="D935" s="13">
        <v>2025</v>
      </c>
      <c r="E935" s="13" t="str">
        <v>Jun</v>
      </c>
      <c r="F935" s="13">
        <v>7</v>
      </c>
      <c r="G935" s="10"/>
      <c r="H935" s="13">
        <f>NETWORKDAYS('RETAIL SALES DATA.'!K934,'RETAIL SALES DATA.'!L934)</f>
        <v>8</v>
      </c>
      <c r="I935" s="13">
        <v>10</v>
      </c>
      <c r="J935" s="10"/>
      <c r="K935" s="13">
        <v>2</v>
      </c>
      <c r="L935" s="13">
        <v>11</v>
      </c>
      <c r="M935" s="13">
        <v>17</v>
      </c>
      <c r="N935" s="13">
        <v>0</v>
      </c>
      <c r="O935" s="54">
        <f t="shared" si="28"/>
        <v>0.47013888888888888</v>
      </c>
      <c r="P935" s="55">
        <f t="shared" si="29"/>
        <v>9.5138888888888884E-2</v>
      </c>
    </row>
    <row r="936" spans="1:16" x14ac:dyDescent="0.3">
      <c r="A936" s="25">
        <f>YEAR('RETAIL SALES DATA.'!K935)</f>
        <v>2025</v>
      </c>
      <c r="B936" s="13" t="str">
        <v>Jan</v>
      </c>
      <c r="C936" s="42">
        <f>DAY('RETAIL SALES DATA.'!K935)</f>
        <v>26</v>
      </c>
      <c r="D936" s="13">
        <v>2025</v>
      </c>
      <c r="E936" s="13" t="str">
        <v>Jan</v>
      </c>
      <c r="F936" s="13">
        <v>28</v>
      </c>
      <c r="G936" s="10"/>
      <c r="H936" s="13">
        <f>NETWORKDAYS('RETAIL SALES DATA.'!K935,'RETAIL SALES DATA.'!L935)</f>
        <v>2</v>
      </c>
      <c r="I936" s="13">
        <v>2</v>
      </c>
      <c r="J936" s="10"/>
      <c r="K936" s="13">
        <v>12</v>
      </c>
      <c r="L936" s="13">
        <v>10</v>
      </c>
      <c r="M936" s="13">
        <v>39</v>
      </c>
      <c r="N936" s="13">
        <v>0</v>
      </c>
      <c r="O936" s="54">
        <f t="shared" si="28"/>
        <v>0.44374999999999998</v>
      </c>
      <c r="P936" s="55">
        <f t="shared" si="29"/>
        <v>0.52708333333333335</v>
      </c>
    </row>
    <row r="937" spans="1:16" x14ac:dyDescent="0.3">
      <c r="A937" s="25">
        <f>YEAR('RETAIL SALES DATA.'!K936)</f>
        <v>2024</v>
      </c>
      <c r="B937" s="13" t="str">
        <v>Jul</v>
      </c>
      <c r="C937" s="42">
        <f>DAY('RETAIL SALES DATA.'!K936)</f>
        <v>12</v>
      </c>
      <c r="D937" s="13">
        <v>2024</v>
      </c>
      <c r="E937" s="13" t="str">
        <v>Jul</v>
      </c>
      <c r="F937" s="13">
        <v>22</v>
      </c>
      <c r="G937" s="10"/>
      <c r="H937" s="13">
        <f>NETWORKDAYS('RETAIL SALES DATA.'!K936,'RETAIL SALES DATA.'!L936)</f>
        <v>7</v>
      </c>
      <c r="I937" s="13">
        <v>10</v>
      </c>
      <c r="J937" s="10"/>
      <c r="K937" s="13">
        <v>4</v>
      </c>
      <c r="L937" s="13">
        <v>9</v>
      </c>
      <c r="M937" s="13">
        <v>43</v>
      </c>
      <c r="N937" s="13">
        <v>0</v>
      </c>
      <c r="O937" s="54">
        <f t="shared" si="28"/>
        <v>0.40486111111111112</v>
      </c>
      <c r="P937" s="55">
        <f t="shared" si="29"/>
        <v>0.19652777777777777</v>
      </c>
    </row>
    <row r="938" spans="1:16" x14ac:dyDescent="0.3">
      <c r="A938" s="25">
        <f>YEAR('RETAIL SALES DATA.'!K937)</f>
        <v>2025</v>
      </c>
      <c r="B938" s="13" t="str">
        <v>Jul</v>
      </c>
      <c r="C938" s="42">
        <f>DAY('RETAIL SALES DATA.'!K937)</f>
        <v>27</v>
      </c>
      <c r="D938" s="13">
        <v>2025</v>
      </c>
      <c r="E938" s="13" t="str">
        <v>Jul</v>
      </c>
      <c r="F938" s="13">
        <v>29</v>
      </c>
      <c r="G938" s="10"/>
      <c r="H938" s="13">
        <f>NETWORKDAYS('RETAIL SALES DATA.'!K937,'RETAIL SALES DATA.'!L937)</f>
        <v>2</v>
      </c>
      <c r="I938" s="13">
        <v>2</v>
      </c>
      <c r="J938" s="10"/>
      <c r="K938" s="13">
        <v>2</v>
      </c>
      <c r="L938" s="13">
        <v>8</v>
      </c>
      <c r="M938" s="13">
        <v>53</v>
      </c>
      <c r="N938" s="13">
        <v>0</v>
      </c>
      <c r="O938" s="54">
        <f t="shared" si="28"/>
        <v>0.37013888888888891</v>
      </c>
      <c r="P938" s="55">
        <f t="shared" si="29"/>
        <v>0.12013888888888889</v>
      </c>
    </row>
    <row r="939" spans="1:16" x14ac:dyDescent="0.3">
      <c r="A939" s="25">
        <f>YEAR('RETAIL SALES DATA.'!K938)</f>
        <v>2024</v>
      </c>
      <c r="B939" s="13" t="str">
        <v>Sep</v>
      </c>
      <c r="C939" s="42">
        <f>DAY('RETAIL SALES DATA.'!K938)</f>
        <v>16</v>
      </c>
      <c r="D939" s="13">
        <v>2024</v>
      </c>
      <c r="E939" s="13" t="str">
        <v>Sep</v>
      </c>
      <c r="F939" s="13">
        <v>22</v>
      </c>
      <c r="G939" s="10"/>
      <c r="H939" s="13">
        <f>NETWORKDAYS('RETAIL SALES DATA.'!K938,'RETAIL SALES DATA.'!L938)</f>
        <v>5</v>
      </c>
      <c r="I939" s="13">
        <v>6</v>
      </c>
      <c r="J939" s="10"/>
      <c r="K939" s="13">
        <v>9</v>
      </c>
      <c r="L939" s="13">
        <v>10</v>
      </c>
      <c r="M939" s="13">
        <v>15</v>
      </c>
      <c r="N939" s="13">
        <v>0</v>
      </c>
      <c r="O939" s="54">
        <f t="shared" si="28"/>
        <v>0.42708333333333331</v>
      </c>
      <c r="P939" s="55">
        <f t="shared" si="29"/>
        <v>0.38541666666666669</v>
      </c>
    </row>
    <row r="940" spans="1:16" x14ac:dyDescent="0.3">
      <c r="A940" s="25">
        <f>YEAR('RETAIL SALES DATA.'!K939)</f>
        <v>2025</v>
      </c>
      <c r="B940" s="13" t="str">
        <v>Aug</v>
      </c>
      <c r="C940" s="42">
        <f>DAY('RETAIL SALES DATA.'!K939)</f>
        <v>18</v>
      </c>
      <c r="D940" s="13">
        <v>2025</v>
      </c>
      <c r="E940" s="13" t="str">
        <v>Aug</v>
      </c>
      <c r="F940" s="13">
        <v>20</v>
      </c>
      <c r="G940" s="10"/>
      <c r="H940" s="13">
        <f>NETWORKDAYS('RETAIL SALES DATA.'!K939,'RETAIL SALES DATA.'!L939)</f>
        <v>3</v>
      </c>
      <c r="I940" s="13">
        <v>2</v>
      </c>
      <c r="J940" s="10"/>
      <c r="K940" s="13">
        <v>2</v>
      </c>
      <c r="L940" s="13">
        <v>8</v>
      </c>
      <c r="M940" s="13">
        <v>58</v>
      </c>
      <c r="N940" s="13">
        <v>0</v>
      </c>
      <c r="O940" s="54">
        <f t="shared" si="28"/>
        <v>0.37361111111111112</v>
      </c>
      <c r="P940" s="55">
        <f t="shared" si="29"/>
        <v>0.12361111111111112</v>
      </c>
    </row>
    <row r="941" spans="1:16" x14ac:dyDescent="0.3">
      <c r="A941" s="25">
        <f>YEAR('RETAIL SALES DATA.'!K940)</f>
        <v>2025</v>
      </c>
      <c r="B941" s="13" t="str">
        <v>Mar</v>
      </c>
      <c r="C941" s="42">
        <f>DAY('RETAIL SALES DATA.'!K940)</f>
        <v>4</v>
      </c>
      <c r="D941" s="13">
        <v>2025</v>
      </c>
      <c r="E941" s="13" t="str">
        <v>Mar</v>
      </c>
      <c r="F941" s="13">
        <v>9</v>
      </c>
      <c r="G941" s="10"/>
      <c r="H941" s="13">
        <f>NETWORKDAYS('RETAIL SALES DATA.'!K940,'RETAIL SALES DATA.'!L940)</f>
        <v>4</v>
      </c>
      <c r="I941" s="13">
        <v>5</v>
      </c>
      <c r="J941" s="10"/>
      <c r="K941" s="13">
        <v>14</v>
      </c>
      <c r="L941" s="13">
        <v>10</v>
      </c>
      <c r="M941" s="13">
        <v>25</v>
      </c>
      <c r="N941" s="13">
        <v>0</v>
      </c>
      <c r="O941" s="54">
        <f t="shared" si="28"/>
        <v>0.43402777777777779</v>
      </c>
      <c r="P941" s="55">
        <f t="shared" si="29"/>
        <v>0.60069444444444442</v>
      </c>
    </row>
    <row r="942" spans="1:16" x14ac:dyDescent="0.3">
      <c r="A942" s="25">
        <f>YEAR('RETAIL SALES DATA.'!K941)</f>
        <v>2025</v>
      </c>
      <c r="B942" s="13" t="str">
        <v>May</v>
      </c>
      <c r="C942" s="42">
        <f>DAY('RETAIL SALES DATA.'!K941)</f>
        <v>5</v>
      </c>
      <c r="D942" s="13">
        <v>2025</v>
      </c>
      <c r="E942" s="13" t="str">
        <v>May</v>
      </c>
      <c r="F942" s="13">
        <v>13</v>
      </c>
      <c r="G942" s="10"/>
      <c r="H942" s="13">
        <f>NETWORKDAYS('RETAIL SALES DATA.'!K941,'RETAIL SALES DATA.'!L941)</f>
        <v>7</v>
      </c>
      <c r="I942" s="13">
        <v>8</v>
      </c>
      <c r="J942" s="10"/>
      <c r="K942" s="13">
        <v>19</v>
      </c>
      <c r="L942" s="13">
        <v>10</v>
      </c>
      <c r="M942" s="13">
        <v>35</v>
      </c>
      <c r="N942" s="13">
        <v>0</v>
      </c>
      <c r="O942" s="54">
        <f t="shared" si="28"/>
        <v>0.44097222222222221</v>
      </c>
      <c r="P942" s="55">
        <f t="shared" si="29"/>
        <v>0.81597222222222221</v>
      </c>
    </row>
    <row r="943" spans="1:16" x14ac:dyDescent="0.3">
      <c r="A943" s="25">
        <f>YEAR('RETAIL SALES DATA.'!K942)</f>
        <v>2024</v>
      </c>
      <c r="B943" s="13" t="str">
        <v>May</v>
      </c>
      <c r="C943" s="42">
        <f>DAY('RETAIL SALES DATA.'!K942)</f>
        <v>24</v>
      </c>
      <c r="D943" s="13">
        <v>2024</v>
      </c>
      <c r="E943" s="13" t="str">
        <v>May</v>
      </c>
      <c r="F943" s="13">
        <v>25</v>
      </c>
      <c r="G943" s="10"/>
      <c r="H943" s="13">
        <f>NETWORKDAYS('RETAIL SALES DATA.'!K942,'RETAIL SALES DATA.'!L942)</f>
        <v>1</v>
      </c>
      <c r="I943" s="13">
        <v>1</v>
      </c>
      <c r="J943" s="10"/>
      <c r="K943" s="13">
        <v>9</v>
      </c>
      <c r="L943" s="13">
        <v>9</v>
      </c>
      <c r="M943" s="13">
        <v>54</v>
      </c>
      <c r="N943" s="13">
        <v>0</v>
      </c>
      <c r="O943" s="54">
        <f t="shared" si="28"/>
        <v>0.41249999999999998</v>
      </c>
      <c r="P943" s="55">
        <f t="shared" si="29"/>
        <v>0.41249999999999998</v>
      </c>
    </row>
    <row r="944" spans="1:16" x14ac:dyDescent="0.3">
      <c r="A944" s="25">
        <f>YEAR('RETAIL SALES DATA.'!K943)</f>
        <v>2026</v>
      </c>
      <c r="B944" s="13" t="str">
        <v>May</v>
      </c>
      <c r="C944" s="42">
        <f>DAY('RETAIL SALES DATA.'!K943)</f>
        <v>1</v>
      </c>
      <c r="D944" s="13">
        <v>2026</v>
      </c>
      <c r="E944" s="13" t="str">
        <v>May</v>
      </c>
      <c r="F944" s="13">
        <v>10</v>
      </c>
      <c r="G944" s="10"/>
      <c r="H944" s="13">
        <f>NETWORKDAYS('RETAIL SALES DATA.'!K943,'RETAIL SALES DATA.'!L943)</f>
        <v>6</v>
      </c>
      <c r="I944" s="13">
        <v>9</v>
      </c>
      <c r="J944" s="10"/>
      <c r="K944" s="13">
        <v>14</v>
      </c>
      <c r="L944" s="13">
        <v>10</v>
      </c>
      <c r="M944" s="13">
        <v>56</v>
      </c>
      <c r="N944" s="13">
        <v>0</v>
      </c>
      <c r="O944" s="54">
        <f t="shared" si="28"/>
        <v>0.45555555555555555</v>
      </c>
      <c r="P944" s="55">
        <f t="shared" si="29"/>
        <v>0.62222222222222223</v>
      </c>
    </row>
    <row r="945" spans="1:16" x14ac:dyDescent="0.3">
      <c r="A945" s="25">
        <f>YEAR('RETAIL SALES DATA.'!K944)</f>
        <v>2024</v>
      </c>
      <c r="B945" s="13" t="str">
        <v>Nov</v>
      </c>
      <c r="C945" s="42">
        <f>DAY('RETAIL SALES DATA.'!K944)</f>
        <v>15</v>
      </c>
      <c r="D945" s="13">
        <v>2024</v>
      </c>
      <c r="E945" s="13" t="str">
        <v>Nov</v>
      </c>
      <c r="F945" s="13">
        <v>18</v>
      </c>
      <c r="G945" s="10"/>
      <c r="H945" s="13">
        <f>NETWORKDAYS('RETAIL SALES DATA.'!K944,'RETAIL SALES DATA.'!L944)</f>
        <v>2</v>
      </c>
      <c r="I945" s="13">
        <v>3</v>
      </c>
      <c r="J945" s="10"/>
      <c r="K945" s="13">
        <v>14</v>
      </c>
      <c r="L945" s="13">
        <v>10</v>
      </c>
      <c r="M945" s="13">
        <v>18</v>
      </c>
      <c r="N945" s="13">
        <v>0</v>
      </c>
      <c r="O945" s="54">
        <f t="shared" si="28"/>
        <v>0.42916666666666664</v>
      </c>
      <c r="P945" s="55">
        <f t="shared" si="29"/>
        <v>0.59583333333333333</v>
      </c>
    </row>
    <row r="946" spans="1:16" x14ac:dyDescent="0.3">
      <c r="A946" s="25">
        <f>YEAR('RETAIL SALES DATA.'!K945)</f>
        <v>2025</v>
      </c>
      <c r="B946" s="13" t="str">
        <v>Apr</v>
      </c>
      <c r="C946" s="42">
        <f>DAY('RETAIL SALES DATA.'!K945)</f>
        <v>15</v>
      </c>
      <c r="D946" s="13">
        <v>2025</v>
      </c>
      <c r="E946" s="13" t="str">
        <v>Apr</v>
      </c>
      <c r="F946" s="13">
        <v>18</v>
      </c>
      <c r="G946" s="10"/>
      <c r="H946" s="13">
        <f>NETWORKDAYS('RETAIL SALES DATA.'!K945,'RETAIL SALES DATA.'!L945)</f>
        <v>4</v>
      </c>
      <c r="I946" s="13">
        <v>3</v>
      </c>
      <c r="J946" s="10"/>
      <c r="K946" s="13">
        <v>2</v>
      </c>
      <c r="L946" s="13">
        <v>9</v>
      </c>
      <c r="M946" s="13">
        <v>9</v>
      </c>
      <c r="N946" s="13">
        <v>0</v>
      </c>
      <c r="O946" s="54">
        <f t="shared" si="28"/>
        <v>0.38124999999999998</v>
      </c>
      <c r="P946" s="55">
        <f t="shared" si="29"/>
        <v>8.9583333333333334E-2</v>
      </c>
    </row>
    <row r="947" spans="1:16" x14ac:dyDescent="0.3">
      <c r="A947" s="25">
        <f>YEAR('RETAIL SALES DATA.'!K946)</f>
        <v>2025</v>
      </c>
      <c r="B947" s="13" t="str">
        <v>Nov</v>
      </c>
      <c r="C947" s="42">
        <f>DAY('RETAIL SALES DATA.'!K946)</f>
        <v>11</v>
      </c>
      <c r="D947" s="13">
        <v>2025</v>
      </c>
      <c r="E947" s="13" t="str">
        <v>Nov</v>
      </c>
      <c r="F947" s="13">
        <v>16</v>
      </c>
      <c r="G947" s="10"/>
      <c r="H947" s="13">
        <f>NETWORKDAYS('RETAIL SALES DATA.'!K946,'RETAIL SALES DATA.'!L946)</f>
        <v>4</v>
      </c>
      <c r="I947" s="13">
        <v>5</v>
      </c>
      <c r="J947" s="10"/>
      <c r="K947" s="13">
        <v>0</v>
      </c>
      <c r="L947" s="13">
        <v>8</v>
      </c>
      <c r="M947" s="13">
        <v>35</v>
      </c>
      <c r="N947" s="13">
        <v>0</v>
      </c>
      <c r="O947" s="54">
        <f t="shared" si="28"/>
        <v>0.3576388888888889</v>
      </c>
      <c r="P947" s="55">
        <f t="shared" si="29"/>
        <v>2.4305555555555556E-2</v>
      </c>
    </row>
    <row r="948" spans="1:16" x14ac:dyDescent="0.3">
      <c r="A948" s="25">
        <f>YEAR('RETAIL SALES DATA.'!K947)</f>
        <v>2026</v>
      </c>
      <c r="B948" s="13" t="str">
        <v>May</v>
      </c>
      <c r="C948" s="42">
        <f>DAY('RETAIL SALES DATA.'!K947)</f>
        <v>4</v>
      </c>
      <c r="D948" s="13">
        <v>2026</v>
      </c>
      <c r="E948" s="13" t="str">
        <v>May</v>
      </c>
      <c r="F948" s="13">
        <v>7</v>
      </c>
      <c r="G948" s="10"/>
      <c r="H948" s="13">
        <f>NETWORKDAYS('RETAIL SALES DATA.'!K947,'RETAIL SALES DATA.'!L947)</f>
        <v>4</v>
      </c>
      <c r="I948" s="13">
        <v>3</v>
      </c>
      <c r="J948" s="10"/>
      <c r="K948" s="13">
        <v>16</v>
      </c>
      <c r="L948" s="13">
        <v>11</v>
      </c>
      <c r="M948" s="13">
        <v>23</v>
      </c>
      <c r="N948" s="13">
        <v>0</v>
      </c>
      <c r="O948" s="54">
        <f t="shared" si="28"/>
        <v>0.47430555555555554</v>
      </c>
      <c r="P948" s="55">
        <f t="shared" si="29"/>
        <v>0.68263888888888891</v>
      </c>
    </row>
    <row r="949" spans="1:16" x14ac:dyDescent="0.3">
      <c r="A949" s="25">
        <f>YEAR('RETAIL SALES DATA.'!K948)</f>
        <v>2025</v>
      </c>
      <c r="B949" s="13" t="str">
        <v>Jun</v>
      </c>
      <c r="C949" s="42">
        <f>DAY('RETAIL SALES DATA.'!K948)</f>
        <v>29</v>
      </c>
      <c r="D949" s="13">
        <v>2025</v>
      </c>
      <c r="E949" s="13" t="str">
        <v>Jul</v>
      </c>
      <c r="F949" s="13">
        <v>1</v>
      </c>
      <c r="G949" s="10"/>
      <c r="H949" s="13">
        <f>NETWORKDAYS('RETAIL SALES DATA.'!K948,'RETAIL SALES DATA.'!L948)</f>
        <v>2</v>
      </c>
      <c r="I949" s="13">
        <v>2</v>
      </c>
      <c r="J949" s="10"/>
      <c r="K949" s="13">
        <v>21</v>
      </c>
      <c r="L949" s="13">
        <v>11</v>
      </c>
      <c r="M949" s="13">
        <v>48</v>
      </c>
      <c r="N949" s="13">
        <v>0</v>
      </c>
      <c r="O949" s="54">
        <f t="shared" si="28"/>
        <v>0.49166666666666664</v>
      </c>
      <c r="P949" s="55">
        <f t="shared" si="29"/>
        <v>0.90833333333333333</v>
      </c>
    </row>
    <row r="950" spans="1:16" x14ac:dyDescent="0.3">
      <c r="A950" s="25">
        <f>YEAR('RETAIL SALES DATA.'!K949)</f>
        <v>2025</v>
      </c>
      <c r="B950" s="13" t="str">
        <v>Oct</v>
      </c>
      <c r="C950" s="42">
        <f>DAY('RETAIL SALES DATA.'!K949)</f>
        <v>29</v>
      </c>
      <c r="D950" s="13">
        <v>2025</v>
      </c>
      <c r="E950" s="13" t="str">
        <v>Nov</v>
      </c>
      <c r="F950" s="13">
        <v>7</v>
      </c>
      <c r="G950" s="10"/>
      <c r="H950" s="13">
        <f>NETWORKDAYS('RETAIL SALES DATA.'!K949,'RETAIL SALES DATA.'!L949)</f>
        <v>8</v>
      </c>
      <c r="I950" s="13">
        <v>9</v>
      </c>
      <c r="J950" s="10"/>
      <c r="K950" s="13">
        <v>0</v>
      </c>
      <c r="L950" s="13">
        <v>8</v>
      </c>
      <c r="M950" s="13">
        <v>1</v>
      </c>
      <c r="N950" s="13">
        <v>0</v>
      </c>
      <c r="O950" s="54">
        <f t="shared" si="28"/>
        <v>0.33402777777777776</v>
      </c>
      <c r="P950" s="55">
        <f t="shared" si="29"/>
        <v>6.9444444444444447E-4</v>
      </c>
    </row>
    <row r="951" spans="1:16" x14ac:dyDescent="0.3">
      <c r="A951" s="25">
        <f>YEAR('RETAIL SALES DATA.'!K950)</f>
        <v>2024</v>
      </c>
      <c r="B951" s="13" t="str">
        <v>Jul</v>
      </c>
      <c r="C951" s="42">
        <f>DAY('RETAIL SALES DATA.'!K950)</f>
        <v>1</v>
      </c>
      <c r="D951" s="13">
        <v>2024</v>
      </c>
      <c r="E951" s="13" t="str">
        <v>Jul</v>
      </c>
      <c r="F951" s="13">
        <v>8</v>
      </c>
      <c r="G951" s="10"/>
      <c r="H951" s="13">
        <f>NETWORKDAYS('RETAIL SALES DATA.'!K950,'RETAIL SALES DATA.'!L950)</f>
        <v>6</v>
      </c>
      <c r="I951" s="13">
        <v>7</v>
      </c>
      <c r="J951" s="10"/>
      <c r="K951" s="13">
        <v>21</v>
      </c>
      <c r="L951" s="13">
        <v>10</v>
      </c>
      <c r="M951" s="13">
        <v>11</v>
      </c>
      <c r="N951" s="13">
        <v>0</v>
      </c>
      <c r="O951" s="54">
        <f t="shared" si="28"/>
        <v>0.42430555555555555</v>
      </c>
      <c r="P951" s="55">
        <f t="shared" si="29"/>
        <v>0.88263888888888886</v>
      </c>
    </row>
    <row r="952" spans="1:16" x14ac:dyDescent="0.3">
      <c r="A952" s="25">
        <f>YEAR('RETAIL SALES DATA.'!K951)</f>
        <v>2026</v>
      </c>
      <c r="B952" s="13" t="str">
        <v>Mar</v>
      </c>
      <c r="C952" s="42">
        <f>DAY('RETAIL SALES DATA.'!K951)</f>
        <v>10</v>
      </c>
      <c r="D952" s="13">
        <v>2026</v>
      </c>
      <c r="E952" s="13" t="str">
        <v>Mar</v>
      </c>
      <c r="F952" s="13">
        <v>20</v>
      </c>
      <c r="G952" s="10"/>
      <c r="H952" s="13">
        <f>NETWORKDAYS('RETAIL SALES DATA.'!K951,'RETAIL SALES DATA.'!L951)</f>
        <v>9</v>
      </c>
      <c r="I952" s="13">
        <v>10</v>
      </c>
      <c r="J952" s="10"/>
      <c r="K952" s="13">
        <v>0</v>
      </c>
      <c r="L952" s="13">
        <v>9</v>
      </c>
      <c r="M952" s="13">
        <v>58</v>
      </c>
      <c r="N952" s="13">
        <v>0</v>
      </c>
      <c r="O952" s="54">
        <f t="shared" si="28"/>
        <v>0.4152777777777778</v>
      </c>
      <c r="P952" s="55">
        <f t="shared" si="29"/>
        <v>4.027777777777778E-2</v>
      </c>
    </row>
    <row r="953" spans="1:16" x14ac:dyDescent="0.3">
      <c r="A953" s="25">
        <f>YEAR('RETAIL SALES DATA.'!K952)</f>
        <v>2025</v>
      </c>
      <c r="B953" s="13" t="str">
        <v>Feb</v>
      </c>
      <c r="C953" s="42">
        <f>DAY('RETAIL SALES DATA.'!K952)</f>
        <v>20</v>
      </c>
      <c r="D953" s="13">
        <v>2025</v>
      </c>
      <c r="E953" s="13" t="str">
        <v>Mar</v>
      </c>
      <c r="F953" s="13">
        <v>2</v>
      </c>
      <c r="G953" s="10"/>
      <c r="H953" s="13">
        <f>NETWORKDAYS('RETAIL SALES DATA.'!K952,'RETAIL SALES DATA.'!L952)</f>
        <v>7</v>
      </c>
      <c r="I953" s="13">
        <v>10</v>
      </c>
      <c r="J953" s="10"/>
      <c r="K953" s="13">
        <v>9</v>
      </c>
      <c r="L953" s="13">
        <v>9</v>
      </c>
      <c r="M953" s="13">
        <v>49</v>
      </c>
      <c r="N953" s="13">
        <v>0</v>
      </c>
      <c r="O953" s="54">
        <f t="shared" si="28"/>
        <v>0.40902777777777777</v>
      </c>
      <c r="P953" s="55">
        <f t="shared" si="29"/>
        <v>0.40902777777777777</v>
      </c>
    </row>
    <row r="954" spans="1:16" x14ac:dyDescent="0.3">
      <c r="A954" s="25">
        <f>YEAR('RETAIL SALES DATA.'!K953)</f>
        <v>2025</v>
      </c>
      <c r="B954" s="13" t="str">
        <v>Aug</v>
      </c>
      <c r="C954" s="42">
        <f>DAY('RETAIL SALES DATA.'!K953)</f>
        <v>2</v>
      </c>
      <c r="D954" s="13">
        <v>2025</v>
      </c>
      <c r="E954" s="13" t="str">
        <v>Aug</v>
      </c>
      <c r="F954" s="13">
        <v>6</v>
      </c>
      <c r="G954" s="10"/>
      <c r="H954" s="13">
        <f>NETWORKDAYS('RETAIL SALES DATA.'!K953,'RETAIL SALES DATA.'!L953)</f>
        <v>3</v>
      </c>
      <c r="I954" s="13">
        <v>4</v>
      </c>
      <c r="J954" s="10"/>
      <c r="K954" s="13">
        <v>9</v>
      </c>
      <c r="L954" s="13">
        <v>8</v>
      </c>
      <c r="M954" s="13">
        <v>45</v>
      </c>
      <c r="N954" s="13">
        <v>0</v>
      </c>
      <c r="O954" s="54">
        <f t="shared" si="28"/>
        <v>0.36458333333333331</v>
      </c>
      <c r="P954" s="55">
        <f t="shared" si="29"/>
        <v>0.40625</v>
      </c>
    </row>
    <row r="955" spans="1:16" x14ac:dyDescent="0.3">
      <c r="A955" s="25">
        <f>YEAR('RETAIL SALES DATA.'!K954)</f>
        <v>2026</v>
      </c>
      <c r="B955" s="13" t="str">
        <v>Mar</v>
      </c>
      <c r="C955" s="42">
        <f>DAY('RETAIL SALES DATA.'!K954)</f>
        <v>16</v>
      </c>
      <c r="D955" s="13">
        <v>2026</v>
      </c>
      <c r="E955" s="13" t="str">
        <v>Mar</v>
      </c>
      <c r="F955" s="13">
        <v>18</v>
      </c>
      <c r="G955" s="10"/>
      <c r="H955" s="13">
        <f>NETWORKDAYS('RETAIL SALES DATA.'!K954,'RETAIL SALES DATA.'!L954)</f>
        <v>3</v>
      </c>
      <c r="I955" s="13">
        <v>2</v>
      </c>
      <c r="J955" s="10"/>
      <c r="K955" s="13">
        <v>14</v>
      </c>
      <c r="L955" s="13">
        <v>10</v>
      </c>
      <c r="M955" s="13">
        <v>3</v>
      </c>
      <c r="N955" s="13">
        <v>0</v>
      </c>
      <c r="O955" s="54">
        <f t="shared" si="28"/>
        <v>0.41875000000000001</v>
      </c>
      <c r="P955" s="55">
        <f t="shared" si="29"/>
        <v>0.5854166666666667</v>
      </c>
    </row>
    <row r="956" spans="1:16" x14ac:dyDescent="0.3">
      <c r="A956" s="25">
        <f>YEAR('RETAIL SALES DATA.'!K955)</f>
        <v>2026</v>
      </c>
      <c r="B956" s="13" t="str">
        <v>Feb</v>
      </c>
      <c r="C956" s="42">
        <f>DAY('RETAIL SALES DATA.'!K955)</f>
        <v>3</v>
      </c>
      <c r="D956" s="13">
        <v>2026</v>
      </c>
      <c r="E956" s="13" t="str">
        <v>Feb</v>
      </c>
      <c r="F956" s="13">
        <v>9</v>
      </c>
      <c r="G956" s="10"/>
      <c r="H956" s="13">
        <f>NETWORKDAYS('RETAIL SALES DATA.'!K955,'RETAIL SALES DATA.'!L955)</f>
        <v>5</v>
      </c>
      <c r="I956" s="13">
        <v>6</v>
      </c>
      <c r="J956" s="10"/>
      <c r="K956" s="13">
        <v>14</v>
      </c>
      <c r="L956" s="13">
        <v>10</v>
      </c>
      <c r="M956" s="13">
        <v>18</v>
      </c>
      <c r="N956" s="13">
        <v>0</v>
      </c>
      <c r="O956" s="54">
        <f t="shared" si="28"/>
        <v>0.42916666666666664</v>
      </c>
      <c r="P956" s="55">
        <f t="shared" si="29"/>
        <v>0.59583333333333333</v>
      </c>
    </row>
    <row r="957" spans="1:16" x14ac:dyDescent="0.3">
      <c r="A957" s="25">
        <f>YEAR('RETAIL SALES DATA.'!K956)</f>
        <v>2024</v>
      </c>
      <c r="B957" s="13" t="str">
        <v>Nov</v>
      </c>
      <c r="C957" s="42">
        <f>DAY('RETAIL SALES DATA.'!K956)</f>
        <v>15</v>
      </c>
      <c r="D957" s="13">
        <v>2024</v>
      </c>
      <c r="E957" s="13" t="str">
        <v>Nov</v>
      </c>
      <c r="F957" s="13">
        <v>16</v>
      </c>
      <c r="G957" s="10"/>
      <c r="H957" s="13">
        <f>NETWORKDAYS('RETAIL SALES DATA.'!K956,'RETAIL SALES DATA.'!L956)</f>
        <v>1</v>
      </c>
      <c r="I957" s="13">
        <v>1</v>
      </c>
      <c r="J957" s="10"/>
      <c r="K957" s="13">
        <v>7</v>
      </c>
      <c r="L957" s="13">
        <v>11</v>
      </c>
      <c r="M957" s="13">
        <v>13</v>
      </c>
      <c r="N957" s="13">
        <v>0</v>
      </c>
      <c r="O957" s="54">
        <f t="shared" si="28"/>
        <v>0.46736111111111112</v>
      </c>
      <c r="P957" s="55">
        <f t="shared" si="29"/>
        <v>0.30069444444444443</v>
      </c>
    </row>
    <row r="958" spans="1:16" x14ac:dyDescent="0.3">
      <c r="A958" s="25">
        <f>YEAR('RETAIL SALES DATA.'!K957)</f>
        <v>2025</v>
      </c>
      <c r="B958" s="13" t="str">
        <v>Jan</v>
      </c>
      <c r="C958" s="42">
        <f>DAY('RETAIL SALES DATA.'!K957)</f>
        <v>23</v>
      </c>
      <c r="D958" s="13">
        <v>2025</v>
      </c>
      <c r="E958" s="13" t="str">
        <v>Jan</v>
      </c>
      <c r="F958" s="13">
        <v>27</v>
      </c>
      <c r="G958" s="10"/>
      <c r="H958" s="13">
        <f>NETWORKDAYS('RETAIL SALES DATA.'!K957,'RETAIL SALES DATA.'!L957)</f>
        <v>3</v>
      </c>
      <c r="I958" s="13">
        <v>4</v>
      </c>
      <c r="J958" s="10"/>
      <c r="K958" s="13">
        <v>7</v>
      </c>
      <c r="L958" s="13">
        <v>8</v>
      </c>
      <c r="M958" s="13">
        <v>32</v>
      </c>
      <c r="N958" s="13">
        <v>0</v>
      </c>
      <c r="O958" s="54">
        <f t="shared" si="28"/>
        <v>0.35555555555555557</v>
      </c>
      <c r="P958" s="55">
        <f t="shared" si="29"/>
        <v>0.31388888888888888</v>
      </c>
    </row>
    <row r="959" spans="1:16" x14ac:dyDescent="0.3">
      <c r="A959" s="25">
        <f>YEAR('RETAIL SALES DATA.'!K958)</f>
        <v>2025</v>
      </c>
      <c r="B959" s="13" t="str">
        <v>Nov</v>
      </c>
      <c r="C959" s="42">
        <f>DAY('RETAIL SALES DATA.'!K958)</f>
        <v>27</v>
      </c>
      <c r="D959" s="13">
        <v>2025</v>
      </c>
      <c r="E959" s="13" t="str">
        <v>Dec</v>
      </c>
      <c r="F959" s="13">
        <v>3</v>
      </c>
      <c r="G959" s="10"/>
      <c r="H959" s="13">
        <f>NETWORKDAYS('RETAIL SALES DATA.'!K958,'RETAIL SALES DATA.'!L958)</f>
        <v>5</v>
      </c>
      <c r="I959" s="13">
        <v>6</v>
      </c>
      <c r="J959" s="10"/>
      <c r="K959" s="13">
        <v>14</v>
      </c>
      <c r="L959" s="13">
        <v>10</v>
      </c>
      <c r="M959" s="13">
        <v>15</v>
      </c>
      <c r="N959" s="13">
        <v>0</v>
      </c>
      <c r="O959" s="54">
        <f t="shared" si="28"/>
        <v>0.42708333333333331</v>
      </c>
      <c r="P959" s="55">
        <f t="shared" si="29"/>
        <v>0.59375</v>
      </c>
    </row>
    <row r="960" spans="1:16" x14ac:dyDescent="0.3">
      <c r="A960" s="25">
        <f>YEAR('RETAIL SALES DATA.'!K959)</f>
        <v>2024</v>
      </c>
      <c r="B960" s="13" t="str">
        <v>Nov</v>
      </c>
      <c r="C960" s="42">
        <f>DAY('RETAIL SALES DATA.'!K959)</f>
        <v>19</v>
      </c>
      <c r="D960" s="13">
        <v>2024</v>
      </c>
      <c r="E960" s="13" t="str">
        <v>Nov</v>
      </c>
      <c r="F960" s="13">
        <v>27</v>
      </c>
      <c r="G960" s="10"/>
      <c r="H960" s="13">
        <f>NETWORKDAYS('RETAIL SALES DATA.'!K959,'RETAIL SALES DATA.'!L959)</f>
        <v>7</v>
      </c>
      <c r="I960" s="13">
        <v>8</v>
      </c>
      <c r="J960" s="10"/>
      <c r="K960" s="13">
        <v>7</v>
      </c>
      <c r="L960" s="13">
        <v>8</v>
      </c>
      <c r="M960" s="13">
        <v>12</v>
      </c>
      <c r="N960" s="13">
        <v>0</v>
      </c>
      <c r="O960" s="54">
        <f t="shared" si="28"/>
        <v>0.34166666666666667</v>
      </c>
      <c r="P960" s="55">
        <f t="shared" si="29"/>
        <v>0.3</v>
      </c>
    </row>
    <row r="961" spans="1:16" x14ac:dyDescent="0.3">
      <c r="A961" s="25">
        <f>YEAR('RETAIL SALES DATA.'!K960)</f>
        <v>2025</v>
      </c>
      <c r="B961" s="13" t="str">
        <v>Dec</v>
      </c>
      <c r="C961" s="42">
        <f>DAY('RETAIL SALES DATA.'!K960)</f>
        <v>29</v>
      </c>
      <c r="D961" s="13">
        <v>2025</v>
      </c>
      <c r="E961" s="13" t="str">
        <v>Dec</v>
      </c>
      <c r="F961" s="13">
        <v>30</v>
      </c>
      <c r="G961" s="10"/>
      <c r="H961" s="13">
        <f>NETWORKDAYS('RETAIL SALES DATA.'!K960,'RETAIL SALES DATA.'!L960)</f>
        <v>2</v>
      </c>
      <c r="I961" s="13">
        <v>1</v>
      </c>
      <c r="J961" s="10"/>
      <c r="K961" s="13">
        <v>4</v>
      </c>
      <c r="L961" s="13">
        <v>9</v>
      </c>
      <c r="M961" s="13">
        <v>22</v>
      </c>
      <c r="N961" s="13">
        <v>0</v>
      </c>
      <c r="O961" s="54">
        <f t="shared" si="28"/>
        <v>0.39027777777777778</v>
      </c>
      <c r="P961" s="55">
        <f t="shared" si="29"/>
        <v>0.18194444444444444</v>
      </c>
    </row>
    <row r="962" spans="1:16" x14ac:dyDescent="0.3">
      <c r="A962" s="25">
        <f>YEAR('RETAIL SALES DATA.'!K961)</f>
        <v>2026</v>
      </c>
      <c r="B962" s="13" t="str">
        <v>Jan</v>
      </c>
      <c r="C962" s="42">
        <f>DAY('RETAIL SALES DATA.'!K961)</f>
        <v>29</v>
      </c>
      <c r="D962" s="13">
        <v>2026</v>
      </c>
      <c r="E962" s="13" t="str">
        <v>Jan</v>
      </c>
      <c r="F962" s="13">
        <v>31</v>
      </c>
      <c r="G962" s="10"/>
      <c r="H962" s="13">
        <f>NETWORKDAYS('RETAIL SALES DATA.'!K961,'RETAIL SALES DATA.'!L961)</f>
        <v>2</v>
      </c>
      <c r="I962" s="13">
        <v>2</v>
      </c>
      <c r="J962" s="10"/>
      <c r="K962" s="13">
        <v>2</v>
      </c>
      <c r="L962" s="13">
        <v>9</v>
      </c>
      <c r="M962" s="13">
        <v>2</v>
      </c>
      <c r="N962" s="13">
        <v>0</v>
      </c>
      <c r="O962" s="54">
        <f t="shared" si="28"/>
        <v>0.37638888888888888</v>
      </c>
      <c r="P962" s="55">
        <f t="shared" si="29"/>
        <v>8.4722222222222227E-2</v>
      </c>
    </row>
    <row r="963" spans="1:16" x14ac:dyDescent="0.3">
      <c r="A963" s="25">
        <f>YEAR('RETAIL SALES DATA.'!K962)</f>
        <v>2025</v>
      </c>
      <c r="B963" s="13" t="str">
        <v>Oct</v>
      </c>
      <c r="C963" s="42">
        <f>DAY('RETAIL SALES DATA.'!K962)</f>
        <v>2</v>
      </c>
      <c r="D963" s="13">
        <v>2025</v>
      </c>
      <c r="E963" s="13" t="str">
        <v>Oct</v>
      </c>
      <c r="F963" s="13">
        <v>7</v>
      </c>
      <c r="G963" s="10"/>
      <c r="H963" s="13">
        <f>NETWORKDAYS('RETAIL SALES DATA.'!K962,'RETAIL SALES DATA.'!L962)</f>
        <v>4</v>
      </c>
      <c r="I963" s="13">
        <v>5</v>
      </c>
      <c r="J963" s="10"/>
      <c r="K963" s="13">
        <v>0</v>
      </c>
      <c r="L963" s="13">
        <v>11</v>
      </c>
      <c r="M963" s="13">
        <v>7</v>
      </c>
      <c r="N963" s="13">
        <v>0</v>
      </c>
      <c r="O963" s="54">
        <f t="shared" si="28"/>
        <v>0.46319444444444446</v>
      </c>
      <c r="P963" s="55">
        <f t="shared" si="29"/>
        <v>4.8611111111111112E-3</v>
      </c>
    </row>
    <row r="964" spans="1:16" x14ac:dyDescent="0.3">
      <c r="A964" s="25">
        <f>YEAR('RETAIL SALES DATA.'!K963)</f>
        <v>2025</v>
      </c>
      <c r="B964" s="13" t="str">
        <v>Apr</v>
      </c>
      <c r="C964" s="42">
        <f>DAY('RETAIL SALES DATA.'!K963)</f>
        <v>3</v>
      </c>
      <c r="D964" s="13">
        <v>2025</v>
      </c>
      <c r="E964" s="13" t="str">
        <v>Apr</v>
      </c>
      <c r="F964" s="13">
        <v>6</v>
      </c>
      <c r="G964" s="10"/>
      <c r="H964" s="13">
        <f>NETWORKDAYS('RETAIL SALES DATA.'!K963,'RETAIL SALES DATA.'!L963)</f>
        <v>2</v>
      </c>
      <c r="I964" s="13">
        <v>3</v>
      </c>
      <c r="J964" s="10"/>
      <c r="K964" s="13">
        <v>0</v>
      </c>
      <c r="L964" s="13">
        <v>8</v>
      </c>
      <c r="M964" s="13">
        <v>33</v>
      </c>
      <c r="N964" s="13">
        <v>0</v>
      </c>
      <c r="O964" s="54">
        <f t="shared" ref="O964:O1002" si="30">TIME(L964,M964,N964)</f>
        <v>0.35625000000000001</v>
      </c>
      <c r="P964" s="55">
        <f t="shared" ref="P964:P1002" si="31">TIME(K964,M964,N964)</f>
        <v>2.2916666666666665E-2</v>
      </c>
    </row>
    <row r="965" spans="1:16" x14ac:dyDescent="0.3">
      <c r="A965" s="25">
        <f>YEAR('RETAIL SALES DATA.'!K964)</f>
        <v>2024</v>
      </c>
      <c r="B965" s="13" t="str">
        <v>May</v>
      </c>
      <c r="C965" s="42">
        <f>DAY('RETAIL SALES DATA.'!K964)</f>
        <v>25</v>
      </c>
      <c r="D965" s="13">
        <v>2024</v>
      </c>
      <c r="E965" s="13" t="str">
        <v>Jun</v>
      </c>
      <c r="F965" s="13">
        <v>4</v>
      </c>
      <c r="G965" s="10"/>
      <c r="H965" s="13">
        <f>NETWORKDAYS('RETAIL SALES DATA.'!K964,'RETAIL SALES DATA.'!L964)</f>
        <v>7</v>
      </c>
      <c r="I965" s="13">
        <v>10</v>
      </c>
      <c r="J965" s="10"/>
      <c r="K965" s="13">
        <v>2</v>
      </c>
      <c r="L965" s="13">
        <v>9</v>
      </c>
      <c r="M965" s="13">
        <v>59</v>
      </c>
      <c r="N965" s="13">
        <v>0</v>
      </c>
      <c r="O965" s="54">
        <f t="shared" si="30"/>
        <v>0.41597222222222224</v>
      </c>
      <c r="P965" s="55">
        <f t="shared" si="31"/>
        <v>0.12430555555555556</v>
      </c>
    </row>
    <row r="966" spans="1:16" x14ac:dyDescent="0.3">
      <c r="A966" s="25">
        <f>YEAR('RETAIL SALES DATA.'!K965)</f>
        <v>2025</v>
      </c>
      <c r="B966" s="13" t="str">
        <v>Aug</v>
      </c>
      <c r="C966" s="42">
        <f>DAY('RETAIL SALES DATA.'!K965)</f>
        <v>6</v>
      </c>
      <c r="D966" s="13">
        <v>2025</v>
      </c>
      <c r="E966" s="13" t="str">
        <v>Aug</v>
      </c>
      <c r="F966" s="13">
        <v>12</v>
      </c>
      <c r="G966" s="10"/>
      <c r="H966" s="13">
        <f>NETWORKDAYS('RETAIL SALES DATA.'!K965,'RETAIL SALES DATA.'!L965)</f>
        <v>5</v>
      </c>
      <c r="I966" s="13">
        <v>6</v>
      </c>
      <c r="J966" s="10"/>
      <c r="K966" s="13">
        <v>7</v>
      </c>
      <c r="L966" s="13">
        <v>11</v>
      </c>
      <c r="M966" s="13">
        <v>17</v>
      </c>
      <c r="N966" s="13">
        <v>0</v>
      </c>
      <c r="O966" s="54">
        <f t="shared" si="30"/>
        <v>0.47013888888888888</v>
      </c>
      <c r="P966" s="55">
        <f t="shared" si="31"/>
        <v>0.3034722222222222</v>
      </c>
    </row>
    <row r="967" spans="1:16" x14ac:dyDescent="0.3">
      <c r="A967" s="25">
        <f>YEAR('RETAIL SALES DATA.'!K966)</f>
        <v>2024</v>
      </c>
      <c r="B967" s="13" t="str">
        <v>Sep</v>
      </c>
      <c r="C967" s="42">
        <f>DAY('RETAIL SALES DATA.'!K966)</f>
        <v>23</v>
      </c>
      <c r="D967" s="13">
        <v>2024</v>
      </c>
      <c r="E967" s="13" t="str">
        <v>Sep</v>
      </c>
      <c r="F967" s="13">
        <v>29</v>
      </c>
      <c r="G967" s="10"/>
      <c r="H967" s="13">
        <f>NETWORKDAYS('RETAIL SALES DATA.'!K966,'RETAIL SALES DATA.'!L966)</f>
        <v>5</v>
      </c>
      <c r="I967" s="13">
        <v>6</v>
      </c>
      <c r="J967" s="10"/>
      <c r="K967" s="13">
        <v>9</v>
      </c>
      <c r="L967" s="13">
        <v>9</v>
      </c>
      <c r="M967" s="13">
        <v>39</v>
      </c>
      <c r="N967" s="13">
        <v>0</v>
      </c>
      <c r="O967" s="54">
        <f t="shared" si="30"/>
        <v>0.40208333333333335</v>
      </c>
      <c r="P967" s="55">
        <f t="shared" si="31"/>
        <v>0.40208333333333335</v>
      </c>
    </row>
    <row r="968" spans="1:16" x14ac:dyDescent="0.3">
      <c r="A968" s="25">
        <f>YEAR('RETAIL SALES DATA.'!K967)</f>
        <v>2026</v>
      </c>
      <c r="B968" s="13" t="str">
        <v>Jan</v>
      </c>
      <c r="C968" s="42">
        <f>DAY('RETAIL SALES DATA.'!K967)</f>
        <v>4</v>
      </c>
      <c r="D968" s="13">
        <v>2026</v>
      </c>
      <c r="E968" s="13" t="str">
        <v>Jan</v>
      </c>
      <c r="F968" s="13">
        <v>12</v>
      </c>
      <c r="G968" s="10"/>
      <c r="H968" s="13">
        <f>NETWORKDAYS('RETAIL SALES DATA.'!K967,'RETAIL SALES DATA.'!L967)</f>
        <v>6</v>
      </c>
      <c r="I968" s="13">
        <v>8</v>
      </c>
      <c r="J968" s="10"/>
      <c r="K968" s="13">
        <v>16</v>
      </c>
      <c r="L968" s="13">
        <v>11</v>
      </c>
      <c r="M968" s="13">
        <v>53</v>
      </c>
      <c r="N968" s="13">
        <v>0</v>
      </c>
      <c r="O968" s="54">
        <f t="shared" si="30"/>
        <v>0.49513888888888891</v>
      </c>
      <c r="P968" s="55">
        <f t="shared" si="31"/>
        <v>0.70347222222222228</v>
      </c>
    </row>
    <row r="969" spans="1:16" x14ac:dyDescent="0.3">
      <c r="A969" s="25">
        <f>YEAR('RETAIL SALES DATA.'!K968)</f>
        <v>2025</v>
      </c>
      <c r="B969" s="13" t="str">
        <v>Nov</v>
      </c>
      <c r="C969" s="42">
        <f>DAY('RETAIL SALES DATA.'!K968)</f>
        <v>29</v>
      </c>
      <c r="D969" s="13">
        <v>2025</v>
      </c>
      <c r="E969" s="13" t="str">
        <v>Dec</v>
      </c>
      <c r="F969" s="13">
        <v>7</v>
      </c>
      <c r="G969" s="10"/>
      <c r="H969" s="13">
        <f>NETWORKDAYS('RETAIL SALES DATA.'!K968,'RETAIL SALES DATA.'!L968)</f>
        <v>5</v>
      </c>
      <c r="I969" s="13">
        <v>8</v>
      </c>
      <c r="J969" s="10"/>
      <c r="K969" s="13">
        <v>12</v>
      </c>
      <c r="L969" s="13">
        <v>8</v>
      </c>
      <c r="M969" s="13">
        <v>38</v>
      </c>
      <c r="N969" s="13">
        <v>0</v>
      </c>
      <c r="O969" s="54">
        <f t="shared" si="30"/>
        <v>0.35972222222222222</v>
      </c>
      <c r="P969" s="55">
        <f t="shared" si="31"/>
        <v>0.52638888888888891</v>
      </c>
    </row>
    <row r="970" spans="1:16" x14ac:dyDescent="0.3">
      <c r="A970" s="25">
        <f>YEAR('RETAIL SALES DATA.'!K969)</f>
        <v>2024</v>
      </c>
      <c r="B970" s="13" t="str">
        <v>Aug</v>
      </c>
      <c r="C970" s="42">
        <f>DAY('RETAIL SALES DATA.'!K969)</f>
        <v>28</v>
      </c>
      <c r="D970" s="13">
        <v>2024</v>
      </c>
      <c r="E970" s="13" t="str">
        <v>Aug</v>
      </c>
      <c r="F970" s="13">
        <v>30</v>
      </c>
      <c r="G970" s="10"/>
      <c r="H970" s="13">
        <f>NETWORKDAYS('RETAIL SALES DATA.'!K969,'RETAIL SALES DATA.'!L969)</f>
        <v>3</v>
      </c>
      <c r="I970" s="13">
        <v>2</v>
      </c>
      <c r="J970" s="10"/>
      <c r="K970" s="13">
        <v>14</v>
      </c>
      <c r="L970" s="13">
        <v>9</v>
      </c>
      <c r="M970" s="13">
        <v>41</v>
      </c>
      <c r="N970" s="13">
        <v>0</v>
      </c>
      <c r="O970" s="54">
        <f t="shared" si="30"/>
        <v>0.40347222222222223</v>
      </c>
      <c r="P970" s="55">
        <f t="shared" si="31"/>
        <v>0.6118055555555556</v>
      </c>
    </row>
    <row r="971" spans="1:16" x14ac:dyDescent="0.3">
      <c r="A971" s="25">
        <f>YEAR('RETAIL SALES DATA.'!K970)</f>
        <v>2025</v>
      </c>
      <c r="B971" s="13" t="str">
        <v>Jan</v>
      </c>
      <c r="C971" s="42">
        <f>DAY('RETAIL SALES DATA.'!K970)</f>
        <v>18</v>
      </c>
      <c r="D971" s="13">
        <v>2025</v>
      </c>
      <c r="E971" s="13" t="str">
        <v>Jan</v>
      </c>
      <c r="F971" s="13">
        <v>21</v>
      </c>
      <c r="G971" s="10"/>
      <c r="H971" s="13">
        <f>NETWORKDAYS('RETAIL SALES DATA.'!K970,'RETAIL SALES DATA.'!L970)</f>
        <v>2</v>
      </c>
      <c r="I971" s="13">
        <v>3</v>
      </c>
      <c r="J971" s="10"/>
      <c r="K971" s="13">
        <v>2</v>
      </c>
      <c r="L971" s="13">
        <v>9</v>
      </c>
      <c r="M971" s="13">
        <v>32</v>
      </c>
      <c r="N971" s="13">
        <v>0</v>
      </c>
      <c r="O971" s="54">
        <f t="shared" si="30"/>
        <v>0.3972222222222222</v>
      </c>
      <c r="P971" s="55">
        <f t="shared" si="31"/>
        <v>0.10555555555555556</v>
      </c>
    </row>
    <row r="972" spans="1:16" x14ac:dyDescent="0.3">
      <c r="A972" s="25">
        <f>YEAR('RETAIL SALES DATA.'!K971)</f>
        <v>2026</v>
      </c>
      <c r="B972" s="13" t="str">
        <v>Jan</v>
      </c>
      <c r="C972" s="42">
        <f>DAY('RETAIL SALES DATA.'!K971)</f>
        <v>26</v>
      </c>
      <c r="D972" s="13">
        <v>2026</v>
      </c>
      <c r="E972" s="13" t="str">
        <v>Feb</v>
      </c>
      <c r="F972" s="13">
        <v>3</v>
      </c>
      <c r="G972" s="10"/>
      <c r="H972" s="13">
        <f>NETWORKDAYS('RETAIL SALES DATA.'!K971,'RETAIL SALES DATA.'!L971)</f>
        <v>7</v>
      </c>
      <c r="I972" s="13">
        <v>8</v>
      </c>
      <c r="J972" s="10"/>
      <c r="K972" s="13">
        <v>19</v>
      </c>
      <c r="L972" s="13">
        <v>9</v>
      </c>
      <c r="M972" s="13">
        <v>14</v>
      </c>
      <c r="N972" s="13">
        <v>0</v>
      </c>
      <c r="O972" s="54">
        <f t="shared" si="30"/>
        <v>0.38472222222222224</v>
      </c>
      <c r="P972" s="55">
        <f t="shared" si="31"/>
        <v>0.80138888888888893</v>
      </c>
    </row>
    <row r="973" spans="1:16" x14ac:dyDescent="0.3">
      <c r="A973" s="25">
        <f>YEAR('RETAIL SALES DATA.'!K972)</f>
        <v>2025</v>
      </c>
      <c r="B973" s="13" t="str">
        <v>Nov</v>
      </c>
      <c r="C973" s="42">
        <f>DAY('RETAIL SALES DATA.'!K972)</f>
        <v>23</v>
      </c>
      <c r="D973" s="13">
        <v>2025</v>
      </c>
      <c r="E973" s="13" t="str">
        <v>Dec</v>
      </c>
      <c r="F973" s="13">
        <v>3</v>
      </c>
      <c r="G973" s="10"/>
      <c r="H973" s="13">
        <f>NETWORKDAYS('RETAIL SALES DATA.'!K972,'RETAIL SALES DATA.'!L972)</f>
        <v>8</v>
      </c>
      <c r="I973" s="13">
        <v>10</v>
      </c>
      <c r="J973" s="10"/>
      <c r="K973" s="13">
        <v>16</v>
      </c>
      <c r="L973" s="13">
        <v>9</v>
      </c>
      <c r="M973" s="13">
        <v>33</v>
      </c>
      <c r="N973" s="13">
        <v>0</v>
      </c>
      <c r="O973" s="54">
        <f t="shared" si="30"/>
        <v>0.39791666666666664</v>
      </c>
      <c r="P973" s="55">
        <f t="shared" si="31"/>
        <v>0.68958333333333333</v>
      </c>
    </row>
    <row r="974" spans="1:16" x14ac:dyDescent="0.3">
      <c r="A974" s="25">
        <f>YEAR('RETAIL SALES DATA.'!K973)</f>
        <v>2025</v>
      </c>
      <c r="B974" s="13" t="str">
        <v>Dec</v>
      </c>
      <c r="C974" s="42">
        <f>DAY('RETAIL SALES DATA.'!K973)</f>
        <v>11</v>
      </c>
      <c r="D974" s="13">
        <v>2025</v>
      </c>
      <c r="E974" s="13" t="str">
        <v>Dec</v>
      </c>
      <c r="F974" s="13">
        <v>18</v>
      </c>
      <c r="G974" s="10"/>
      <c r="H974" s="13">
        <f>NETWORKDAYS('RETAIL SALES DATA.'!K973,'RETAIL SALES DATA.'!L973)</f>
        <v>6</v>
      </c>
      <c r="I974" s="13">
        <v>7</v>
      </c>
      <c r="J974" s="10"/>
      <c r="K974" s="13">
        <v>4</v>
      </c>
      <c r="L974" s="13">
        <v>10</v>
      </c>
      <c r="M974" s="13">
        <v>17</v>
      </c>
      <c r="N974" s="13">
        <v>0</v>
      </c>
      <c r="O974" s="54">
        <f t="shared" si="30"/>
        <v>0.4284722222222222</v>
      </c>
      <c r="P974" s="55">
        <f t="shared" si="31"/>
        <v>0.17847222222222223</v>
      </c>
    </row>
    <row r="975" spans="1:16" x14ac:dyDescent="0.3">
      <c r="A975" s="25">
        <f>YEAR('RETAIL SALES DATA.'!K974)</f>
        <v>2025</v>
      </c>
      <c r="B975" s="13" t="str">
        <v>Oct</v>
      </c>
      <c r="C975" s="42">
        <f>DAY('RETAIL SALES DATA.'!K974)</f>
        <v>14</v>
      </c>
      <c r="D975" s="13">
        <v>2025</v>
      </c>
      <c r="E975" s="13" t="str">
        <v>Oct</v>
      </c>
      <c r="F975" s="13">
        <v>17</v>
      </c>
      <c r="G975" s="10"/>
      <c r="H975" s="13">
        <f>NETWORKDAYS('RETAIL SALES DATA.'!K974,'RETAIL SALES DATA.'!L974)</f>
        <v>4</v>
      </c>
      <c r="I975" s="13">
        <v>3</v>
      </c>
      <c r="J975" s="10"/>
      <c r="K975" s="13">
        <v>9</v>
      </c>
      <c r="L975" s="13">
        <v>10</v>
      </c>
      <c r="M975" s="13">
        <v>10</v>
      </c>
      <c r="N975" s="13">
        <v>0</v>
      </c>
      <c r="O975" s="54">
        <f t="shared" si="30"/>
        <v>0.4236111111111111</v>
      </c>
      <c r="P975" s="55">
        <f t="shared" si="31"/>
        <v>0.38194444444444442</v>
      </c>
    </row>
    <row r="976" spans="1:16" x14ac:dyDescent="0.3">
      <c r="A976" s="25">
        <f>YEAR('RETAIL SALES DATA.'!K975)</f>
        <v>2025</v>
      </c>
      <c r="B976" s="13" t="str">
        <v>Dec</v>
      </c>
      <c r="C976" s="42">
        <f>DAY('RETAIL SALES DATA.'!K975)</f>
        <v>12</v>
      </c>
      <c r="D976" s="13">
        <v>2025</v>
      </c>
      <c r="E976" s="13" t="str">
        <v>Dec</v>
      </c>
      <c r="F976" s="13">
        <v>16</v>
      </c>
      <c r="G976" s="10"/>
      <c r="H976" s="13">
        <f>NETWORKDAYS('RETAIL SALES DATA.'!K975,'RETAIL SALES DATA.'!L975)</f>
        <v>3</v>
      </c>
      <c r="I976" s="13">
        <v>4</v>
      </c>
      <c r="J976" s="10"/>
      <c r="K976" s="13">
        <v>19</v>
      </c>
      <c r="L976" s="13">
        <v>9</v>
      </c>
      <c r="M976" s="13">
        <v>49</v>
      </c>
      <c r="N976" s="13">
        <v>0</v>
      </c>
      <c r="O976" s="54">
        <f t="shared" si="30"/>
        <v>0.40902777777777777</v>
      </c>
      <c r="P976" s="55">
        <f t="shared" si="31"/>
        <v>0.8256944444444444</v>
      </c>
    </row>
    <row r="977" spans="1:16" x14ac:dyDescent="0.3">
      <c r="A977" s="25">
        <f>YEAR('RETAIL SALES DATA.'!K976)</f>
        <v>2025</v>
      </c>
      <c r="B977" s="13" t="str">
        <v>Oct</v>
      </c>
      <c r="C977" s="42">
        <f>DAY('RETAIL SALES DATA.'!K976)</f>
        <v>14</v>
      </c>
      <c r="D977" s="13">
        <v>2025</v>
      </c>
      <c r="E977" s="13" t="str">
        <v>Oct</v>
      </c>
      <c r="F977" s="13">
        <v>17</v>
      </c>
      <c r="G977" s="10"/>
      <c r="H977" s="13">
        <f>NETWORKDAYS('RETAIL SALES DATA.'!K976,'RETAIL SALES DATA.'!L976)</f>
        <v>4</v>
      </c>
      <c r="I977" s="13">
        <v>3</v>
      </c>
      <c r="J977" s="10"/>
      <c r="K977" s="13">
        <v>4</v>
      </c>
      <c r="L977" s="13">
        <v>8</v>
      </c>
      <c r="M977" s="13">
        <v>57</v>
      </c>
      <c r="N977" s="13">
        <v>0</v>
      </c>
      <c r="O977" s="54">
        <f t="shared" si="30"/>
        <v>0.37291666666666667</v>
      </c>
      <c r="P977" s="55">
        <f t="shared" si="31"/>
        <v>0.20624999999999999</v>
      </c>
    </row>
    <row r="978" spans="1:16" x14ac:dyDescent="0.3">
      <c r="A978" s="25">
        <f>YEAR('RETAIL SALES DATA.'!K977)</f>
        <v>2025</v>
      </c>
      <c r="B978" s="13" t="str">
        <v>Jan</v>
      </c>
      <c r="C978" s="42">
        <f>DAY('RETAIL SALES DATA.'!K977)</f>
        <v>21</v>
      </c>
      <c r="D978" s="13">
        <v>2025</v>
      </c>
      <c r="E978" s="13" t="str">
        <v>Jan</v>
      </c>
      <c r="F978" s="13">
        <v>29</v>
      </c>
      <c r="G978" s="10"/>
      <c r="H978" s="13">
        <f>NETWORKDAYS('RETAIL SALES DATA.'!K977,'RETAIL SALES DATA.'!L977)</f>
        <v>7</v>
      </c>
      <c r="I978" s="13">
        <v>8</v>
      </c>
      <c r="J978" s="10"/>
      <c r="K978" s="13">
        <v>0</v>
      </c>
      <c r="L978" s="13">
        <v>8</v>
      </c>
      <c r="M978" s="13">
        <v>6</v>
      </c>
      <c r="N978" s="13">
        <v>0</v>
      </c>
      <c r="O978" s="54">
        <f t="shared" si="30"/>
        <v>0.33750000000000002</v>
      </c>
      <c r="P978" s="55">
        <f t="shared" si="31"/>
        <v>4.1666666666666666E-3</v>
      </c>
    </row>
    <row r="979" spans="1:16" x14ac:dyDescent="0.3">
      <c r="A979" s="25">
        <f>YEAR('RETAIL SALES DATA.'!K978)</f>
        <v>2026</v>
      </c>
      <c r="B979" s="13" t="str">
        <v>Jan</v>
      </c>
      <c r="C979" s="42">
        <f>DAY('RETAIL SALES DATA.'!K978)</f>
        <v>3</v>
      </c>
      <c r="D979" s="13">
        <v>2026</v>
      </c>
      <c r="E979" s="13" t="str">
        <v>Jan</v>
      </c>
      <c r="F979" s="13">
        <v>13</v>
      </c>
      <c r="G979" s="10"/>
      <c r="H979" s="13">
        <f>NETWORKDAYS('RETAIL SALES DATA.'!K978,'RETAIL SALES DATA.'!L978)</f>
        <v>7</v>
      </c>
      <c r="I979" s="13">
        <v>10</v>
      </c>
      <c r="J979" s="10"/>
      <c r="K979" s="13">
        <v>7</v>
      </c>
      <c r="L979" s="13">
        <v>8</v>
      </c>
      <c r="M979" s="13">
        <v>47</v>
      </c>
      <c r="N979" s="13">
        <v>0</v>
      </c>
      <c r="O979" s="54">
        <f t="shared" si="30"/>
        <v>0.3659722222222222</v>
      </c>
      <c r="P979" s="55">
        <f t="shared" si="31"/>
        <v>0.32430555555555557</v>
      </c>
    </row>
    <row r="980" spans="1:16" x14ac:dyDescent="0.3">
      <c r="A980" s="25">
        <f>YEAR('RETAIL SALES DATA.'!K979)</f>
        <v>2025</v>
      </c>
      <c r="B980" s="13" t="str">
        <v>Oct</v>
      </c>
      <c r="C980" s="42">
        <f>DAY('RETAIL SALES DATA.'!K979)</f>
        <v>26</v>
      </c>
      <c r="D980" s="13">
        <v>2025</v>
      </c>
      <c r="E980" s="13" t="str">
        <v>Nov</v>
      </c>
      <c r="F980" s="13">
        <v>3</v>
      </c>
      <c r="G980" s="10"/>
      <c r="H980" s="13">
        <f>NETWORKDAYS('RETAIL SALES DATA.'!K979,'RETAIL SALES DATA.'!L979)</f>
        <v>6</v>
      </c>
      <c r="I980" s="13">
        <v>8</v>
      </c>
      <c r="J980" s="10"/>
      <c r="K980" s="13">
        <v>19</v>
      </c>
      <c r="L980" s="13">
        <v>11</v>
      </c>
      <c r="M980" s="13">
        <v>7</v>
      </c>
      <c r="N980" s="13">
        <v>0</v>
      </c>
      <c r="O980" s="54">
        <f t="shared" si="30"/>
        <v>0.46319444444444446</v>
      </c>
      <c r="P980" s="55">
        <f t="shared" si="31"/>
        <v>0.79652777777777772</v>
      </c>
    </row>
    <row r="981" spans="1:16" x14ac:dyDescent="0.3">
      <c r="A981" s="25">
        <f>YEAR('RETAIL SALES DATA.'!K980)</f>
        <v>2025</v>
      </c>
      <c r="B981" s="13" t="str">
        <v>Mar</v>
      </c>
      <c r="C981" s="42">
        <f>DAY('RETAIL SALES DATA.'!K980)</f>
        <v>5</v>
      </c>
      <c r="D981" s="13">
        <v>2025</v>
      </c>
      <c r="E981" s="13" t="str">
        <v>Mar</v>
      </c>
      <c r="F981" s="13">
        <v>10</v>
      </c>
      <c r="G981" s="10"/>
      <c r="H981" s="13">
        <f>NETWORKDAYS('RETAIL SALES DATA.'!K980,'RETAIL SALES DATA.'!L980)</f>
        <v>4</v>
      </c>
      <c r="I981" s="13">
        <v>5</v>
      </c>
      <c r="J981" s="10"/>
      <c r="K981" s="13">
        <v>21</v>
      </c>
      <c r="L981" s="13">
        <v>9</v>
      </c>
      <c r="M981" s="13">
        <v>12</v>
      </c>
      <c r="N981" s="13">
        <v>0</v>
      </c>
      <c r="O981" s="54">
        <f t="shared" si="30"/>
        <v>0.38333333333333336</v>
      </c>
      <c r="P981" s="55">
        <f t="shared" si="31"/>
        <v>0.8833333333333333</v>
      </c>
    </row>
    <row r="982" spans="1:16" x14ac:dyDescent="0.3">
      <c r="A982" s="25">
        <f>YEAR('RETAIL SALES DATA.'!K981)</f>
        <v>2026</v>
      </c>
      <c r="B982" s="13" t="str">
        <v>Feb</v>
      </c>
      <c r="C982" s="42">
        <f>DAY('RETAIL SALES DATA.'!K981)</f>
        <v>22</v>
      </c>
      <c r="D982" s="13">
        <v>2026</v>
      </c>
      <c r="E982" s="13" t="str">
        <v>Mar</v>
      </c>
      <c r="F982" s="13">
        <v>1</v>
      </c>
      <c r="G982" s="10"/>
      <c r="H982" s="13">
        <f>NETWORKDAYS('RETAIL SALES DATA.'!K981,'RETAIL SALES DATA.'!L981)</f>
        <v>5</v>
      </c>
      <c r="I982" s="13">
        <v>7</v>
      </c>
      <c r="J982" s="10"/>
      <c r="K982" s="13">
        <v>16</v>
      </c>
      <c r="L982" s="13">
        <v>11</v>
      </c>
      <c r="M982" s="13">
        <v>5</v>
      </c>
      <c r="N982" s="13">
        <v>0</v>
      </c>
      <c r="O982" s="54">
        <f t="shared" si="30"/>
        <v>0.46180555555555558</v>
      </c>
      <c r="P982" s="55">
        <f t="shared" si="31"/>
        <v>0.67013888888888884</v>
      </c>
    </row>
    <row r="983" spans="1:16" x14ac:dyDescent="0.3">
      <c r="A983" s="25">
        <f>YEAR('RETAIL SALES DATA.'!K982)</f>
        <v>2026</v>
      </c>
      <c r="B983" s="13" t="str">
        <v>May</v>
      </c>
      <c r="C983" s="42">
        <f>DAY('RETAIL SALES DATA.'!K982)</f>
        <v>5</v>
      </c>
      <c r="D983" s="13">
        <v>2026</v>
      </c>
      <c r="E983" s="13" t="str">
        <v>May</v>
      </c>
      <c r="F983" s="13">
        <v>13</v>
      </c>
      <c r="G983" s="10"/>
      <c r="H983" s="13">
        <f>NETWORKDAYS('RETAIL SALES DATA.'!K982,'RETAIL SALES DATA.'!L982)</f>
        <v>7</v>
      </c>
      <c r="I983" s="13">
        <v>8</v>
      </c>
      <c r="J983" s="10"/>
      <c r="K983" s="13">
        <v>19</v>
      </c>
      <c r="L983" s="13">
        <v>11</v>
      </c>
      <c r="M983" s="13">
        <v>24</v>
      </c>
      <c r="N983" s="13">
        <v>0</v>
      </c>
      <c r="O983" s="54">
        <f t="shared" si="30"/>
        <v>0.47499999999999998</v>
      </c>
      <c r="P983" s="55">
        <f t="shared" si="31"/>
        <v>0.80833333333333335</v>
      </c>
    </row>
    <row r="984" spans="1:16" x14ac:dyDescent="0.3">
      <c r="A984" s="25">
        <f>YEAR('RETAIL SALES DATA.'!K983)</f>
        <v>2026</v>
      </c>
      <c r="B984" s="13" t="str">
        <v>Apr</v>
      </c>
      <c r="C984" s="42">
        <f>DAY('RETAIL SALES DATA.'!K983)</f>
        <v>22</v>
      </c>
      <c r="D984" s="13">
        <v>2026</v>
      </c>
      <c r="E984" s="13" t="str">
        <v>Apr</v>
      </c>
      <c r="F984" s="13">
        <v>24</v>
      </c>
      <c r="G984" s="10"/>
      <c r="H984" s="13">
        <f>NETWORKDAYS('RETAIL SALES DATA.'!K983,'RETAIL SALES DATA.'!L983)</f>
        <v>3</v>
      </c>
      <c r="I984" s="13">
        <v>2</v>
      </c>
      <c r="J984" s="10"/>
      <c r="K984" s="13">
        <v>12</v>
      </c>
      <c r="L984" s="13">
        <v>10</v>
      </c>
      <c r="M984" s="13">
        <v>33</v>
      </c>
      <c r="N984" s="13">
        <v>0</v>
      </c>
      <c r="O984" s="54">
        <f t="shared" si="30"/>
        <v>0.43958333333333333</v>
      </c>
      <c r="P984" s="55">
        <f t="shared" si="31"/>
        <v>0.5229166666666667</v>
      </c>
    </row>
    <row r="985" spans="1:16" x14ac:dyDescent="0.3">
      <c r="A985" s="25">
        <f>YEAR('RETAIL SALES DATA.'!K984)</f>
        <v>2024</v>
      </c>
      <c r="B985" s="13" t="str">
        <v>Oct</v>
      </c>
      <c r="C985" s="42">
        <f>DAY('RETAIL SALES DATA.'!K984)</f>
        <v>19</v>
      </c>
      <c r="D985" s="13">
        <v>2024</v>
      </c>
      <c r="E985" s="13" t="str">
        <v>Oct</v>
      </c>
      <c r="F985" s="13">
        <v>29</v>
      </c>
      <c r="G985" s="10"/>
      <c r="H985" s="13">
        <f>NETWORKDAYS('RETAIL SALES DATA.'!K984,'RETAIL SALES DATA.'!L984)</f>
        <v>7</v>
      </c>
      <c r="I985" s="13">
        <v>10</v>
      </c>
      <c r="J985" s="10"/>
      <c r="K985" s="13">
        <v>7</v>
      </c>
      <c r="L985" s="13">
        <v>8</v>
      </c>
      <c r="M985" s="13">
        <v>44</v>
      </c>
      <c r="N985" s="13">
        <v>0</v>
      </c>
      <c r="O985" s="54">
        <f t="shared" si="30"/>
        <v>0.36388888888888887</v>
      </c>
      <c r="P985" s="55">
        <f t="shared" si="31"/>
        <v>0.32222222222222224</v>
      </c>
    </row>
    <row r="986" spans="1:16" x14ac:dyDescent="0.3">
      <c r="A986" s="25">
        <f>YEAR('RETAIL SALES DATA.'!K985)</f>
        <v>2026</v>
      </c>
      <c r="B986" s="13" t="str">
        <v>Jan</v>
      </c>
      <c r="C986" s="42">
        <f>DAY('RETAIL SALES DATA.'!K985)</f>
        <v>14</v>
      </c>
      <c r="D986" s="13">
        <v>2026</v>
      </c>
      <c r="E986" s="13" t="str">
        <v>Jan</v>
      </c>
      <c r="F986" s="13">
        <v>23</v>
      </c>
      <c r="G986" s="10"/>
      <c r="H986" s="13">
        <f>NETWORKDAYS('RETAIL SALES DATA.'!K985,'RETAIL SALES DATA.'!L985)</f>
        <v>8</v>
      </c>
      <c r="I986" s="13">
        <v>9</v>
      </c>
      <c r="J986" s="10"/>
      <c r="K986" s="13">
        <v>2</v>
      </c>
      <c r="L986" s="13">
        <v>11</v>
      </c>
      <c r="M986" s="13">
        <v>16</v>
      </c>
      <c r="N986" s="13">
        <v>0</v>
      </c>
      <c r="O986" s="54">
        <f t="shared" si="30"/>
        <v>0.46944444444444444</v>
      </c>
      <c r="P986" s="55">
        <f t="shared" si="31"/>
        <v>9.4444444444444442E-2</v>
      </c>
    </row>
    <row r="987" spans="1:16" x14ac:dyDescent="0.3">
      <c r="A987" s="25">
        <f>YEAR('RETAIL SALES DATA.'!K986)</f>
        <v>2025</v>
      </c>
      <c r="B987" s="13" t="str">
        <v>Aug</v>
      </c>
      <c r="C987" s="42">
        <f>DAY('RETAIL SALES DATA.'!K986)</f>
        <v>16</v>
      </c>
      <c r="D987" s="13">
        <v>2025</v>
      </c>
      <c r="E987" s="13" t="str">
        <v>Aug</v>
      </c>
      <c r="F987" s="13">
        <v>25</v>
      </c>
      <c r="G987" s="10"/>
      <c r="H987" s="13">
        <f>NETWORKDAYS('RETAIL SALES DATA.'!K986,'RETAIL SALES DATA.'!L986)</f>
        <v>6</v>
      </c>
      <c r="I987" s="13">
        <v>9</v>
      </c>
      <c r="J987" s="10"/>
      <c r="K987" s="13">
        <v>16</v>
      </c>
      <c r="L987" s="13">
        <v>9</v>
      </c>
      <c r="M987" s="13">
        <v>47</v>
      </c>
      <c r="N987" s="13">
        <v>0</v>
      </c>
      <c r="O987" s="54">
        <f t="shared" si="30"/>
        <v>0.40763888888888888</v>
      </c>
      <c r="P987" s="55">
        <f t="shared" si="31"/>
        <v>0.69930555555555551</v>
      </c>
    </row>
    <row r="988" spans="1:16" x14ac:dyDescent="0.3">
      <c r="A988" s="25">
        <f>YEAR('RETAIL SALES DATA.'!K987)</f>
        <v>2025</v>
      </c>
      <c r="B988" s="13" t="str">
        <v>Sep</v>
      </c>
      <c r="C988" s="42">
        <f>DAY('RETAIL SALES DATA.'!K987)</f>
        <v>29</v>
      </c>
      <c r="D988" s="13">
        <v>2025</v>
      </c>
      <c r="E988" s="13" t="str">
        <v>Sep</v>
      </c>
      <c r="F988" s="13">
        <v>30</v>
      </c>
      <c r="G988" s="10"/>
      <c r="H988" s="13">
        <f>NETWORKDAYS('RETAIL SALES DATA.'!K987,'RETAIL SALES DATA.'!L987)</f>
        <v>2</v>
      </c>
      <c r="I988" s="13">
        <v>1</v>
      </c>
      <c r="J988" s="10"/>
      <c r="K988" s="13">
        <v>12</v>
      </c>
      <c r="L988" s="13">
        <v>10</v>
      </c>
      <c r="M988" s="13">
        <v>40</v>
      </c>
      <c r="N988" s="13">
        <v>0</v>
      </c>
      <c r="O988" s="54">
        <f t="shared" si="30"/>
        <v>0.44444444444444442</v>
      </c>
      <c r="P988" s="55">
        <f t="shared" si="31"/>
        <v>0.52777777777777779</v>
      </c>
    </row>
    <row r="989" spans="1:16" x14ac:dyDescent="0.3">
      <c r="A989" s="25">
        <f>YEAR('RETAIL SALES DATA.'!K988)</f>
        <v>2025</v>
      </c>
      <c r="B989" s="13" t="str">
        <v>Oct</v>
      </c>
      <c r="C989" s="42">
        <f>DAY('RETAIL SALES DATA.'!K988)</f>
        <v>13</v>
      </c>
      <c r="D989" s="13">
        <v>2025</v>
      </c>
      <c r="E989" s="13" t="str">
        <v>Oct</v>
      </c>
      <c r="F989" s="13">
        <v>18</v>
      </c>
      <c r="G989" s="10"/>
      <c r="H989" s="13">
        <f>NETWORKDAYS('RETAIL SALES DATA.'!K988,'RETAIL SALES DATA.'!L988)</f>
        <v>5</v>
      </c>
      <c r="I989" s="13">
        <v>5</v>
      </c>
      <c r="J989" s="10"/>
      <c r="K989" s="13">
        <v>12</v>
      </c>
      <c r="L989" s="13">
        <v>11</v>
      </c>
      <c r="M989" s="13">
        <v>24</v>
      </c>
      <c r="N989" s="13">
        <v>0</v>
      </c>
      <c r="O989" s="54">
        <f t="shared" si="30"/>
        <v>0.47499999999999998</v>
      </c>
      <c r="P989" s="55">
        <f t="shared" si="31"/>
        <v>0.51666666666666672</v>
      </c>
    </row>
    <row r="990" spans="1:16" x14ac:dyDescent="0.3">
      <c r="A990" s="25">
        <f>YEAR('RETAIL SALES DATA.'!K989)</f>
        <v>2026</v>
      </c>
      <c r="B990" s="13" t="str">
        <v>Apr</v>
      </c>
      <c r="C990" s="42">
        <f>DAY('RETAIL SALES DATA.'!K989)</f>
        <v>17</v>
      </c>
      <c r="D990" s="13">
        <v>2026</v>
      </c>
      <c r="E990" s="13" t="str">
        <v>Apr</v>
      </c>
      <c r="F990" s="13">
        <v>24</v>
      </c>
      <c r="G990" s="10"/>
      <c r="H990" s="13">
        <f>NETWORKDAYS('RETAIL SALES DATA.'!K989,'RETAIL SALES DATA.'!L989)</f>
        <v>6</v>
      </c>
      <c r="I990" s="13">
        <v>7</v>
      </c>
      <c r="J990" s="10"/>
      <c r="K990" s="13">
        <v>16</v>
      </c>
      <c r="L990" s="13">
        <v>11</v>
      </c>
      <c r="M990" s="13">
        <v>28</v>
      </c>
      <c r="N990" s="13">
        <v>0</v>
      </c>
      <c r="O990" s="54">
        <f t="shared" si="30"/>
        <v>0.4777777777777778</v>
      </c>
      <c r="P990" s="55">
        <f t="shared" si="31"/>
        <v>0.68611111111111112</v>
      </c>
    </row>
    <row r="991" spans="1:16" x14ac:dyDescent="0.3">
      <c r="A991" s="25">
        <f>YEAR('RETAIL SALES DATA.'!K990)</f>
        <v>2024</v>
      </c>
      <c r="B991" s="13" t="str">
        <v>Jul</v>
      </c>
      <c r="C991" s="42">
        <f>DAY('RETAIL SALES DATA.'!K990)</f>
        <v>12</v>
      </c>
      <c r="D991" s="13">
        <v>2024</v>
      </c>
      <c r="E991" s="13" t="str">
        <v>Jul</v>
      </c>
      <c r="F991" s="13">
        <v>21</v>
      </c>
      <c r="G991" s="10"/>
      <c r="H991" s="13">
        <f>NETWORKDAYS('RETAIL SALES DATA.'!K990,'RETAIL SALES DATA.'!L990)</f>
        <v>6</v>
      </c>
      <c r="I991" s="13">
        <v>9</v>
      </c>
      <c r="J991" s="10"/>
      <c r="K991" s="13">
        <v>19</v>
      </c>
      <c r="L991" s="13">
        <v>11</v>
      </c>
      <c r="M991" s="13">
        <v>59</v>
      </c>
      <c r="N991" s="13">
        <v>0</v>
      </c>
      <c r="O991" s="54">
        <f t="shared" si="30"/>
        <v>0.49930555555555556</v>
      </c>
      <c r="P991" s="55">
        <f t="shared" si="31"/>
        <v>0.83263888888888893</v>
      </c>
    </row>
    <row r="992" spans="1:16" x14ac:dyDescent="0.3">
      <c r="A992" s="25">
        <f>YEAR('RETAIL SALES DATA.'!K991)</f>
        <v>2024</v>
      </c>
      <c r="B992" s="13" t="str">
        <v>Jul</v>
      </c>
      <c r="C992" s="42">
        <f>DAY('RETAIL SALES DATA.'!K991)</f>
        <v>31</v>
      </c>
      <c r="D992" s="13">
        <v>2024</v>
      </c>
      <c r="E992" s="13" t="str">
        <v>Aug</v>
      </c>
      <c r="F992" s="13">
        <v>4</v>
      </c>
      <c r="G992" s="10"/>
      <c r="H992" s="13">
        <f>NETWORKDAYS('RETAIL SALES DATA.'!K991,'RETAIL SALES DATA.'!L991)</f>
        <v>3</v>
      </c>
      <c r="I992" s="13">
        <v>4</v>
      </c>
      <c r="J992" s="10"/>
      <c r="K992" s="13">
        <v>7</v>
      </c>
      <c r="L992" s="13">
        <v>8</v>
      </c>
      <c r="M992" s="13">
        <v>58</v>
      </c>
      <c r="N992" s="13">
        <v>0</v>
      </c>
      <c r="O992" s="54">
        <f t="shared" si="30"/>
        <v>0.37361111111111112</v>
      </c>
      <c r="P992" s="55">
        <f t="shared" si="31"/>
        <v>0.33194444444444443</v>
      </c>
    </row>
    <row r="993" spans="1:16" x14ac:dyDescent="0.3">
      <c r="A993" s="25">
        <f>YEAR('RETAIL SALES DATA.'!K992)</f>
        <v>2025</v>
      </c>
      <c r="B993" s="13" t="str">
        <v>Mar</v>
      </c>
      <c r="C993" s="42">
        <f>DAY('RETAIL SALES DATA.'!K992)</f>
        <v>12</v>
      </c>
      <c r="D993" s="13">
        <v>2025</v>
      </c>
      <c r="E993" s="13" t="str">
        <v>Mar</v>
      </c>
      <c r="F993" s="13">
        <v>22</v>
      </c>
      <c r="G993" s="10"/>
      <c r="H993" s="13">
        <f>NETWORKDAYS('RETAIL SALES DATA.'!K992,'RETAIL SALES DATA.'!L992)</f>
        <v>8</v>
      </c>
      <c r="I993" s="13">
        <v>10</v>
      </c>
      <c r="J993" s="10"/>
      <c r="K993" s="13">
        <v>0</v>
      </c>
      <c r="L993" s="13">
        <v>9</v>
      </c>
      <c r="M993" s="13">
        <v>8</v>
      </c>
      <c r="N993" s="13">
        <v>0</v>
      </c>
      <c r="O993" s="54">
        <f t="shared" si="30"/>
        <v>0.38055555555555554</v>
      </c>
      <c r="P993" s="55">
        <f t="shared" si="31"/>
        <v>5.5555555555555558E-3</v>
      </c>
    </row>
    <row r="994" spans="1:16" x14ac:dyDescent="0.3">
      <c r="A994" s="25">
        <f>YEAR('RETAIL SALES DATA.'!K993)</f>
        <v>2025</v>
      </c>
      <c r="B994" s="13" t="str">
        <v>Dec</v>
      </c>
      <c r="C994" s="42">
        <f>DAY('RETAIL SALES DATA.'!K993)</f>
        <v>15</v>
      </c>
      <c r="D994" s="13">
        <v>2025</v>
      </c>
      <c r="E994" s="13" t="str">
        <v>Dec</v>
      </c>
      <c r="F994" s="13">
        <v>23</v>
      </c>
      <c r="G994" s="10"/>
      <c r="H994" s="13">
        <f>NETWORKDAYS('RETAIL SALES DATA.'!K993,'RETAIL SALES DATA.'!L993)</f>
        <v>7</v>
      </c>
      <c r="I994" s="13">
        <v>8</v>
      </c>
      <c r="J994" s="10"/>
      <c r="K994" s="13">
        <v>4</v>
      </c>
      <c r="L994" s="13">
        <v>9</v>
      </c>
      <c r="M994" s="13">
        <v>42</v>
      </c>
      <c r="N994" s="13">
        <v>0</v>
      </c>
      <c r="O994" s="54">
        <f t="shared" si="30"/>
        <v>0.40416666666666667</v>
      </c>
      <c r="P994" s="55">
        <f t="shared" si="31"/>
        <v>0.19583333333333333</v>
      </c>
    </row>
    <row r="995" spans="1:16" x14ac:dyDescent="0.3">
      <c r="A995" s="25">
        <f>YEAR('RETAIL SALES DATA.'!K994)</f>
        <v>2025</v>
      </c>
      <c r="B995" s="13" t="str">
        <v>Jul</v>
      </c>
      <c r="C995" s="42">
        <f>DAY('RETAIL SALES DATA.'!K994)</f>
        <v>23</v>
      </c>
      <c r="D995" s="13">
        <v>2025</v>
      </c>
      <c r="E995" s="13" t="str">
        <v>Aug</v>
      </c>
      <c r="F995" s="13">
        <v>2</v>
      </c>
      <c r="G995" s="10"/>
      <c r="H995" s="13">
        <f>NETWORKDAYS('RETAIL SALES DATA.'!K994,'RETAIL SALES DATA.'!L994)</f>
        <v>8</v>
      </c>
      <c r="I995" s="13">
        <v>10</v>
      </c>
      <c r="J995" s="10"/>
      <c r="K995" s="13">
        <v>16</v>
      </c>
      <c r="L995" s="13">
        <v>8</v>
      </c>
      <c r="M995" s="13">
        <v>56</v>
      </c>
      <c r="N995" s="13">
        <v>0</v>
      </c>
      <c r="O995" s="54">
        <f t="shared" si="30"/>
        <v>0.37222222222222223</v>
      </c>
      <c r="P995" s="55">
        <f t="shared" si="31"/>
        <v>0.7055555555555556</v>
      </c>
    </row>
    <row r="996" spans="1:16" x14ac:dyDescent="0.3">
      <c r="A996" s="25">
        <f>YEAR('RETAIL SALES DATA.'!K995)</f>
        <v>2026</v>
      </c>
      <c r="B996" s="13" t="str">
        <v>Feb</v>
      </c>
      <c r="C996" s="42">
        <f>DAY('RETAIL SALES DATA.'!K995)</f>
        <v>12</v>
      </c>
      <c r="D996" s="13">
        <v>2026</v>
      </c>
      <c r="E996" s="13" t="str">
        <v>Feb</v>
      </c>
      <c r="F996" s="13">
        <v>21</v>
      </c>
      <c r="G996" s="10"/>
      <c r="H996" s="13">
        <f>NETWORKDAYS('RETAIL SALES DATA.'!K995,'RETAIL SALES DATA.'!L995)</f>
        <v>7</v>
      </c>
      <c r="I996" s="13">
        <v>9</v>
      </c>
      <c r="J996" s="10"/>
      <c r="K996" s="13">
        <v>14</v>
      </c>
      <c r="L996" s="13">
        <v>11</v>
      </c>
      <c r="M996" s="13">
        <v>37</v>
      </c>
      <c r="N996" s="13">
        <v>0</v>
      </c>
      <c r="O996" s="54">
        <f t="shared" si="30"/>
        <v>0.48402777777777778</v>
      </c>
      <c r="P996" s="55">
        <f t="shared" si="31"/>
        <v>0.60902777777777772</v>
      </c>
    </row>
    <row r="997" spans="1:16" x14ac:dyDescent="0.3">
      <c r="A997" s="25">
        <f>YEAR('RETAIL SALES DATA.'!K996)</f>
        <v>2025</v>
      </c>
      <c r="B997" s="13" t="str">
        <v>Jun</v>
      </c>
      <c r="C997" s="42">
        <f>DAY('RETAIL SALES DATA.'!K996)</f>
        <v>25</v>
      </c>
      <c r="D997" s="13">
        <v>2025</v>
      </c>
      <c r="E997" s="13" t="str">
        <v>Jul</v>
      </c>
      <c r="F997" s="13">
        <v>5</v>
      </c>
      <c r="G997" s="10"/>
      <c r="H997" s="13">
        <f>NETWORKDAYS('RETAIL SALES DATA.'!K996,'RETAIL SALES DATA.'!L996)</f>
        <v>8</v>
      </c>
      <c r="I997" s="13">
        <v>10</v>
      </c>
      <c r="J997" s="10"/>
      <c r="K997" s="13">
        <v>19</v>
      </c>
      <c r="L997" s="13">
        <v>8</v>
      </c>
      <c r="M997" s="13">
        <v>37</v>
      </c>
      <c r="N997" s="13">
        <v>0</v>
      </c>
      <c r="O997" s="54">
        <f t="shared" si="30"/>
        <v>0.35902777777777778</v>
      </c>
      <c r="P997" s="55">
        <f t="shared" si="31"/>
        <v>0.81736111111111109</v>
      </c>
    </row>
    <row r="998" spans="1:16" x14ac:dyDescent="0.3">
      <c r="A998" s="25">
        <f>YEAR('RETAIL SALES DATA.'!K997)</f>
        <v>2025</v>
      </c>
      <c r="B998" s="13" t="str">
        <v>Feb</v>
      </c>
      <c r="C998" s="42">
        <f>DAY('RETAIL SALES DATA.'!K997)</f>
        <v>19</v>
      </c>
      <c r="D998" s="13">
        <v>2025</v>
      </c>
      <c r="E998" s="13" t="str">
        <v>Mar</v>
      </c>
      <c r="F998" s="13">
        <v>1</v>
      </c>
      <c r="G998" s="10"/>
      <c r="H998" s="13">
        <f>NETWORKDAYS('RETAIL SALES DATA.'!K997,'RETAIL SALES DATA.'!L997)</f>
        <v>8</v>
      </c>
      <c r="I998" s="13">
        <v>10</v>
      </c>
      <c r="J998" s="10"/>
      <c r="K998" s="13">
        <v>14</v>
      </c>
      <c r="L998" s="13">
        <v>8</v>
      </c>
      <c r="M998" s="13">
        <v>52</v>
      </c>
      <c r="N998" s="13">
        <v>0</v>
      </c>
      <c r="O998" s="54">
        <f t="shared" si="30"/>
        <v>0.36944444444444446</v>
      </c>
      <c r="P998" s="55">
        <f t="shared" si="31"/>
        <v>0.61944444444444446</v>
      </c>
    </row>
    <row r="999" spans="1:16" x14ac:dyDescent="0.3">
      <c r="A999" s="25">
        <f>YEAR('RETAIL SALES DATA.'!K998)</f>
        <v>2025</v>
      </c>
      <c r="B999" s="13" t="str">
        <v>Aug</v>
      </c>
      <c r="C999" s="42">
        <f>DAY('RETAIL SALES DATA.'!K998)</f>
        <v>22</v>
      </c>
      <c r="D999" s="13">
        <v>2025</v>
      </c>
      <c r="E999" s="13" t="str">
        <v>Aug</v>
      </c>
      <c r="F999" s="13">
        <v>24</v>
      </c>
      <c r="G999" s="10"/>
      <c r="H999" s="13">
        <f>NETWORKDAYS('RETAIL SALES DATA.'!K998,'RETAIL SALES DATA.'!L998)</f>
        <v>1</v>
      </c>
      <c r="I999" s="13">
        <v>2</v>
      </c>
      <c r="J999" s="10"/>
      <c r="K999" s="13">
        <v>7</v>
      </c>
      <c r="L999" s="13">
        <v>10</v>
      </c>
      <c r="M999" s="13">
        <v>9</v>
      </c>
      <c r="N999" s="13">
        <v>0</v>
      </c>
      <c r="O999" s="54">
        <f t="shared" si="30"/>
        <v>0.42291666666666666</v>
      </c>
      <c r="P999" s="55">
        <f t="shared" si="31"/>
        <v>0.29791666666666666</v>
      </c>
    </row>
    <row r="1000" spans="1:16" x14ac:dyDescent="0.3">
      <c r="A1000" s="25">
        <f>YEAR('RETAIL SALES DATA.'!K999)</f>
        <v>2025</v>
      </c>
      <c r="B1000" s="13" t="str">
        <v>Jul</v>
      </c>
      <c r="C1000" s="42">
        <f>DAY('RETAIL SALES DATA.'!K999)</f>
        <v>5</v>
      </c>
      <c r="D1000" s="13">
        <v>2025</v>
      </c>
      <c r="E1000" s="13" t="str">
        <v>Jul</v>
      </c>
      <c r="F1000" s="13">
        <v>10</v>
      </c>
      <c r="G1000" s="10"/>
      <c r="H1000" s="13">
        <f>NETWORKDAYS('RETAIL SALES DATA.'!K999,'RETAIL SALES DATA.'!L999)</f>
        <v>4</v>
      </c>
      <c r="I1000" s="13">
        <v>5</v>
      </c>
      <c r="J1000" s="10"/>
      <c r="K1000" s="13">
        <v>7</v>
      </c>
      <c r="L1000" s="13">
        <v>11</v>
      </c>
      <c r="M1000" s="13">
        <v>41</v>
      </c>
      <c r="N1000" s="13">
        <v>0</v>
      </c>
      <c r="O1000" s="54">
        <f t="shared" si="30"/>
        <v>0.48680555555555555</v>
      </c>
      <c r="P1000" s="55">
        <f t="shared" si="31"/>
        <v>0.32013888888888886</v>
      </c>
    </row>
    <row r="1001" spans="1:16" x14ac:dyDescent="0.3">
      <c r="A1001" s="25">
        <f>YEAR('RETAIL SALES DATA.'!K1000)</f>
        <v>2026</v>
      </c>
      <c r="B1001" s="13" t="str">
        <v>Feb</v>
      </c>
      <c r="C1001" s="42">
        <f>DAY('RETAIL SALES DATA.'!K1000)</f>
        <v>5</v>
      </c>
      <c r="D1001" s="13">
        <v>2026</v>
      </c>
      <c r="E1001" s="13" t="str">
        <v>Feb</v>
      </c>
      <c r="F1001" s="13">
        <v>11</v>
      </c>
      <c r="G1001" s="10"/>
      <c r="H1001" s="13">
        <f>NETWORKDAYS('RETAIL SALES DATA.'!K1000,'RETAIL SALES DATA.'!L1000)</f>
        <v>5</v>
      </c>
      <c r="I1001" s="13">
        <v>6</v>
      </c>
      <c r="J1001" s="10"/>
      <c r="K1001" s="13">
        <v>0</v>
      </c>
      <c r="L1001" s="13">
        <v>11</v>
      </c>
      <c r="M1001" s="13">
        <v>4</v>
      </c>
      <c r="N1001" s="13">
        <v>0</v>
      </c>
      <c r="O1001" s="54">
        <f t="shared" si="30"/>
        <v>0.46111111111111114</v>
      </c>
      <c r="P1001" s="55">
        <f t="shared" si="31"/>
        <v>2.7777777777777779E-3</v>
      </c>
    </row>
    <row r="1002" spans="1:16" ht="15" thickBot="1" x14ac:dyDescent="0.35">
      <c r="A1002" s="28">
        <f>YEAR('RETAIL SALES DATA.'!K1001)</f>
        <v>2025</v>
      </c>
      <c r="B1002" s="40" t="str">
        <v>Jun</v>
      </c>
      <c r="C1002" s="43">
        <f>DAY('RETAIL SALES DATA.'!K1001)</f>
        <v>13</v>
      </c>
      <c r="D1002" s="13">
        <v>2025</v>
      </c>
      <c r="E1002" s="13" t="str">
        <v>Jun</v>
      </c>
      <c r="F1002" s="13">
        <v>19</v>
      </c>
      <c r="G1002" s="10"/>
      <c r="H1002" s="13">
        <f>NETWORKDAYS('RETAIL SALES DATA.'!K1001,'RETAIL SALES DATA.'!L1001)</f>
        <v>5</v>
      </c>
      <c r="I1002" s="13">
        <v>6</v>
      </c>
      <c r="J1002" s="10"/>
      <c r="K1002" s="13">
        <v>9</v>
      </c>
      <c r="L1002" s="13">
        <v>11</v>
      </c>
      <c r="M1002" s="13">
        <v>29</v>
      </c>
      <c r="N1002" s="13">
        <v>0</v>
      </c>
      <c r="O1002" s="54">
        <f t="shared" si="30"/>
        <v>0.47847222222222224</v>
      </c>
      <c r="P1002" s="55">
        <f t="shared" si="31"/>
        <v>0.39513888888888887</v>
      </c>
    </row>
  </sheetData>
  <mergeCells count="4">
    <mergeCell ref="A1:C1"/>
    <mergeCell ref="D1:F1"/>
    <mergeCell ref="H1:I1"/>
    <mergeCell ref="K1:P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DC4B-79A1-405A-B964-9A164228FC8F}">
  <dimension ref="A1:D1002"/>
  <sheetViews>
    <sheetView zoomScale="65" zoomScaleNormal="65" workbookViewId="0">
      <selection activeCell="G7" sqref="G7"/>
    </sheetView>
  </sheetViews>
  <sheetFormatPr defaultRowHeight="14.4" x14ac:dyDescent="0.3"/>
  <cols>
    <col min="1" max="1" width="29.44140625" customWidth="1"/>
    <col min="2" max="2" width="22.6640625" customWidth="1"/>
    <col min="3" max="3" width="32.44140625" customWidth="1"/>
  </cols>
  <sheetData>
    <row r="1" spans="1:4" ht="25.2" customHeight="1" x14ac:dyDescent="0.55000000000000004">
      <c r="A1" s="92" t="s">
        <v>2324</v>
      </c>
      <c r="B1" s="92"/>
      <c r="C1" s="92"/>
    </row>
    <row r="2" spans="1:4" ht="25.2" customHeight="1" x14ac:dyDescent="0.4">
      <c r="A2" s="77" t="s">
        <v>2346</v>
      </c>
      <c r="B2" s="77" t="s">
        <v>2347</v>
      </c>
      <c r="C2" s="77" t="s">
        <v>2348</v>
      </c>
    </row>
    <row r="3" spans="1:4" x14ac:dyDescent="0.3">
      <c r="A3" s="74" t="s">
        <v>17</v>
      </c>
      <c r="B3" s="75" t="s">
        <v>18</v>
      </c>
      <c r="C3" s="76" t="str">
        <f>HYPERLINK(B3,A3)</f>
        <v>Michael Winters</v>
      </c>
      <c r="D3" s="9"/>
    </row>
    <row r="4" spans="1:4" x14ac:dyDescent="0.3">
      <c r="A4" s="35" t="s">
        <v>24</v>
      </c>
      <c r="B4" s="72" t="s">
        <v>18</v>
      </c>
      <c r="C4" s="73" t="str">
        <f t="shared" ref="C4:C67" si="0">HYPERLINK(B4,A4)</f>
        <v>James Olson</v>
      </c>
    </row>
    <row r="5" spans="1:4" x14ac:dyDescent="0.3">
      <c r="A5" s="35" t="s">
        <v>29</v>
      </c>
      <c r="B5" s="72" t="s">
        <v>30</v>
      </c>
      <c r="C5" s="73" t="str">
        <f t="shared" si="0"/>
        <v>Brittney Simmons</v>
      </c>
    </row>
    <row r="6" spans="1:4" x14ac:dyDescent="0.3">
      <c r="A6" s="35" t="s">
        <v>36</v>
      </c>
      <c r="B6" s="72" t="s">
        <v>37</v>
      </c>
      <c r="C6" s="73" t="str">
        <f t="shared" si="0"/>
        <v>Courtney Park</v>
      </c>
    </row>
    <row r="7" spans="1:4" x14ac:dyDescent="0.3">
      <c r="A7" s="35" t="s">
        <v>41</v>
      </c>
      <c r="B7" s="72" t="s">
        <v>42</v>
      </c>
      <c r="C7" s="73" t="str">
        <f t="shared" si="0"/>
        <v>Chloe Villa</v>
      </c>
    </row>
    <row r="8" spans="1:4" x14ac:dyDescent="0.3">
      <c r="A8" s="35" t="s">
        <v>48</v>
      </c>
      <c r="B8" s="72" t="s">
        <v>49</v>
      </c>
      <c r="C8" s="73" t="str">
        <f t="shared" si="0"/>
        <v>Erin Ross</v>
      </c>
    </row>
    <row r="9" spans="1:4" x14ac:dyDescent="0.3">
      <c r="A9" s="35" t="s">
        <v>53</v>
      </c>
      <c r="B9" s="72" t="s">
        <v>42</v>
      </c>
      <c r="C9" s="73" t="str">
        <f t="shared" si="0"/>
        <v>Ryan Brown</v>
      </c>
    </row>
    <row r="10" spans="1:4" x14ac:dyDescent="0.3">
      <c r="A10" s="35" t="s">
        <v>56</v>
      </c>
      <c r="B10" s="72" t="s">
        <v>57</v>
      </c>
      <c r="C10" s="73" t="str">
        <f t="shared" si="0"/>
        <v>Keith Winters</v>
      </c>
    </row>
    <row r="11" spans="1:4" x14ac:dyDescent="0.3">
      <c r="A11" s="35" t="s">
        <v>61</v>
      </c>
      <c r="B11" s="72" t="s">
        <v>62</v>
      </c>
      <c r="C11" s="73" t="str">
        <f t="shared" si="0"/>
        <v>Richard Payne</v>
      </c>
    </row>
    <row r="12" spans="1:4" x14ac:dyDescent="0.3">
      <c r="A12" s="35" t="s">
        <v>65</v>
      </c>
      <c r="B12" s="72" t="s">
        <v>18</v>
      </c>
      <c r="C12" s="73" t="str">
        <f t="shared" si="0"/>
        <v>Cory Roberson</v>
      </c>
    </row>
    <row r="13" spans="1:4" x14ac:dyDescent="0.3">
      <c r="A13" s="35" t="s">
        <v>68</v>
      </c>
      <c r="B13" s="72" t="s">
        <v>30</v>
      </c>
      <c r="C13" s="73" t="str">
        <f t="shared" si="0"/>
        <v>Amanda Cox</v>
      </c>
    </row>
    <row r="14" spans="1:4" x14ac:dyDescent="0.3">
      <c r="A14" s="35" t="s">
        <v>71</v>
      </c>
      <c r="B14" s="72" t="s">
        <v>72</v>
      </c>
      <c r="C14" s="73" t="str">
        <f t="shared" si="0"/>
        <v>Joseph Allison</v>
      </c>
    </row>
    <row r="15" spans="1:4" x14ac:dyDescent="0.3">
      <c r="A15" s="35" t="s">
        <v>75</v>
      </c>
      <c r="B15" s="72" t="s">
        <v>30</v>
      </c>
      <c r="C15" s="73" t="str">
        <f t="shared" si="0"/>
        <v>Sarah Hernandez</v>
      </c>
    </row>
    <row r="16" spans="1:4" x14ac:dyDescent="0.3">
      <c r="A16" s="35" t="s">
        <v>78</v>
      </c>
      <c r="B16" s="72" t="s">
        <v>42</v>
      </c>
      <c r="C16" s="73" t="str">
        <f t="shared" si="0"/>
        <v>John Dixon</v>
      </c>
    </row>
    <row r="17" spans="1:3" x14ac:dyDescent="0.3">
      <c r="A17" s="35" t="s">
        <v>81</v>
      </c>
      <c r="B17" s="72" t="s">
        <v>62</v>
      </c>
      <c r="C17" s="73" t="str">
        <f t="shared" si="0"/>
        <v>Javier Cole</v>
      </c>
    </row>
    <row r="18" spans="1:3" x14ac:dyDescent="0.3">
      <c r="A18" s="35" t="s">
        <v>84</v>
      </c>
      <c r="B18" s="72" t="s">
        <v>42</v>
      </c>
      <c r="C18" s="73" t="str">
        <f t="shared" si="0"/>
        <v>Nathan Kline</v>
      </c>
    </row>
    <row r="19" spans="1:3" x14ac:dyDescent="0.3">
      <c r="A19" s="35" t="s">
        <v>87</v>
      </c>
      <c r="B19" s="72" t="s">
        <v>88</v>
      </c>
      <c r="C19" s="73" t="str">
        <f t="shared" si="0"/>
        <v>Miss Christina Taylor</v>
      </c>
    </row>
    <row r="20" spans="1:3" x14ac:dyDescent="0.3">
      <c r="A20" s="35" t="s">
        <v>91</v>
      </c>
      <c r="B20" s="72" t="s">
        <v>42</v>
      </c>
      <c r="C20" s="73" t="str">
        <f t="shared" si="0"/>
        <v>Martin Morton</v>
      </c>
    </row>
    <row r="21" spans="1:3" x14ac:dyDescent="0.3">
      <c r="A21" s="35" t="s">
        <v>94</v>
      </c>
      <c r="B21" s="72" t="s">
        <v>95</v>
      </c>
      <c r="C21" s="73" t="str">
        <f t="shared" si="0"/>
        <v>Adam Mullins</v>
      </c>
    </row>
    <row r="22" spans="1:3" x14ac:dyDescent="0.3">
      <c r="A22" s="35" t="s">
        <v>98</v>
      </c>
      <c r="B22" s="72" t="s">
        <v>72</v>
      </c>
      <c r="C22" s="73" t="str">
        <f t="shared" si="0"/>
        <v>Sean Rodriguez</v>
      </c>
    </row>
    <row r="23" spans="1:3" x14ac:dyDescent="0.3">
      <c r="A23" s="35" t="s">
        <v>101</v>
      </c>
      <c r="B23" s="72" t="s">
        <v>42</v>
      </c>
      <c r="C23" s="73" t="str">
        <f t="shared" si="0"/>
        <v>Joseph Mora</v>
      </c>
    </row>
    <row r="24" spans="1:3" x14ac:dyDescent="0.3">
      <c r="A24" s="35" t="s">
        <v>104</v>
      </c>
      <c r="B24" s="72" t="s">
        <v>88</v>
      </c>
      <c r="C24" s="73" t="str">
        <f t="shared" si="0"/>
        <v>Deborah Hernandez</v>
      </c>
    </row>
    <row r="25" spans="1:3" x14ac:dyDescent="0.3">
      <c r="A25" s="35" t="s">
        <v>107</v>
      </c>
      <c r="B25" s="72" t="s">
        <v>95</v>
      </c>
      <c r="C25" s="73" t="str">
        <f t="shared" si="0"/>
        <v>Elizabeth Moore</v>
      </c>
    </row>
    <row r="26" spans="1:3" x14ac:dyDescent="0.3">
      <c r="A26" s="35" t="s">
        <v>110</v>
      </c>
      <c r="B26" s="72" t="s">
        <v>30</v>
      </c>
      <c r="C26" s="73" t="str">
        <f t="shared" si="0"/>
        <v>Melissa Davis</v>
      </c>
    </row>
    <row r="27" spans="1:3" x14ac:dyDescent="0.3">
      <c r="A27" s="35" t="s">
        <v>113</v>
      </c>
      <c r="B27" s="72" t="s">
        <v>72</v>
      </c>
      <c r="C27" s="73" t="str">
        <f t="shared" si="0"/>
        <v>Andrew Gould</v>
      </c>
    </row>
    <row r="28" spans="1:3" x14ac:dyDescent="0.3">
      <c r="A28" s="35" t="s">
        <v>116</v>
      </c>
      <c r="B28" s="72" t="s">
        <v>18</v>
      </c>
      <c r="C28" s="73" t="str">
        <f t="shared" si="0"/>
        <v>Glen Scott</v>
      </c>
    </row>
    <row r="29" spans="1:3" x14ac:dyDescent="0.3">
      <c r="A29" s="35" t="s">
        <v>119</v>
      </c>
      <c r="B29" s="72" t="s">
        <v>57</v>
      </c>
      <c r="C29" s="73" t="str">
        <f t="shared" si="0"/>
        <v>Isaac Fisher</v>
      </c>
    </row>
    <row r="30" spans="1:3" x14ac:dyDescent="0.3">
      <c r="A30" s="35" t="s">
        <v>122</v>
      </c>
      <c r="B30" s="72" t="s">
        <v>42</v>
      </c>
      <c r="C30" s="73" t="str">
        <f t="shared" si="0"/>
        <v>Matthew Hanson</v>
      </c>
    </row>
    <row r="31" spans="1:3" x14ac:dyDescent="0.3">
      <c r="A31" s="35" t="s">
        <v>126</v>
      </c>
      <c r="B31" s="72" t="s">
        <v>57</v>
      </c>
      <c r="C31" s="73" t="str">
        <f t="shared" si="0"/>
        <v>Jamie Benton</v>
      </c>
    </row>
    <row r="32" spans="1:3" x14ac:dyDescent="0.3">
      <c r="A32" s="35" t="s">
        <v>129</v>
      </c>
      <c r="B32" s="72" t="s">
        <v>18</v>
      </c>
      <c r="C32" s="73" t="str">
        <f t="shared" si="0"/>
        <v>Kristy Sullivan</v>
      </c>
    </row>
    <row r="33" spans="1:3" x14ac:dyDescent="0.3">
      <c r="A33" s="35" t="s">
        <v>132</v>
      </c>
      <c r="B33" s="72" t="s">
        <v>18</v>
      </c>
      <c r="C33" s="73" t="str">
        <f t="shared" si="0"/>
        <v>Carolyn Scott</v>
      </c>
    </row>
    <row r="34" spans="1:3" x14ac:dyDescent="0.3">
      <c r="A34" s="35" t="s">
        <v>135</v>
      </c>
      <c r="B34" s="72" t="s">
        <v>72</v>
      </c>
      <c r="C34" s="73" t="str">
        <f t="shared" si="0"/>
        <v>Mary Day</v>
      </c>
    </row>
    <row r="35" spans="1:3" x14ac:dyDescent="0.3">
      <c r="A35" s="35" t="s">
        <v>138</v>
      </c>
      <c r="B35" s="72" t="s">
        <v>139</v>
      </c>
      <c r="C35" s="73" t="str">
        <f t="shared" si="0"/>
        <v>Matthew Fernandez</v>
      </c>
    </row>
    <row r="36" spans="1:3" x14ac:dyDescent="0.3">
      <c r="A36" s="35" t="s">
        <v>141</v>
      </c>
      <c r="B36" s="72" t="s">
        <v>95</v>
      </c>
      <c r="C36" s="73" t="str">
        <f t="shared" si="0"/>
        <v>Tonya Gallegos</v>
      </c>
    </row>
    <row r="37" spans="1:3" x14ac:dyDescent="0.3">
      <c r="A37" s="35" t="s">
        <v>143</v>
      </c>
      <c r="B37" s="72" t="s">
        <v>144</v>
      </c>
      <c r="C37" s="73" t="str">
        <f t="shared" si="0"/>
        <v>Jody Black</v>
      </c>
    </row>
    <row r="38" spans="1:3" x14ac:dyDescent="0.3">
      <c r="A38" s="35" t="s">
        <v>147</v>
      </c>
      <c r="B38" s="72" t="s">
        <v>144</v>
      </c>
      <c r="C38" s="73" t="str">
        <f t="shared" si="0"/>
        <v>Laurie Flores</v>
      </c>
    </row>
    <row r="39" spans="1:3" x14ac:dyDescent="0.3">
      <c r="A39" s="35" t="s">
        <v>150</v>
      </c>
      <c r="B39" s="72" t="s">
        <v>49</v>
      </c>
      <c r="C39" s="73" t="str">
        <f t="shared" si="0"/>
        <v>Charles Logan</v>
      </c>
    </row>
    <row r="40" spans="1:3" x14ac:dyDescent="0.3">
      <c r="A40" s="35" t="s">
        <v>153</v>
      </c>
      <c r="B40" s="72" t="s">
        <v>139</v>
      </c>
      <c r="C40" s="73" t="str">
        <f t="shared" si="0"/>
        <v>Lori Petersen</v>
      </c>
    </row>
    <row r="41" spans="1:3" x14ac:dyDescent="0.3">
      <c r="A41" s="35" t="s">
        <v>156</v>
      </c>
      <c r="B41" s="72" t="s">
        <v>72</v>
      </c>
      <c r="C41" s="73" t="str">
        <f t="shared" si="0"/>
        <v>Roger Gutierrez</v>
      </c>
    </row>
    <row r="42" spans="1:3" x14ac:dyDescent="0.3">
      <c r="A42" s="35" t="s">
        <v>158</v>
      </c>
      <c r="B42" s="72" t="s">
        <v>18</v>
      </c>
      <c r="C42" s="73" t="str">
        <f t="shared" si="0"/>
        <v>Arthur Anderson</v>
      </c>
    </row>
    <row r="43" spans="1:3" x14ac:dyDescent="0.3">
      <c r="A43" s="35" t="s">
        <v>161</v>
      </c>
      <c r="B43" s="72" t="s">
        <v>37</v>
      </c>
      <c r="C43" s="73" t="str">
        <f t="shared" si="0"/>
        <v>April Schmidt</v>
      </c>
    </row>
    <row r="44" spans="1:3" x14ac:dyDescent="0.3">
      <c r="A44" s="35" t="s">
        <v>164</v>
      </c>
      <c r="B44" s="72" t="s">
        <v>62</v>
      </c>
      <c r="C44" s="73" t="str">
        <f t="shared" si="0"/>
        <v>Amanda Holmes</v>
      </c>
    </row>
    <row r="45" spans="1:3" x14ac:dyDescent="0.3">
      <c r="A45" s="35" t="s">
        <v>167</v>
      </c>
      <c r="B45" s="72" t="s">
        <v>168</v>
      </c>
      <c r="C45" s="73" t="str">
        <f t="shared" si="0"/>
        <v>Emily Norton</v>
      </c>
    </row>
    <row r="46" spans="1:3" x14ac:dyDescent="0.3">
      <c r="A46" s="35" t="s">
        <v>171</v>
      </c>
      <c r="B46" s="72" t="s">
        <v>168</v>
      </c>
      <c r="C46" s="73" t="str">
        <f t="shared" si="0"/>
        <v>Rachel Hooper</v>
      </c>
    </row>
    <row r="47" spans="1:3" x14ac:dyDescent="0.3">
      <c r="A47" s="35" t="s">
        <v>174</v>
      </c>
      <c r="B47" s="72" t="s">
        <v>95</v>
      </c>
      <c r="C47" s="73" t="str">
        <f t="shared" si="0"/>
        <v>Douglas Herman</v>
      </c>
    </row>
    <row r="48" spans="1:3" x14ac:dyDescent="0.3">
      <c r="A48" s="35" t="s">
        <v>177</v>
      </c>
      <c r="B48" s="72" t="s">
        <v>49</v>
      </c>
      <c r="C48" s="73" t="str">
        <f t="shared" si="0"/>
        <v>Rebecca Hawkins</v>
      </c>
    </row>
    <row r="49" spans="1:3" x14ac:dyDescent="0.3">
      <c r="A49" s="35" t="s">
        <v>180</v>
      </c>
      <c r="B49" s="72" t="s">
        <v>49</v>
      </c>
      <c r="C49" s="73" t="str">
        <f t="shared" si="0"/>
        <v>Shannon Harris</v>
      </c>
    </row>
    <row r="50" spans="1:3" x14ac:dyDescent="0.3">
      <c r="A50" s="35" t="s">
        <v>183</v>
      </c>
      <c r="B50" s="72" t="s">
        <v>57</v>
      </c>
      <c r="C50" s="73" t="str">
        <f t="shared" si="0"/>
        <v>Jennifer Maxwell</v>
      </c>
    </row>
    <row r="51" spans="1:3" x14ac:dyDescent="0.3">
      <c r="A51" s="35" t="s">
        <v>186</v>
      </c>
      <c r="B51" s="72" t="s">
        <v>30</v>
      </c>
      <c r="C51" s="73" t="str">
        <f t="shared" si="0"/>
        <v>Melissa Edwards</v>
      </c>
    </row>
    <row r="52" spans="1:3" x14ac:dyDescent="0.3">
      <c r="A52" s="35" t="s">
        <v>189</v>
      </c>
      <c r="B52" s="72" t="s">
        <v>95</v>
      </c>
      <c r="C52" s="73" t="str">
        <f t="shared" si="0"/>
        <v>Heather Campbell</v>
      </c>
    </row>
    <row r="53" spans="1:3" x14ac:dyDescent="0.3">
      <c r="A53" s="35" t="s">
        <v>191</v>
      </c>
      <c r="B53" s="72" t="s">
        <v>144</v>
      </c>
      <c r="C53" s="73" t="str">
        <f t="shared" si="0"/>
        <v>James Green</v>
      </c>
    </row>
    <row r="54" spans="1:3" x14ac:dyDescent="0.3">
      <c r="A54" s="35" t="s">
        <v>194</v>
      </c>
      <c r="B54" s="72" t="s">
        <v>195</v>
      </c>
      <c r="C54" s="73" t="str">
        <f t="shared" si="0"/>
        <v>Ashley Bowman</v>
      </c>
    </row>
    <row r="55" spans="1:3" x14ac:dyDescent="0.3">
      <c r="A55" s="35" t="s">
        <v>198</v>
      </c>
      <c r="B55" s="72" t="s">
        <v>49</v>
      </c>
      <c r="C55" s="73" t="str">
        <f t="shared" si="0"/>
        <v>William Allen</v>
      </c>
    </row>
    <row r="56" spans="1:3" x14ac:dyDescent="0.3">
      <c r="A56" s="35" t="s">
        <v>201</v>
      </c>
      <c r="B56" s="72" t="s">
        <v>42</v>
      </c>
      <c r="C56" s="73" t="str">
        <f t="shared" si="0"/>
        <v>Christina Henderson</v>
      </c>
    </row>
    <row r="57" spans="1:3" x14ac:dyDescent="0.3">
      <c r="A57" s="35" t="s">
        <v>204</v>
      </c>
      <c r="B57" s="72" t="s">
        <v>37</v>
      </c>
      <c r="C57" s="73" t="str">
        <f t="shared" si="0"/>
        <v>Brian Simon</v>
      </c>
    </row>
    <row r="58" spans="1:3" x14ac:dyDescent="0.3">
      <c r="A58" s="35" t="s">
        <v>207</v>
      </c>
      <c r="B58" s="72" t="s">
        <v>37</v>
      </c>
      <c r="C58" s="73" t="str">
        <f t="shared" si="0"/>
        <v>Marc Martinez</v>
      </c>
    </row>
    <row r="59" spans="1:3" x14ac:dyDescent="0.3">
      <c r="A59" s="35" t="s">
        <v>210</v>
      </c>
      <c r="B59" s="72" t="s">
        <v>62</v>
      </c>
      <c r="C59" s="73" t="str">
        <f t="shared" si="0"/>
        <v>Rose Garcia</v>
      </c>
    </row>
    <row r="60" spans="1:3" x14ac:dyDescent="0.3">
      <c r="A60" s="35" t="s">
        <v>213</v>
      </c>
      <c r="B60" s="72" t="s">
        <v>30</v>
      </c>
      <c r="C60" s="73" t="str">
        <f t="shared" si="0"/>
        <v>Christopher Richardson</v>
      </c>
    </row>
    <row r="61" spans="1:3" x14ac:dyDescent="0.3">
      <c r="A61" s="35" t="s">
        <v>216</v>
      </c>
      <c r="B61" s="72" t="s">
        <v>49</v>
      </c>
      <c r="C61" s="73" t="str">
        <f t="shared" si="0"/>
        <v>Larry Johnson</v>
      </c>
    </row>
    <row r="62" spans="1:3" x14ac:dyDescent="0.3">
      <c r="A62" s="35" t="s">
        <v>218</v>
      </c>
      <c r="B62" s="72" t="s">
        <v>219</v>
      </c>
      <c r="C62" s="73" t="str">
        <f t="shared" si="0"/>
        <v>Mark Yang</v>
      </c>
    </row>
    <row r="63" spans="1:3" x14ac:dyDescent="0.3">
      <c r="A63" s="35" t="s">
        <v>222</v>
      </c>
      <c r="B63" s="72" t="s">
        <v>195</v>
      </c>
      <c r="C63" s="73" t="str">
        <f t="shared" si="0"/>
        <v>Jill Garcia</v>
      </c>
    </row>
    <row r="64" spans="1:3" x14ac:dyDescent="0.3">
      <c r="A64" s="35" t="s">
        <v>225</v>
      </c>
      <c r="B64" s="72" t="s">
        <v>219</v>
      </c>
      <c r="C64" s="73" t="str">
        <f t="shared" si="0"/>
        <v>Anne Rodriguez</v>
      </c>
    </row>
    <row r="65" spans="1:3" x14ac:dyDescent="0.3">
      <c r="A65" s="35" t="s">
        <v>228</v>
      </c>
      <c r="B65" s="72" t="s">
        <v>88</v>
      </c>
      <c r="C65" s="73" t="str">
        <f t="shared" si="0"/>
        <v>Christopher Daniels</v>
      </c>
    </row>
    <row r="66" spans="1:3" x14ac:dyDescent="0.3">
      <c r="A66" s="35" t="s">
        <v>231</v>
      </c>
      <c r="B66" s="72" t="s">
        <v>37</v>
      </c>
      <c r="C66" s="73" t="str">
        <f t="shared" si="0"/>
        <v>Joshua Stevenson</v>
      </c>
    </row>
    <row r="67" spans="1:3" x14ac:dyDescent="0.3">
      <c r="A67" s="35" t="s">
        <v>234</v>
      </c>
      <c r="B67" s="72" t="s">
        <v>195</v>
      </c>
      <c r="C67" s="73" t="str">
        <f t="shared" si="0"/>
        <v>Caleb Schneider</v>
      </c>
    </row>
    <row r="68" spans="1:3" x14ac:dyDescent="0.3">
      <c r="A68" s="35" t="s">
        <v>237</v>
      </c>
      <c r="B68" s="72" t="s">
        <v>37</v>
      </c>
      <c r="C68" s="73" t="str">
        <f t="shared" ref="C68:C131" si="1">HYPERLINK(B68,A68)</f>
        <v>Rhonda Stone</v>
      </c>
    </row>
    <row r="69" spans="1:3" x14ac:dyDescent="0.3">
      <c r="A69" s="35" t="s">
        <v>239</v>
      </c>
      <c r="B69" s="72" t="s">
        <v>72</v>
      </c>
      <c r="C69" s="73" t="str">
        <f t="shared" si="1"/>
        <v>Ricky Conner</v>
      </c>
    </row>
    <row r="70" spans="1:3" x14ac:dyDescent="0.3">
      <c r="A70" s="35" t="s">
        <v>242</v>
      </c>
      <c r="B70" s="72" t="s">
        <v>144</v>
      </c>
      <c r="C70" s="73" t="str">
        <f t="shared" si="1"/>
        <v>Alyssa Osborne</v>
      </c>
    </row>
    <row r="71" spans="1:3" x14ac:dyDescent="0.3">
      <c r="A71" s="35" t="s">
        <v>245</v>
      </c>
      <c r="B71" s="72" t="s">
        <v>195</v>
      </c>
      <c r="C71" s="73" t="str">
        <f t="shared" si="1"/>
        <v>Travis Avila</v>
      </c>
    </row>
    <row r="72" spans="1:3" x14ac:dyDescent="0.3">
      <c r="A72" s="35" t="s">
        <v>248</v>
      </c>
      <c r="B72" s="72" t="s">
        <v>88</v>
      </c>
      <c r="C72" s="73" t="str">
        <f t="shared" si="1"/>
        <v>Anthony Watts</v>
      </c>
    </row>
    <row r="73" spans="1:3" x14ac:dyDescent="0.3">
      <c r="A73" s="35" t="s">
        <v>250</v>
      </c>
      <c r="B73" s="72" t="s">
        <v>95</v>
      </c>
      <c r="C73" s="73" t="str">
        <f t="shared" si="1"/>
        <v>Brenda Mitchell</v>
      </c>
    </row>
    <row r="74" spans="1:3" x14ac:dyDescent="0.3">
      <c r="A74" s="35" t="s">
        <v>253</v>
      </c>
      <c r="B74" s="72" t="s">
        <v>72</v>
      </c>
      <c r="C74" s="73" t="str">
        <f t="shared" si="1"/>
        <v>Elizabeth Warren</v>
      </c>
    </row>
    <row r="75" spans="1:3" x14ac:dyDescent="0.3">
      <c r="A75" s="35" t="s">
        <v>256</v>
      </c>
      <c r="B75" s="72" t="s">
        <v>168</v>
      </c>
      <c r="C75" s="73" t="str">
        <f t="shared" si="1"/>
        <v>Mrs. Annette Phillips</v>
      </c>
    </row>
    <row r="76" spans="1:3" x14ac:dyDescent="0.3">
      <c r="A76" s="35" t="s">
        <v>259</v>
      </c>
      <c r="B76" s="72" t="s">
        <v>37</v>
      </c>
      <c r="C76" s="73" t="str">
        <f t="shared" si="1"/>
        <v>Brandon Ford</v>
      </c>
    </row>
    <row r="77" spans="1:3" x14ac:dyDescent="0.3">
      <c r="A77" s="35" t="s">
        <v>262</v>
      </c>
      <c r="B77" s="72" t="s">
        <v>30</v>
      </c>
      <c r="C77" s="73" t="str">
        <f t="shared" si="1"/>
        <v>Shelia Hayes</v>
      </c>
    </row>
    <row r="78" spans="1:3" x14ac:dyDescent="0.3">
      <c r="A78" s="35" t="s">
        <v>264</v>
      </c>
      <c r="B78" s="72" t="s">
        <v>88</v>
      </c>
      <c r="C78" s="73" t="str">
        <f t="shared" si="1"/>
        <v>John Williams</v>
      </c>
    </row>
    <row r="79" spans="1:3" x14ac:dyDescent="0.3">
      <c r="A79" s="35" t="s">
        <v>266</v>
      </c>
      <c r="B79" s="72" t="s">
        <v>72</v>
      </c>
      <c r="C79" s="73" t="str">
        <f t="shared" si="1"/>
        <v>Stacy Davis</v>
      </c>
    </row>
    <row r="80" spans="1:3" x14ac:dyDescent="0.3">
      <c r="A80" s="35" t="s">
        <v>269</v>
      </c>
      <c r="B80" s="72" t="s">
        <v>57</v>
      </c>
      <c r="C80" s="73" t="str">
        <f t="shared" si="1"/>
        <v>Deborah Fields</v>
      </c>
    </row>
    <row r="81" spans="1:3" x14ac:dyDescent="0.3">
      <c r="A81" s="35" t="s">
        <v>272</v>
      </c>
      <c r="B81" s="72" t="s">
        <v>168</v>
      </c>
      <c r="C81" s="73" t="str">
        <f t="shared" si="1"/>
        <v>Shane Singleton</v>
      </c>
    </row>
    <row r="82" spans="1:3" x14ac:dyDescent="0.3">
      <c r="A82" s="35" t="s">
        <v>275</v>
      </c>
      <c r="B82" s="72" t="s">
        <v>49</v>
      </c>
      <c r="C82" s="73" t="str">
        <f t="shared" si="1"/>
        <v>Robin Moore</v>
      </c>
    </row>
    <row r="83" spans="1:3" x14ac:dyDescent="0.3">
      <c r="A83" s="35" t="s">
        <v>278</v>
      </c>
      <c r="B83" s="72" t="s">
        <v>219</v>
      </c>
      <c r="C83" s="73" t="str">
        <f t="shared" si="1"/>
        <v>Michael Rodriguez</v>
      </c>
    </row>
    <row r="84" spans="1:3" x14ac:dyDescent="0.3">
      <c r="A84" s="35" t="s">
        <v>280</v>
      </c>
      <c r="B84" s="72" t="s">
        <v>72</v>
      </c>
      <c r="C84" s="73" t="str">
        <f t="shared" si="1"/>
        <v>Benjamin Cummings</v>
      </c>
    </row>
    <row r="85" spans="1:3" x14ac:dyDescent="0.3">
      <c r="A85" s="35" t="s">
        <v>283</v>
      </c>
      <c r="B85" s="72" t="s">
        <v>219</v>
      </c>
      <c r="C85" s="73" t="str">
        <f t="shared" si="1"/>
        <v>Dale Cook</v>
      </c>
    </row>
    <row r="86" spans="1:3" x14ac:dyDescent="0.3">
      <c r="A86" s="35" t="s">
        <v>286</v>
      </c>
      <c r="B86" s="72" t="s">
        <v>144</v>
      </c>
      <c r="C86" s="73" t="str">
        <f t="shared" si="1"/>
        <v>Nancy Scott</v>
      </c>
    </row>
    <row r="87" spans="1:3" x14ac:dyDescent="0.3">
      <c r="A87" s="35" t="s">
        <v>288</v>
      </c>
      <c r="B87" s="72" t="s">
        <v>72</v>
      </c>
      <c r="C87" s="73" t="str">
        <f t="shared" si="1"/>
        <v>Juan Perry</v>
      </c>
    </row>
    <row r="88" spans="1:3" x14ac:dyDescent="0.3">
      <c r="A88" s="35" t="s">
        <v>291</v>
      </c>
      <c r="B88" s="72" t="s">
        <v>42</v>
      </c>
      <c r="C88" s="73" t="str">
        <f t="shared" si="1"/>
        <v>Christopher Johnson</v>
      </c>
    </row>
    <row r="89" spans="1:3" x14ac:dyDescent="0.3">
      <c r="A89" s="35" t="s">
        <v>293</v>
      </c>
      <c r="B89" s="72" t="s">
        <v>42</v>
      </c>
      <c r="C89" s="73" t="str">
        <f t="shared" si="1"/>
        <v>Christopher Noble</v>
      </c>
    </row>
    <row r="90" spans="1:3" x14ac:dyDescent="0.3">
      <c r="A90" s="35" t="s">
        <v>296</v>
      </c>
      <c r="B90" s="72" t="s">
        <v>72</v>
      </c>
      <c r="C90" s="73" t="str">
        <f t="shared" si="1"/>
        <v>Alejandro Wilson</v>
      </c>
    </row>
    <row r="91" spans="1:3" x14ac:dyDescent="0.3">
      <c r="A91" s="35" t="s">
        <v>299</v>
      </c>
      <c r="B91" s="72" t="s">
        <v>57</v>
      </c>
      <c r="C91" s="73" t="str">
        <f t="shared" si="1"/>
        <v>Raymond Perez</v>
      </c>
    </row>
    <row r="92" spans="1:3" x14ac:dyDescent="0.3">
      <c r="A92" s="35" t="s">
        <v>302</v>
      </c>
      <c r="B92" s="72" t="s">
        <v>30</v>
      </c>
      <c r="C92" s="73" t="str">
        <f t="shared" si="1"/>
        <v>Tracy Parker</v>
      </c>
    </row>
    <row r="93" spans="1:3" x14ac:dyDescent="0.3">
      <c r="A93" s="35" t="s">
        <v>304</v>
      </c>
      <c r="B93" s="72" t="s">
        <v>72</v>
      </c>
      <c r="C93" s="73" t="str">
        <f t="shared" si="1"/>
        <v>Katelyn Woods</v>
      </c>
    </row>
    <row r="94" spans="1:3" x14ac:dyDescent="0.3">
      <c r="A94" s="35" t="s">
        <v>307</v>
      </c>
      <c r="B94" s="72" t="s">
        <v>42</v>
      </c>
      <c r="C94" s="73" t="str">
        <f t="shared" si="1"/>
        <v>Michael Lindsey</v>
      </c>
    </row>
    <row r="95" spans="1:3" x14ac:dyDescent="0.3">
      <c r="A95" s="35" t="s">
        <v>310</v>
      </c>
      <c r="B95" s="72" t="s">
        <v>37</v>
      </c>
      <c r="C95" s="73" t="str">
        <f t="shared" si="1"/>
        <v>Jesse Davis</v>
      </c>
    </row>
    <row r="96" spans="1:3" x14ac:dyDescent="0.3">
      <c r="A96" s="35" t="s">
        <v>312</v>
      </c>
      <c r="B96" s="72" t="s">
        <v>42</v>
      </c>
      <c r="C96" s="73" t="str">
        <f t="shared" si="1"/>
        <v>Katrina Hayes</v>
      </c>
    </row>
    <row r="97" spans="1:3" x14ac:dyDescent="0.3">
      <c r="A97" s="35" t="s">
        <v>315</v>
      </c>
      <c r="B97" s="72" t="s">
        <v>18</v>
      </c>
      <c r="C97" s="73" t="str">
        <f t="shared" si="1"/>
        <v>Jason Weber</v>
      </c>
    </row>
    <row r="98" spans="1:3" x14ac:dyDescent="0.3">
      <c r="A98" s="35" t="s">
        <v>317</v>
      </c>
      <c r="B98" s="72" t="s">
        <v>139</v>
      </c>
      <c r="C98" s="73" t="str">
        <f t="shared" si="1"/>
        <v>John Pope</v>
      </c>
    </row>
    <row r="99" spans="1:3" x14ac:dyDescent="0.3">
      <c r="A99" s="35" t="s">
        <v>320</v>
      </c>
      <c r="B99" s="72" t="s">
        <v>144</v>
      </c>
      <c r="C99" s="73" t="str">
        <f t="shared" si="1"/>
        <v>Dean Herman</v>
      </c>
    </row>
    <row r="100" spans="1:3" x14ac:dyDescent="0.3">
      <c r="A100" s="35" t="s">
        <v>322</v>
      </c>
      <c r="B100" s="72" t="s">
        <v>62</v>
      </c>
      <c r="C100" s="73" t="str">
        <f t="shared" si="1"/>
        <v>David Mendez</v>
      </c>
    </row>
    <row r="101" spans="1:3" x14ac:dyDescent="0.3">
      <c r="A101" s="35" t="s">
        <v>324</v>
      </c>
      <c r="B101" s="72" t="s">
        <v>219</v>
      </c>
      <c r="C101" s="73" t="str">
        <f t="shared" si="1"/>
        <v>Joshua Carter</v>
      </c>
    </row>
    <row r="102" spans="1:3" x14ac:dyDescent="0.3">
      <c r="A102" s="35" t="s">
        <v>327</v>
      </c>
      <c r="B102" s="72" t="s">
        <v>42</v>
      </c>
      <c r="C102" s="73" t="str">
        <f t="shared" si="1"/>
        <v>Lauren Alvarez</v>
      </c>
    </row>
    <row r="103" spans="1:3" x14ac:dyDescent="0.3">
      <c r="A103" s="35" t="s">
        <v>329</v>
      </c>
      <c r="B103" s="72" t="s">
        <v>139</v>
      </c>
      <c r="C103" s="73" t="str">
        <f t="shared" si="1"/>
        <v>Mr. Roy Walton</v>
      </c>
    </row>
    <row r="104" spans="1:3" x14ac:dyDescent="0.3">
      <c r="A104" s="35" t="s">
        <v>331</v>
      </c>
      <c r="B104" s="72" t="s">
        <v>72</v>
      </c>
      <c r="C104" s="73" t="str">
        <f t="shared" si="1"/>
        <v>Kaylee Cordova</v>
      </c>
    </row>
    <row r="105" spans="1:3" x14ac:dyDescent="0.3">
      <c r="A105" s="35" t="s">
        <v>334</v>
      </c>
      <c r="B105" s="72" t="s">
        <v>72</v>
      </c>
      <c r="C105" s="73" t="str">
        <f t="shared" si="1"/>
        <v>Tyler Conner</v>
      </c>
    </row>
    <row r="106" spans="1:3" x14ac:dyDescent="0.3">
      <c r="A106" s="35" t="s">
        <v>337</v>
      </c>
      <c r="B106" s="72" t="s">
        <v>95</v>
      </c>
      <c r="C106" s="73" t="str">
        <f t="shared" si="1"/>
        <v>Douglas Johnson</v>
      </c>
    </row>
    <row r="107" spans="1:3" x14ac:dyDescent="0.3">
      <c r="A107" s="35" t="s">
        <v>339</v>
      </c>
      <c r="B107" s="72" t="s">
        <v>57</v>
      </c>
      <c r="C107" s="73" t="str">
        <f t="shared" si="1"/>
        <v>Todd Brock</v>
      </c>
    </row>
    <row r="108" spans="1:3" x14ac:dyDescent="0.3">
      <c r="A108" s="35" t="s">
        <v>342</v>
      </c>
      <c r="B108" s="72" t="s">
        <v>88</v>
      </c>
      <c r="C108" s="73" t="str">
        <f t="shared" si="1"/>
        <v>Derek Bennett</v>
      </c>
    </row>
    <row r="109" spans="1:3" x14ac:dyDescent="0.3">
      <c r="A109" s="35" t="s">
        <v>345</v>
      </c>
      <c r="B109" s="72" t="s">
        <v>42</v>
      </c>
      <c r="C109" s="73" t="str">
        <f t="shared" si="1"/>
        <v>Rachel Maldonado</v>
      </c>
    </row>
    <row r="110" spans="1:3" x14ac:dyDescent="0.3">
      <c r="A110" s="35" t="s">
        <v>347</v>
      </c>
      <c r="B110" s="72" t="s">
        <v>139</v>
      </c>
      <c r="C110" s="73" t="str">
        <f t="shared" si="1"/>
        <v>Shelly Jones</v>
      </c>
    </row>
    <row r="111" spans="1:3" x14ac:dyDescent="0.3">
      <c r="A111" s="35" t="s">
        <v>350</v>
      </c>
      <c r="B111" s="72" t="s">
        <v>219</v>
      </c>
      <c r="C111" s="73" t="str">
        <f t="shared" si="1"/>
        <v>Cindy Owens</v>
      </c>
    </row>
    <row r="112" spans="1:3" x14ac:dyDescent="0.3">
      <c r="A112" s="35" t="s">
        <v>353</v>
      </c>
      <c r="B112" s="72" t="s">
        <v>62</v>
      </c>
      <c r="C112" s="73" t="str">
        <f t="shared" si="1"/>
        <v>Barbara Burgess</v>
      </c>
    </row>
    <row r="113" spans="1:3" x14ac:dyDescent="0.3">
      <c r="A113" s="35" t="s">
        <v>356</v>
      </c>
      <c r="B113" s="72" t="s">
        <v>195</v>
      </c>
      <c r="C113" s="73" t="str">
        <f t="shared" si="1"/>
        <v>Kathleen Jones</v>
      </c>
    </row>
    <row r="114" spans="1:3" x14ac:dyDescent="0.3">
      <c r="A114" s="35" t="s">
        <v>358</v>
      </c>
      <c r="B114" s="72" t="s">
        <v>30</v>
      </c>
      <c r="C114" s="73" t="str">
        <f t="shared" si="1"/>
        <v>Cole Li</v>
      </c>
    </row>
    <row r="115" spans="1:3" x14ac:dyDescent="0.3">
      <c r="A115" s="35" t="s">
        <v>361</v>
      </c>
      <c r="B115" s="72" t="s">
        <v>57</v>
      </c>
      <c r="C115" s="73" t="str">
        <f t="shared" si="1"/>
        <v>Erika Rodriguez</v>
      </c>
    </row>
    <row r="116" spans="1:3" x14ac:dyDescent="0.3">
      <c r="A116" s="35" t="s">
        <v>364</v>
      </c>
      <c r="B116" s="72" t="s">
        <v>139</v>
      </c>
      <c r="C116" s="73" t="str">
        <f t="shared" si="1"/>
        <v>Brooke Wright</v>
      </c>
    </row>
    <row r="117" spans="1:3" x14ac:dyDescent="0.3">
      <c r="A117" s="35" t="s">
        <v>366</v>
      </c>
      <c r="B117" s="72" t="s">
        <v>88</v>
      </c>
      <c r="C117" s="73" t="str">
        <f t="shared" si="1"/>
        <v>James Lam</v>
      </c>
    </row>
    <row r="118" spans="1:3" x14ac:dyDescent="0.3">
      <c r="A118" s="35" t="s">
        <v>369</v>
      </c>
      <c r="B118" s="72" t="s">
        <v>57</v>
      </c>
      <c r="C118" s="73" t="str">
        <f t="shared" si="1"/>
        <v>Blake Hicks</v>
      </c>
    </row>
    <row r="119" spans="1:3" x14ac:dyDescent="0.3">
      <c r="A119" s="35" t="s">
        <v>372</v>
      </c>
      <c r="B119" s="72" t="s">
        <v>57</v>
      </c>
      <c r="C119" s="73" t="str">
        <f t="shared" si="1"/>
        <v>Elizabeth Garner</v>
      </c>
    </row>
    <row r="120" spans="1:3" x14ac:dyDescent="0.3">
      <c r="A120" s="35" t="s">
        <v>374</v>
      </c>
      <c r="B120" s="72" t="s">
        <v>62</v>
      </c>
      <c r="C120" s="73" t="str">
        <f t="shared" si="1"/>
        <v>Nicole Rodriguez</v>
      </c>
    </row>
    <row r="121" spans="1:3" x14ac:dyDescent="0.3">
      <c r="A121" s="35" t="s">
        <v>377</v>
      </c>
      <c r="B121" s="72" t="s">
        <v>30</v>
      </c>
      <c r="C121" s="73" t="str">
        <f t="shared" si="1"/>
        <v>Jennifer Henderson</v>
      </c>
    </row>
    <row r="122" spans="1:3" x14ac:dyDescent="0.3">
      <c r="A122" s="35" t="s">
        <v>380</v>
      </c>
      <c r="B122" s="72" t="s">
        <v>88</v>
      </c>
      <c r="C122" s="73" t="str">
        <f t="shared" si="1"/>
        <v>Kevin Quinn</v>
      </c>
    </row>
    <row r="123" spans="1:3" x14ac:dyDescent="0.3">
      <c r="A123" s="35" t="s">
        <v>382</v>
      </c>
      <c r="B123" s="72" t="s">
        <v>18</v>
      </c>
      <c r="C123" s="73" t="str">
        <f t="shared" si="1"/>
        <v>Robert Williams</v>
      </c>
    </row>
    <row r="124" spans="1:3" x14ac:dyDescent="0.3">
      <c r="A124" s="35" t="s">
        <v>385</v>
      </c>
      <c r="B124" s="72" t="s">
        <v>144</v>
      </c>
      <c r="C124" s="73" t="str">
        <f t="shared" si="1"/>
        <v>Lawrence Jackson</v>
      </c>
    </row>
    <row r="125" spans="1:3" x14ac:dyDescent="0.3">
      <c r="A125" s="35" t="s">
        <v>388</v>
      </c>
      <c r="B125" s="72" t="s">
        <v>144</v>
      </c>
      <c r="C125" s="73" t="str">
        <f t="shared" si="1"/>
        <v>Linda Campbell</v>
      </c>
    </row>
    <row r="126" spans="1:3" x14ac:dyDescent="0.3">
      <c r="A126" s="35" t="s">
        <v>390</v>
      </c>
      <c r="B126" s="72" t="s">
        <v>49</v>
      </c>
      <c r="C126" s="73" t="str">
        <f t="shared" si="1"/>
        <v>Ashley Robinson</v>
      </c>
    </row>
    <row r="127" spans="1:3" x14ac:dyDescent="0.3">
      <c r="A127" s="35" t="s">
        <v>393</v>
      </c>
      <c r="B127" s="72" t="s">
        <v>30</v>
      </c>
      <c r="C127" s="73" t="str">
        <f t="shared" si="1"/>
        <v>Joyce Davis</v>
      </c>
    </row>
    <row r="128" spans="1:3" x14ac:dyDescent="0.3">
      <c r="A128" s="35" t="s">
        <v>396</v>
      </c>
      <c r="B128" s="72" t="s">
        <v>88</v>
      </c>
      <c r="C128" s="73" t="str">
        <f t="shared" si="1"/>
        <v>Richard Brown</v>
      </c>
    </row>
    <row r="129" spans="1:3" x14ac:dyDescent="0.3">
      <c r="A129" s="35" t="s">
        <v>398</v>
      </c>
      <c r="B129" s="72" t="s">
        <v>168</v>
      </c>
      <c r="C129" s="73" t="str">
        <f t="shared" si="1"/>
        <v>Cheryl Hoover</v>
      </c>
    </row>
    <row r="130" spans="1:3" x14ac:dyDescent="0.3">
      <c r="A130" s="35" t="s">
        <v>401</v>
      </c>
      <c r="B130" s="72" t="s">
        <v>18</v>
      </c>
      <c r="C130" s="73" t="str">
        <f t="shared" si="1"/>
        <v>Sarah Jones</v>
      </c>
    </row>
    <row r="131" spans="1:3" x14ac:dyDescent="0.3">
      <c r="A131" s="35" t="s">
        <v>403</v>
      </c>
      <c r="B131" s="72" t="s">
        <v>72</v>
      </c>
      <c r="C131" s="73" t="str">
        <f t="shared" si="1"/>
        <v>Thomas Boone</v>
      </c>
    </row>
    <row r="132" spans="1:3" x14ac:dyDescent="0.3">
      <c r="A132" s="35" t="s">
        <v>405</v>
      </c>
      <c r="B132" s="72" t="s">
        <v>144</v>
      </c>
      <c r="C132" s="73" t="str">
        <f t="shared" ref="C132:C195" si="2">HYPERLINK(B132,A132)</f>
        <v>Daniel Ryan</v>
      </c>
    </row>
    <row r="133" spans="1:3" x14ac:dyDescent="0.3">
      <c r="A133" s="35" t="s">
        <v>408</v>
      </c>
      <c r="B133" s="72" t="s">
        <v>195</v>
      </c>
      <c r="C133" s="73" t="str">
        <f t="shared" si="2"/>
        <v>Willie Stewart</v>
      </c>
    </row>
    <row r="134" spans="1:3" x14ac:dyDescent="0.3">
      <c r="A134" s="35" t="s">
        <v>411</v>
      </c>
      <c r="B134" s="72" t="s">
        <v>88</v>
      </c>
      <c r="C134" s="73" t="str">
        <f t="shared" si="2"/>
        <v>Michelle Brown</v>
      </c>
    </row>
    <row r="135" spans="1:3" x14ac:dyDescent="0.3">
      <c r="A135" s="35" t="s">
        <v>413</v>
      </c>
      <c r="B135" s="72" t="s">
        <v>72</v>
      </c>
      <c r="C135" s="73" t="str">
        <f t="shared" si="2"/>
        <v>Theresa Robinson MD</v>
      </c>
    </row>
    <row r="136" spans="1:3" x14ac:dyDescent="0.3">
      <c r="A136" s="35" t="s">
        <v>416</v>
      </c>
      <c r="B136" s="72" t="s">
        <v>42</v>
      </c>
      <c r="C136" s="73" t="str">
        <f t="shared" si="2"/>
        <v>Timothy Giles</v>
      </c>
    </row>
    <row r="137" spans="1:3" x14ac:dyDescent="0.3">
      <c r="A137" s="35" t="s">
        <v>419</v>
      </c>
      <c r="B137" s="72" t="s">
        <v>219</v>
      </c>
      <c r="C137" s="73" t="str">
        <f t="shared" si="2"/>
        <v>Donna Barron</v>
      </c>
    </row>
    <row r="138" spans="1:3" x14ac:dyDescent="0.3">
      <c r="A138" s="35" t="s">
        <v>422</v>
      </c>
      <c r="B138" s="72" t="s">
        <v>195</v>
      </c>
      <c r="C138" s="73" t="str">
        <f t="shared" si="2"/>
        <v>James Moss</v>
      </c>
    </row>
    <row r="139" spans="1:3" x14ac:dyDescent="0.3">
      <c r="A139" s="35" t="s">
        <v>425</v>
      </c>
      <c r="B139" s="72" t="s">
        <v>42</v>
      </c>
      <c r="C139" s="73" t="str">
        <f t="shared" si="2"/>
        <v>Christopher Smith</v>
      </c>
    </row>
    <row r="140" spans="1:3" x14ac:dyDescent="0.3">
      <c r="A140" s="35" t="s">
        <v>428</v>
      </c>
      <c r="B140" s="72" t="s">
        <v>57</v>
      </c>
      <c r="C140" s="73" t="str">
        <f t="shared" si="2"/>
        <v>Nathan Ford</v>
      </c>
    </row>
    <row r="141" spans="1:3" x14ac:dyDescent="0.3">
      <c r="A141" s="35" t="s">
        <v>431</v>
      </c>
      <c r="B141" s="72" t="s">
        <v>37</v>
      </c>
      <c r="C141" s="73" t="str">
        <f t="shared" si="2"/>
        <v>Jennifer Hill</v>
      </c>
    </row>
    <row r="142" spans="1:3" x14ac:dyDescent="0.3">
      <c r="A142" s="35" t="s">
        <v>433</v>
      </c>
      <c r="B142" s="72" t="s">
        <v>72</v>
      </c>
      <c r="C142" s="73" t="str">
        <f t="shared" si="2"/>
        <v>Adrian Coleman</v>
      </c>
    </row>
    <row r="143" spans="1:3" x14ac:dyDescent="0.3">
      <c r="A143" s="35" t="s">
        <v>435</v>
      </c>
      <c r="B143" s="72" t="s">
        <v>88</v>
      </c>
      <c r="C143" s="73" t="str">
        <f t="shared" si="2"/>
        <v>Aaron Wilson</v>
      </c>
    </row>
    <row r="144" spans="1:3" x14ac:dyDescent="0.3">
      <c r="A144" s="35" t="s">
        <v>438</v>
      </c>
      <c r="B144" s="72" t="s">
        <v>37</v>
      </c>
      <c r="C144" s="73" t="str">
        <f t="shared" si="2"/>
        <v>Matthew Stevens</v>
      </c>
    </row>
    <row r="145" spans="1:3" x14ac:dyDescent="0.3">
      <c r="A145" s="35" t="s">
        <v>440</v>
      </c>
      <c r="B145" s="72" t="s">
        <v>30</v>
      </c>
      <c r="C145" s="73" t="str">
        <f t="shared" si="2"/>
        <v>Jamie Stewart</v>
      </c>
    </row>
    <row r="146" spans="1:3" x14ac:dyDescent="0.3">
      <c r="A146" s="35" t="s">
        <v>443</v>
      </c>
      <c r="B146" s="72" t="s">
        <v>88</v>
      </c>
      <c r="C146" s="73" t="str">
        <f t="shared" si="2"/>
        <v>Mrs. Kimberly Murphy DVM</v>
      </c>
    </row>
    <row r="147" spans="1:3" x14ac:dyDescent="0.3">
      <c r="A147" s="35" t="s">
        <v>445</v>
      </c>
      <c r="B147" s="72" t="s">
        <v>49</v>
      </c>
      <c r="C147" s="73" t="str">
        <f t="shared" si="2"/>
        <v>Kathleen Davis</v>
      </c>
    </row>
    <row r="148" spans="1:3" x14ac:dyDescent="0.3">
      <c r="A148" s="35" t="s">
        <v>264</v>
      </c>
      <c r="B148" s="72" t="s">
        <v>18</v>
      </c>
      <c r="C148" s="73" t="str">
        <f t="shared" si="2"/>
        <v>John Williams</v>
      </c>
    </row>
    <row r="149" spans="1:3" x14ac:dyDescent="0.3">
      <c r="A149" s="35" t="s">
        <v>449</v>
      </c>
      <c r="B149" s="72" t="s">
        <v>195</v>
      </c>
      <c r="C149" s="73" t="str">
        <f t="shared" si="2"/>
        <v>Courtney Hanson</v>
      </c>
    </row>
    <row r="150" spans="1:3" x14ac:dyDescent="0.3">
      <c r="A150" s="35" t="s">
        <v>451</v>
      </c>
      <c r="B150" s="72" t="s">
        <v>168</v>
      </c>
      <c r="C150" s="73" t="str">
        <f t="shared" si="2"/>
        <v>John Smith</v>
      </c>
    </row>
    <row r="151" spans="1:3" x14ac:dyDescent="0.3">
      <c r="A151" s="35" t="s">
        <v>454</v>
      </c>
      <c r="B151" s="72" t="s">
        <v>72</v>
      </c>
      <c r="C151" s="73" t="str">
        <f t="shared" si="2"/>
        <v>Robert Smith</v>
      </c>
    </row>
    <row r="152" spans="1:3" x14ac:dyDescent="0.3">
      <c r="A152" s="35" t="s">
        <v>457</v>
      </c>
      <c r="B152" s="72" t="s">
        <v>168</v>
      </c>
      <c r="C152" s="73" t="str">
        <f t="shared" si="2"/>
        <v>Alicia Sheppard</v>
      </c>
    </row>
    <row r="153" spans="1:3" x14ac:dyDescent="0.3">
      <c r="A153" s="35" t="s">
        <v>459</v>
      </c>
      <c r="B153" s="72" t="s">
        <v>62</v>
      </c>
      <c r="C153" s="73" t="str">
        <f t="shared" si="2"/>
        <v>Eric Graham MD</v>
      </c>
    </row>
    <row r="154" spans="1:3" x14ac:dyDescent="0.3">
      <c r="A154" s="35" t="s">
        <v>462</v>
      </c>
      <c r="B154" s="72" t="s">
        <v>30</v>
      </c>
      <c r="C154" s="73" t="str">
        <f t="shared" si="2"/>
        <v>Helen Ashley</v>
      </c>
    </row>
    <row r="155" spans="1:3" x14ac:dyDescent="0.3">
      <c r="A155" s="35" t="s">
        <v>465</v>
      </c>
      <c r="B155" s="72" t="s">
        <v>37</v>
      </c>
      <c r="C155" s="73" t="str">
        <f t="shared" si="2"/>
        <v>Michael Harding</v>
      </c>
    </row>
    <row r="156" spans="1:3" x14ac:dyDescent="0.3">
      <c r="A156" s="35" t="s">
        <v>467</v>
      </c>
      <c r="B156" s="72" t="s">
        <v>37</v>
      </c>
      <c r="C156" s="73" t="str">
        <f t="shared" si="2"/>
        <v>Anthony Mcmahon</v>
      </c>
    </row>
    <row r="157" spans="1:3" x14ac:dyDescent="0.3">
      <c r="A157" s="35" t="s">
        <v>469</v>
      </c>
      <c r="B157" s="72" t="s">
        <v>72</v>
      </c>
      <c r="C157" s="73" t="str">
        <f t="shared" si="2"/>
        <v>Janice Sullivan</v>
      </c>
    </row>
    <row r="158" spans="1:3" x14ac:dyDescent="0.3">
      <c r="A158" s="35" t="s">
        <v>472</v>
      </c>
      <c r="B158" s="72" t="s">
        <v>42</v>
      </c>
      <c r="C158" s="73" t="str">
        <f t="shared" si="2"/>
        <v>Eric Hall</v>
      </c>
    </row>
    <row r="159" spans="1:3" x14ac:dyDescent="0.3">
      <c r="A159" s="35" t="s">
        <v>474</v>
      </c>
      <c r="B159" s="72" t="s">
        <v>62</v>
      </c>
      <c r="C159" s="73" t="str">
        <f t="shared" si="2"/>
        <v>Megan Watson</v>
      </c>
    </row>
    <row r="160" spans="1:3" x14ac:dyDescent="0.3">
      <c r="A160" s="35" t="s">
        <v>477</v>
      </c>
      <c r="B160" s="72" t="s">
        <v>30</v>
      </c>
      <c r="C160" s="73" t="str">
        <f t="shared" si="2"/>
        <v>Sherri Pena</v>
      </c>
    </row>
    <row r="161" spans="1:3" x14ac:dyDescent="0.3">
      <c r="A161" s="35" t="s">
        <v>479</v>
      </c>
      <c r="B161" s="72" t="s">
        <v>30</v>
      </c>
      <c r="C161" s="73" t="str">
        <f t="shared" si="2"/>
        <v>Sandy Smith</v>
      </c>
    </row>
    <row r="162" spans="1:3" x14ac:dyDescent="0.3">
      <c r="A162" s="35" t="s">
        <v>482</v>
      </c>
      <c r="B162" s="72" t="s">
        <v>30</v>
      </c>
      <c r="C162" s="73" t="str">
        <f t="shared" si="2"/>
        <v>Scott Todd</v>
      </c>
    </row>
    <row r="163" spans="1:3" x14ac:dyDescent="0.3">
      <c r="A163" s="35" t="s">
        <v>485</v>
      </c>
      <c r="B163" s="72" t="s">
        <v>30</v>
      </c>
      <c r="C163" s="73" t="str">
        <f t="shared" si="2"/>
        <v>Angela Henderson</v>
      </c>
    </row>
    <row r="164" spans="1:3" x14ac:dyDescent="0.3">
      <c r="A164" s="35" t="s">
        <v>488</v>
      </c>
      <c r="B164" s="72" t="s">
        <v>144</v>
      </c>
      <c r="C164" s="73" t="str">
        <f t="shared" si="2"/>
        <v>Blake Ayala</v>
      </c>
    </row>
    <row r="165" spans="1:3" x14ac:dyDescent="0.3">
      <c r="A165" s="35" t="s">
        <v>490</v>
      </c>
      <c r="B165" s="72" t="s">
        <v>219</v>
      </c>
      <c r="C165" s="73" t="str">
        <f t="shared" si="2"/>
        <v>Troy Todd</v>
      </c>
    </row>
    <row r="166" spans="1:3" x14ac:dyDescent="0.3">
      <c r="A166" s="35" t="s">
        <v>492</v>
      </c>
      <c r="B166" s="72" t="s">
        <v>72</v>
      </c>
      <c r="C166" s="73" t="str">
        <f t="shared" si="2"/>
        <v>Joseph Clark</v>
      </c>
    </row>
    <row r="167" spans="1:3" x14ac:dyDescent="0.3">
      <c r="A167" s="35" t="s">
        <v>495</v>
      </c>
      <c r="B167" s="72" t="s">
        <v>37</v>
      </c>
      <c r="C167" s="73" t="str">
        <f t="shared" si="2"/>
        <v>Miranda Hill</v>
      </c>
    </row>
    <row r="168" spans="1:3" x14ac:dyDescent="0.3">
      <c r="A168" s="35" t="s">
        <v>498</v>
      </c>
      <c r="B168" s="72" t="s">
        <v>49</v>
      </c>
      <c r="C168" s="73" t="str">
        <f t="shared" si="2"/>
        <v>Donald Harris</v>
      </c>
    </row>
    <row r="169" spans="1:3" x14ac:dyDescent="0.3">
      <c r="A169" s="35" t="s">
        <v>501</v>
      </c>
      <c r="B169" s="72" t="s">
        <v>139</v>
      </c>
      <c r="C169" s="73" t="str">
        <f t="shared" si="2"/>
        <v>Joanna Woodward</v>
      </c>
    </row>
    <row r="170" spans="1:3" x14ac:dyDescent="0.3">
      <c r="A170" s="35" t="s">
        <v>503</v>
      </c>
      <c r="B170" s="72" t="s">
        <v>72</v>
      </c>
      <c r="C170" s="73" t="str">
        <f t="shared" si="2"/>
        <v>Oscar Blake</v>
      </c>
    </row>
    <row r="171" spans="1:3" x14ac:dyDescent="0.3">
      <c r="A171" s="35" t="s">
        <v>505</v>
      </c>
      <c r="B171" s="72" t="s">
        <v>57</v>
      </c>
      <c r="C171" s="73" t="str">
        <f t="shared" si="2"/>
        <v>Carl Torres</v>
      </c>
    </row>
    <row r="172" spans="1:3" x14ac:dyDescent="0.3">
      <c r="A172" s="35" t="s">
        <v>508</v>
      </c>
      <c r="B172" s="72" t="s">
        <v>144</v>
      </c>
      <c r="C172" s="73" t="str">
        <f t="shared" si="2"/>
        <v>Danielle Rush</v>
      </c>
    </row>
    <row r="173" spans="1:3" x14ac:dyDescent="0.3">
      <c r="A173" s="35" t="s">
        <v>511</v>
      </c>
      <c r="B173" s="72" t="s">
        <v>168</v>
      </c>
      <c r="C173" s="73" t="str">
        <f t="shared" si="2"/>
        <v>Jennifer Greene</v>
      </c>
    </row>
    <row r="174" spans="1:3" x14ac:dyDescent="0.3">
      <c r="A174" s="35" t="s">
        <v>514</v>
      </c>
      <c r="B174" s="72" t="s">
        <v>30</v>
      </c>
      <c r="C174" s="73" t="str">
        <f t="shared" si="2"/>
        <v>John Campbell</v>
      </c>
    </row>
    <row r="175" spans="1:3" x14ac:dyDescent="0.3">
      <c r="A175" s="35" t="s">
        <v>517</v>
      </c>
      <c r="B175" s="72" t="s">
        <v>49</v>
      </c>
      <c r="C175" s="73" t="str">
        <f t="shared" si="2"/>
        <v>Mr. Michael Wood</v>
      </c>
    </row>
    <row r="176" spans="1:3" x14ac:dyDescent="0.3">
      <c r="A176" s="35" t="s">
        <v>519</v>
      </c>
      <c r="B176" s="72" t="s">
        <v>57</v>
      </c>
      <c r="C176" s="73" t="str">
        <f t="shared" si="2"/>
        <v>William Ellis</v>
      </c>
    </row>
    <row r="177" spans="1:3" x14ac:dyDescent="0.3">
      <c r="A177" s="35" t="s">
        <v>521</v>
      </c>
      <c r="B177" s="72" t="s">
        <v>57</v>
      </c>
      <c r="C177" s="73" t="str">
        <f t="shared" si="2"/>
        <v>Kelly Smith</v>
      </c>
    </row>
    <row r="178" spans="1:3" x14ac:dyDescent="0.3">
      <c r="A178" s="35" t="s">
        <v>524</v>
      </c>
      <c r="B178" s="72" t="s">
        <v>95</v>
      </c>
      <c r="C178" s="73" t="str">
        <f t="shared" si="2"/>
        <v>Jaime Bell</v>
      </c>
    </row>
    <row r="179" spans="1:3" x14ac:dyDescent="0.3">
      <c r="A179" s="35" t="s">
        <v>527</v>
      </c>
      <c r="B179" s="72" t="s">
        <v>37</v>
      </c>
      <c r="C179" s="73" t="str">
        <f t="shared" si="2"/>
        <v>Victoria Williams</v>
      </c>
    </row>
    <row r="180" spans="1:3" x14ac:dyDescent="0.3">
      <c r="A180" s="35" t="s">
        <v>529</v>
      </c>
      <c r="B180" s="72" t="s">
        <v>88</v>
      </c>
      <c r="C180" s="73" t="str">
        <f t="shared" si="2"/>
        <v>Bradley Hale</v>
      </c>
    </row>
    <row r="181" spans="1:3" x14ac:dyDescent="0.3">
      <c r="A181" s="35" t="s">
        <v>532</v>
      </c>
      <c r="B181" s="72" t="s">
        <v>57</v>
      </c>
      <c r="C181" s="73" t="str">
        <f t="shared" si="2"/>
        <v>Mr. Anthony Cunningham</v>
      </c>
    </row>
    <row r="182" spans="1:3" x14ac:dyDescent="0.3">
      <c r="A182" s="35" t="s">
        <v>535</v>
      </c>
      <c r="B182" s="72" t="s">
        <v>30</v>
      </c>
      <c r="C182" s="73" t="str">
        <f t="shared" si="2"/>
        <v>Mark Ingram</v>
      </c>
    </row>
    <row r="183" spans="1:3" x14ac:dyDescent="0.3">
      <c r="A183" s="35" t="s">
        <v>537</v>
      </c>
      <c r="B183" s="72" t="s">
        <v>168</v>
      </c>
      <c r="C183" s="73" t="str">
        <f t="shared" si="2"/>
        <v>Jose Green</v>
      </c>
    </row>
    <row r="184" spans="1:3" x14ac:dyDescent="0.3">
      <c r="A184" s="35" t="s">
        <v>540</v>
      </c>
      <c r="B184" s="72" t="s">
        <v>30</v>
      </c>
      <c r="C184" s="73" t="str">
        <f t="shared" si="2"/>
        <v>Craig Garcia</v>
      </c>
    </row>
    <row r="185" spans="1:3" x14ac:dyDescent="0.3">
      <c r="A185" s="35" t="s">
        <v>543</v>
      </c>
      <c r="B185" s="72" t="s">
        <v>95</v>
      </c>
      <c r="C185" s="73" t="str">
        <f t="shared" si="2"/>
        <v>Tamara Love</v>
      </c>
    </row>
    <row r="186" spans="1:3" x14ac:dyDescent="0.3">
      <c r="A186" s="35" t="s">
        <v>545</v>
      </c>
      <c r="B186" s="72" t="s">
        <v>95</v>
      </c>
      <c r="C186" s="73" t="str">
        <f t="shared" si="2"/>
        <v>Julie Dodson</v>
      </c>
    </row>
    <row r="187" spans="1:3" x14ac:dyDescent="0.3">
      <c r="A187" s="35" t="s">
        <v>547</v>
      </c>
      <c r="B187" s="72" t="s">
        <v>144</v>
      </c>
      <c r="C187" s="73" t="str">
        <f t="shared" si="2"/>
        <v>Annette Ponce</v>
      </c>
    </row>
    <row r="188" spans="1:3" x14ac:dyDescent="0.3">
      <c r="A188" s="35" t="s">
        <v>550</v>
      </c>
      <c r="B188" s="72" t="s">
        <v>62</v>
      </c>
      <c r="C188" s="73" t="str">
        <f t="shared" si="2"/>
        <v>Shirley May</v>
      </c>
    </row>
    <row r="189" spans="1:3" x14ac:dyDescent="0.3">
      <c r="A189" s="35" t="s">
        <v>553</v>
      </c>
      <c r="B189" s="72" t="s">
        <v>37</v>
      </c>
      <c r="C189" s="73" t="str">
        <f t="shared" si="2"/>
        <v>Samuel Baker</v>
      </c>
    </row>
    <row r="190" spans="1:3" x14ac:dyDescent="0.3">
      <c r="A190" s="35" t="s">
        <v>556</v>
      </c>
      <c r="B190" s="72" t="s">
        <v>18</v>
      </c>
      <c r="C190" s="73" t="str">
        <f t="shared" si="2"/>
        <v>Andrea Lee</v>
      </c>
    </row>
    <row r="191" spans="1:3" x14ac:dyDescent="0.3">
      <c r="A191" s="35" t="s">
        <v>559</v>
      </c>
      <c r="B191" s="72" t="s">
        <v>42</v>
      </c>
      <c r="C191" s="73" t="str">
        <f t="shared" si="2"/>
        <v>Russell Ramirez</v>
      </c>
    </row>
    <row r="192" spans="1:3" x14ac:dyDescent="0.3">
      <c r="A192" s="35" t="s">
        <v>562</v>
      </c>
      <c r="B192" s="72" t="s">
        <v>95</v>
      </c>
      <c r="C192" s="73" t="str">
        <f t="shared" si="2"/>
        <v>Gary Weber</v>
      </c>
    </row>
    <row r="193" spans="1:3" x14ac:dyDescent="0.3">
      <c r="A193" s="35" t="s">
        <v>564</v>
      </c>
      <c r="B193" s="72" t="s">
        <v>30</v>
      </c>
      <c r="C193" s="73" t="str">
        <f t="shared" si="2"/>
        <v>Patricia Baxter</v>
      </c>
    </row>
    <row r="194" spans="1:3" x14ac:dyDescent="0.3">
      <c r="A194" s="35" t="s">
        <v>566</v>
      </c>
      <c r="B194" s="72" t="s">
        <v>139</v>
      </c>
      <c r="C194" s="73" t="str">
        <f t="shared" si="2"/>
        <v>Tyler Martinez</v>
      </c>
    </row>
    <row r="195" spans="1:3" x14ac:dyDescent="0.3">
      <c r="A195" s="35" t="s">
        <v>569</v>
      </c>
      <c r="B195" s="72" t="s">
        <v>144</v>
      </c>
      <c r="C195" s="73" t="str">
        <f t="shared" si="2"/>
        <v>Brian Bauer</v>
      </c>
    </row>
    <row r="196" spans="1:3" x14ac:dyDescent="0.3">
      <c r="A196" s="35" t="s">
        <v>572</v>
      </c>
      <c r="B196" s="72" t="s">
        <v>30</v>
      </c>
      <c r="C196" s="73" t="str">
        <f t="shared" ref="C196:C259" si="3">HYPERLINK(B196,A196)</f>
        <v>Ian Hines</v>
      </c>
    </row>
    <row r="197" spans="1:3" x14ac:dyDescent="0.3">
      <c r="A197" s="35" t="s">
        <v>574</v>
      </c>
      <c r="B197" s="72" t="s">
        <v>168</v>
      </c>
      <c r="C197" s="73" t="str">
        <f t="shared" si="3"/>
        <v>Leah Wallace</v>
      </c>
    </row>
    <row r="198" spans="1:3" x14ac:dyDescent="0.3">
      <c r="A198" s="35" t="s">
        <v>576</v>
      </c>
      <c r="B198" s="72" t="s">
        <v>88</v>
      </c>
      <c r="C198" s="73" t="str">
        <f t="shared" si="3"/>
        <v>Kaitlin Rose</v>
      </c>
    </row>
    <row r="199" spans="1:3" x14ac:dyDescent="0.3">
      <c r="A199" s="35" t="s">
        <v>579</v>
      </c>
      <c r="B199" s="72" t="s">
        <v>42</v>
      </c>
      <c r="C199" s="73" t="str">
        <f t="shared" si="3"/>
        <v>Karen Wells</v>
      </c>
    </row>
    <row r="200" spans="1:3" x14ac:dyDescent="0.3">
      <c r="A200" s="35" t="s">
        <v>582</v>
      </c>
      <c r="B200" s="72" t="s">
        <v>49</v>
      </c>
      <c r="C200" s="73" t="str">
        <f t="shared" si="3"/>
        <v>Adam Romero</v>
      </c>
    </row>
    <row r="201" spans="1:3" x14ac:dyDescent="0.3">
      <c r="A201" s="35" t="s">
        <v>584</v>
      </c>
      <c r="B201" s="72" t="s">
        <v>62</v>
      </c>
      <c r="C201" s="73" t="str">
        <f t="shared" si="3"/>
        <v>Brooke Dyer</v>
      </c>
    </row>
    <row r="202" spans="1:3" x14ac:dyDescent="0.3">
      <c r="A202" s="35" t="s">
        <v>587</v>
      </c>
      <c r="B202" s="72" t="s">
        <v>42</v>
      </c>
      <c r="C202" s="73" t="str">
        <f t="shared" si="3"/>
        <v>Jessica Wells</v>
      </c>
    </row>
    <row r="203" spans="1:3" x14ac:dyDescent="0.3">
      <c r="A203" s="35" t="s">
        <v>590</v>
      </c>
      <c r="B203" s="72" t="s">
        <v>219</v>
      </c>
      <c r="C203" s="73" t="str">
        <f t="shared" si="3"/>
        <v>Tyler Williams</v>
      </c>
    </row>
    <row r="204" spans="1:3" x14ac:dyDescent="0.3">
      <c r="A204" s="35" t="s">
        <v>593</v>
      </c>
      <c r="B204" s="72" t="s">
        <v>18</v>
      </c>
      <c r="C204" s="73" t="str">
        <f t="shared" si="3"/>
        <v>Franklin Stevens</v>
      </c>
    </row>
    <row r="205" spans="1:3" x14ac:dyDescent="0.3">
      <c r="A205" s="35" t="s">
        <v>596</v>
      </c>
      <c r="B205" s="72" t="s">
        <v>18</v>
      </c>
      <c r="C205" s="73" t="str">
        <f t="shared" si="3"/>
        <v>Mr. Joe Ramirez</v>
      </c>
    </row>
    <row r="206" spans="1:3" x14ac:dyDescent="0.3">
      <c r="A206" s="35" t="s">
        <v>599</v>
      </c>
      <c r="B206" s="72" t="s">
        <v>42</v>
      </c>
      <c r="C206" s="73" t="str">
        <f t="shared" si="3"/>
        <v>Christopher Ford</v>
      </c>
    </row>
    <row r="207" spans="1:3" x14ac:dyDescent="0.3">
      <c r="A207" s="35" t="s">
        <v>601</v>
      </c>
      <c r="B207" s="72" t="s">
        <v>195</v>
      </c>
      <c r="C207" s="73" t="str">
        <f t="shared" si="3"/>
        <v>Sharon Smith</v>
      </c>
    </row>
    <row r="208" spans="1:3" x14ac:dyDescent="0.3">
      <c r="A208" s="35" t="s">
        <v>603</v>
      </c>
      <c r="B208" s="72" t="s">
        <v>139</v>
      </c>
      <c r="C208" s="73" t="str">
        <f t="shared" si="3"/>
        <v>Michelle Estrada</v>
      </c>
    </row>
    <row r="209" spans="1:3" x14ac:dyDescent="0.3">
      <c r="A209" s="35" t="s">
        <v>606</v>
      </c>
      <c r="B209" s="72" t="s">
        <v>219</v>
      </c>
      <c r="C209" s="73" t="str">
        <f t="shared" si="3"/>
        <v>Danielle Mcdonald</v>
      </c>
    </row>
    <row r="210" spans="1:3" x14ac:dyDescent="0.3">
      <c r="A210" s="35" t="s">
        <v>609</v>
      </c>
      <c r="B210" s="72" t="s">
        <v>18</v>
      </c>
      <c r="C210" s="73" t="str">
        <f t="shared" si="3"/>
        <v>Steven Mccarthy</v>
      </c>
    </row>
    <row r="211" spans="1:3" x14ac:dyDescent="0.3">
      <c r="A211" s="35" t="s">
        <v>612</v>
      </c>
      <c r="B211" s="72" t="s">
        <v>72</v>
      </c>
      <c r="C211" s="73" t="str">
        <f t="shared" si="3"/>
        <v>Joshua Diaz</v>
      </c>
    </row>
    <row r="212" spans="1:3" x14ac:dyDescent="0.3">
      <c r="A212" s="35" t="s">
        <v>614</v>
      </c>
      <c r="B212" s="72" t="s">
        <v>18</v>
      </c>
      <c r="C212" s="73" t="str">
        <f t="shared" si="3"/>
        <v>Karen Clark</v>
      </c>
    </row>
    <row r="213" spans="1:3" x14ac:dyDescent="0.3">
      <c r="A213" s="35" t="s">
        <v>617</v>
      </c>
      <c r="B213" s="72" t="s">
        <v>219</v>
      </c>
      <c r="C213" s="73" t="str">
        <f t="shared" si="3"/>
        <v>Sherry Mann</v>
      </c>
    </row>
    <row r="214" spans="1:3" x14ac:dyDescent="0.3">
      <c r="A214" s="35" t="s">
        <v>619</v>
      </c>
      <c r="B214" s="72" t="s">
        <v>42</v>
      </c>
      <c r="C214" s="73" t="str">
        <f t="shared" si="3"/>
        <v>Terri Baker</v>
      </c>
    </row>
    <row r="215" spans="1:3" x14ac:dyDescent="0.3">
      <c r="A215" s="35" t="s">
        <v>622</v>
      </c>
      <c r="B215" s="72" t="s">
        <v>30</v>
      </c>
      <c r="C215" s="73" t="str">
        <f t="shared" si="3"/>
        <v>Ruben King</v>
      </c>
    </row>
    <row r="216" spans="1:3" x14ac:dyDescent="0.3">
      <c r="A216" s="35" t="s">
        <v>624</v>
      </c>
      <c r="B216" s="72" t="s">
        <v>30</v>
      </c>
      <c r="C216" s="73" t="str">
        <f t="shared" si="3"/>
        <v>Ruth Bell</v>
      </c>
    </row>
    <row r="217" spans="1:3" x14ac:dyDescent="0.3">
      <c r="A217" s="35" t="s">
        <v>626</v>
      </c>
      <c r="B217" s="72" t="s">
        <v>195</v>
      </c>
      <c r="C217" s="73" t="str">
        <f t="shared" si="3"/>
        <v>Javier Jones</v>
      </c>
    </row>
    <row r="218" spans="1:3" x14ac:dyDescent="0.3">
      <c r="A218" s="35" t="s">
        <v>629</v>
      </c>
      <c r="B218" s="72" t="s">
        <v>30</v>
      </c>
      <c r="C218" s="73" t="str">
        <f t="shared" si="3"/>
        <v>Joseph Brown</v>
      </c>
    </row>
    <row r="219" spans="1:3" x14ac:dyDescent="0.3">
      <c r="A219" s="35" t="s">
        <v>631</v>
      </c>
      <c r="B219" s="72" t="s">
        <v>88</v>
      </c>
      <c r="C219" s="73" t="str">
        <f t="shared" si="3"/>
        <v>Victor Phillips</v>
      </c>
    </row>
    <row r="220" spans="1:3" x14ac:dyDescent="0.3">
      <c r="A220" s="35" t="s">
        <v>634</v>
      </c>
      <c r="B220" s="72" t="s">
        <v>88</v>
      </c>
      <c r="C220" s="73" t="str">
        <f t="shared" si="3"/>
        <v>Gabrielle Huynh</v>
      </c>
    </row>
    <row r="221" spans="1:3" x14ac:dyDescent="0.3">
      <c r="A221" s="35" t="s">
        <v>637</v>
      </c>
      <c r="B221" s="72" t="s">
        <v>30</v>
      </c>
      <c r="C221" s="73" t="str">
        <f t="shared" si="3"/>
        <v>Alison Mitchell</v>
      </c>
    </row>
    <row r="222" spans="1:3" x14ac:dyDescent="0.3">
      <c r="A222" s="35" t="s">
        <v>640</v>
      </c>
      <c r="B222" s="72" t="s">
        <v>195</v>
      </c>
      <c r="C222" s="73" t="str">
        <f t="shared" si="3"/>
        <v>Andrea Reynolds</v>
      </c>
    </row>
    <row r="223" spans="1:3" x14ac:dyDescent="0.3">
      <c r="A223" s="35" t="s">
        <v>642</v>
      </c>
      <c r="B223" s="72" t="s">
        <v>37</v>
      </c>
      <c r="C223" s="73" t="str">
        <f t="shared" si="3"/>
        <v>Julie Schmidt</v>
      </c>
    </row>
    <row r="224" spans="1:3" x14ac:dyDescent="0.3">
      <c r="A224" s="35" t="s">
        <v>644</v>
      </c>
      <c r="B224" s="72" t="s">
        <v>30</v>
      </c>
      <c r="C224" s="73" t="str">
        <f t="shared" si="3"/>
        <v>Erin May</v>
      </c>
    </row>
    <row r="225" spans="1:3" x14ac:dyDescent="0.3">
      <c r="A225" s="35" t="s">
        <v>647</v>
      </c>
      <c r="B225" s="72" t="s">
        <v>168</v>
      </c>
      <c r="C225" s="73" t="str">
        <f t="shared" si="3"/>
        <v>Eric Gibson</v>
      </c>
    </row>
    <row r="226" spans="1:3" x14ac:dyDescent="0.3">
      <c r="A226" s="35" t="s">
        <v>650</v>
      </c>
      <c r="B226" s="72" t="s">
        <v>95</v>
      </c>
      <c r="C226" s="73" t="str">
        <f t="shared" si="3"/>
        <v>John Lewis</v>
      </c>
    </row>
    <row r="227" spans="1:3" x14ac:dyDescent="0.3">
      <c r="A227" s="35" t="s">
        <v>653</v>
      </c>
      <c r="B227" s="72" t="s">
        <v>62</v>
      </c>
      <c r="C227" s="73" t="str">
        <f t="shared" si="3"/>
        <v>Lisa Lucas</v>
      </c>
    </row>
    <row r="228" spans="1:3" x14ac:dyDescent="0.3">
      <c r="A228" s="35" t="s">
        <v>655</v>
      </c>
      <c r="B228" s="72" t="s">
        <v>49</v>
      </c>
      <c r="C228" s="73" t="str">
        <f t="shared" si="3"/>
        <v>Melissa Adams</v>
      </c>
    </row>
    <row r="229" spans="1:3" x14ac:dyDescent="0.3">
      <c r="A229" s="35" t="s">
        <v>657</v>
      </c>
      <c r="B229" s="72" t="s">
        <v>49</v>
      </c>
      <c r="C229" s="73" t="str">
        <f t="shared" si="3"/>
        <v>David Calhoun</v>
      </c>
    </row>
    <row r="230" spans="1:3" x14ac:dyDescent="0.3">
      <c r="A230" s="35" t="s">
        <v>660</v>
      </c>
      <c r="B230" s="72" t="s">
        <v>49</v>
      </c>
      <c r="C230" s="73" t="str">
        <f t="shared" si="3"/>
        <v>Ashlee Richardson</v>
      </c>
    </row>
    <row r="231" spans="1:3" x14ac:dyDescent="0.3">
      <c r="A231" s="35" t="s">
        <v>662</v>
      </c>
      <c r="B231" s="72" t="s">
        <v>139</v>
      </c>
      <c r="C231" s="73" t="str">
        <f t="shared" si="3"/>
        <v>Heather Cox</v>
      </c>
    </row>
    <row r="232" spans="1:3" x14ac:dyDescent="0.3">
      <c r="A232" s="35" t="s">
        <v>665</v>
      </c>
      <c r="B232" s="72" t="s">
        <v>72</v>
      </c>
      <c r="C232" s="73" t="str">
        <f t="shared" si="3"/>
        <v>Christy Thompson</v>
      </c>
    </row>
    <row r="233" spans="1:3" x14ac:dyDescent="0.3">
      <c r="A233" s="35" t="s">
        <v>667</v>
      </c>
      <c r="B233" s="72" t="s">
        <v>42</v>
      </c>
      <c r="C233" s="73" t="str">
        <f t="shared" si="3"/>
        <v>Antonio Clark</v>
      </c>
    </row>
    <row r="234" spans="1:3" x14ac:dyDescent="0.3">
      <c r="A234" s="35" t="s">
        <v>669</v>
      </c>
      <c r="B234" s="72" t="s">
        <v>18</v>
      </c>
      <c r="C234" s="73" t="str">
        <f t="shared" si="3"/>
        <v>Christopher Sandoval</v>
      </c>
    </row>
    <row r="235" spans="1:3" x14ac:dyDescent="0.3">
      <c r="A235" s="35" t="s">
        <v>671</v>
      </c>
      <c r="B235" s="72" t="s">
        <v>49</v>
      </c>
      <c r="C235" s="73" t="str">
        <f t="shared" si="3"/>
        <v>Heather Charles</v>
      </c>
    </row>
    <row r="236" spans="1:3" x14ac:dyDescent="0.3">
      <c r="A236" s="35" t="s">
        <v>674</v>
      </c>
      <c r="B236" s="72" t="s">
        <v>72</v>
      </c>
      <c r="C236" s="73" t="str">
        <f t="shared" si="3"/>
        <v>Dustin Cole</v>
      </c>
    </row>
    <row r="237" spans="1:3" x14ac:dyDescent="0.3">
      <c r="A237" s="35" t="s">
        <v>676</v>
      </c>
      <c r="B237" s="72" t="s">
        <v>37</v>
      </c>
      <c r="C237" s="73" t="str">
        <f t="shared" si="3"/>
        <v>Jeff Ross</v>
      </c>
    </row>
    <row r="238" spans="1:3" x14ac:dyDescent="0.3">
      <c r="A238" s="35" t="s">
        <v>678</v>
      </c>
      <c r="B238" s="72" t="s">
        <v>195</v>
      </c>
      <c r="C238" s="73" t="str">
        <f t="shared" si="3"/>
        <v>Justin Montgomery</v>
      </c>
    </row>
    <row r="239" spans="1:3" x14ac:dyDescent="0.3">
      <c r="A239" s="35" t="s">
        <v>680</v>
      </c>
      <c r="B239" s="72" t="s">
        <v>139</v>
      </c>
      <c r="C239" s="73" t="str">
        <f t="shared" si="3"/>
        <v>David Webster</v>
      </c>
    </row>
    <row r="240" spans="1:3" x14ac:dyDescent="0.3">
      <c r="A240" s="35" t="s">
        <v>682</v>
      </c>
      <c r="B240" s="72" t="s">
        <v>49</v>
      </c>
      <c r="C240" s="73" t="str">
        <f t="shared" si="3"/>
        <v>Nathan Smith</v>
      </c>
    </row>
    <row r="241" spans="1:3" x14ac:dyDescent="0.3">
      <c r="A241" s="35" t="s">
        <v>685</v>
      </c>
      <c r="B241" s="72" t="s">
        <v>195</v>
      </c>
      <c r="C241" s="73" t="str">
        <f t="shared" si="3"/>
        <v>Shannon Fitzpatrick</v>
      </c>
    </row>
    <row r="242" spans="1:3" x14ac:dyDescent="0.3">
      <c r="A242" s="35" t="s">
        <v>687</v>
      </c>
      <c r="B242" s="72" t="s">
        <v>144</v>
      </c>
      <c r="C242" s="73" t="str">
        <f t="shared" si="3"/>
        <v>Monique Pope</v>
      </c>
    </row>
    <row r="243" spans="1:3" x14ac:dyDescent="0.3">
      <c r="A243" s="35" t="s">
        <v>689</v>
      </c>
      <c r="B243" s="72" t="s">
        <v>88</v>
      </c>
      <c r="C243" s="73" t="str">
        <f t="shared" si="3"/>
        <v>Teresa Edwards</v>
      </c>
    </row>
    <row r="244" spans="1:3" x14ac:dyDescent="0.3">
      <c r="A244" s="35" t="s">
        <v>691</v>
      </c>
      <c r="B244" s="72" t="s">
        <v>72</v>
      </c>
      <c r="C244" s="73" t="str">
        <f t="shared" si="3"/>
        <v>Molly Boyd</v>
      </c>
    </row>
    <row r="245" spans="1:3" x14ac:dyDescent="0.3">
      <c r="A245" s="35" t="s">
        <v>694</v>
      </c>
      <c r="B245" s="72" t="s">
        <v>95</v>
      </c>
      <c r="C245" s="73" t="str">
        <f t="shared" si="3"/>
        <v>William Collier</v>
      </c>
    </row>
    <row r="246" spans="1:3" x14ac:dyDescent="0.3">
      <c r="A246" s="35" t="s">
        <v>696</v>
      </c>
      <c r="B246" s="72" t="s">
        <v>88</v>
      </c>
      <c r="C246" s="73" t="str">
        <f t="shared" si="3"/>
        <v>Casey Jackson</v>
      </c>
    </row>
    <row r="247" spans="1:3" x14ac:dyDescent="0.3">
      <c r="A247" s="35" t="s">
        <v>698</v>
      </c>
      <c r="B247" s="72" t="s">
        <v>42</v>
      </c>
      <c r="C247" s="73" t="str">
        <f t="shared" si="3"/>
        <v>Sabrina Stevens</v>
      </c>
    </row>
    <row r="248" spans="1:3" x14ac:dyDescent="0.3">
      <c r="A248" s="35" t="s">
        <v>700</v>
      </c>
      <c r="B248" s="72" t="s">
        <v>168</v>
      </c>
      <c r="C248" s="73" t="str">
        <f t="shared" si="3"/>
        <v>Andrew Mercado</v>
      </c>
    </row>
    <row r="249" spans="1:3" x14ac:dyDescent="0.3">
      <c r="A249" s="35" t="s">
        <v>702</v>
      </c>
      <c r="B249" s="72" t="s">
        <v>42</v>
      </c>
      <c r="C249" s="73" t="str">
        <f t="shared" si="3"/>
        <v>Thomas Young</v>
      </c>
    </row>
    <row r="250" spans="1:3" x14ac:dyDescent="0.3">
      <c r="A250" s="35" t="s">
        <v>704</v>
      </c>
      <c r="B250" s="72" t="s">
        <v>57</v>
      </c>
      <c r="C250" s="73" t="str">
        <f t="shared" si="3"/>
        <v>Crystal Castro</v>
      </c>
    </row>
    <row r="251" spans="1:3" x14ac:dyDescent="0.3">
      <c r="A251" s="35" t="s">
        <v>706</v>
      </c>
      <c r="B251" s="72" t="s">
        <v>219</v>
      </c>
      <c r="C251" s="73" t="str">
        <f t="shared" si="3"/>
        <v>Robert Hammond MD</v>
      </c>
    </row>
    <row r="252" spans="1:3" x14ac:dyDescent="0.3">
      <c r="A252" s="35" t="s">
        <v>708</v>
      </c>
      <c r="B252" s="72" t="s">
        <v>62</v>
      </c>
      <c r="C252" s="73" t="str">
        <f t="shared" si="3"/>
        <v>Amber Brooks</v>
      </c>
    </row>
    <row r="253" spans="1:3" x14ac:dyDescent="0.3">
      <c r="A253" s="35" t="s">
        <v>711</v>
      </c>
      <c r="B253" s="72" t="s">
        <v>37</v>
      </c>
      <c r="C253" s="73" t="str">
        <f t="shared" si="3"/>
        <v>Angela Klein</v>
      </c>
    </row>
    <row r="254" spans="1:3" x14ac:dyDescent="0.3">
      <c r="A254" s="35" t="s">
        <v>714</v>
      </c>
      <c r="B254" s="72" t="s">
        <v>49</v>
      </c>
      <c r="C254" s="73" t="str">
        <f t="shared" si="3"/>
        <v>Tina Foster</v>
      </c>
    </row>
    <row r="255" spans="1:3" x14ac:dyDescent="0.3">
      <c r="A255" s="35" t="s">
        <v>717</v>
      </c>
      <c r="B255" s="72" t="s">
        <v>18</v>
      </c>
      <c r="C255" s="73" t="str">
        <f t="shared" si="3"/>
        <v>Terry Fields</v>
      </c>
    </row>
    <row r="256" spans="1:3" x14ac:dyDescent="0.3">
      <c r="A256" s="35" t="s">
        <v>719</v>
      </c>
      <c r="B256" s="72" t="s">
        <v>62</v>
      </c>
      <c r="C256" s="73" t="str">
        <f t="shared" si="3"/>
        <v>Tony Marshall</v>
      </c>
    </row>
    <row r="257" spans="1:3" x14ac:dyDescent="0.3">
      <c r="A257" s="35" t="s">
        <v>721</v>
      </c>
      <c r="B257" s="72" t="s">
        <v>139</v>
      </c>
      <c r="C257" s="73" t="str">
        <f t="shared" si="3"/>
        <v>Sheila Moore</v>
      </c>
    </row>
    <row r="258" spans="1:3" x14ac:dyDescent="0.3">
      <c r="A258" s="35" t="s">
        <v>723</v>
      </c>
      <c r="B258" s="72" t="s">
        <v>219</v>
      </c>
      <c r="C258" s="73" t="str">
        <f t="shared" si="3"/>
        <v>Kristopher Davis</v>
      </c>
    </row>
    <row r="259" spans="1:3" x14ac:dyDescent="0.3">
      <c r="A259" s="35" t="s">
        <v>725</v>
      </c>
      <c r="B259" s="72" t="s">
        <v>30</v>
      </c>
      <c r="C259" s="73" t="str">
        <f t="shared" si="3"/>
        <v>Brandon Thompson</v>
      </c>
    </row>
    <row r="260" spans="1:3" x14ac:dyDescent="0.3">
      <c r="A260" s="35" t="s">
        <v>727</v>
      </c>
      <c r="B260" s="72" t="s">
        <v>57</v>
      </c>
      <c r="C260" s="73" t="str">
        <f t="shared" ref="C260:C323" si="4">HYPERLINK(B260,A260)</f>
        <v>Angela Smith</v>
      </c>
    </row>
    <row r="261" spans="1:3" x14ac:dyDescent="0.3">
      <c r="A261" s="35" t="s">
        <v>729</v>
      </c>
      <c r="B261" s="72" t="s">
        <v>72</v>
      </c>
      <c r="C261" s="73" t="str">
        <f t="shared" si="4"/>
        <v>Justin Frye</v>
      </c>
    </row>
    <row r="262" spans="1:3" x14ac:dyDescent="0.3">
      <c r="A262" s="35" t="s">
        <v>731</v>
      </c>
      <c r="B262" s="72" t="s">
        <v>95</v>
      </c>
      <c r="C262" s="73" t="str">
        <f t="shared" si="4"/>
        <v>Carol Jackson</v>
      </c>
    </row>
    <row r="263" spans="1:3" x14ac:dyDescent="0.3">
      <c r="A263" s="35" t="s">
        <v>734</v>
      </c>
      <c r="B263" s="72" t="s">
        <v>219</v>
      </c>
      <c r="C263" s="73" t="str">
        <f t="shared" si="4"/>
        <v>Kathryn Hill</v>
      </c>
    </row>
    <row r="264" spans="1:3" x14ac:dyDescent="0.3">
      <c r="A264" s="35" t="s">
        <v>736</v>
      </c>
      <c r="B264" s="72" t="s">
        <v>37</v>
      </c>
      <c r="C264" s="73" t="str">
        <f t="shared" si="4"/>
        <v>Joyce Hill</v>
      </c>
    </row>
    <row r="265" spans="1:3" x14ac:dyDescent="0.3">
      <c r="A265" s="35" t="s">
        <v>738</v>
      </c>
      <c r="B265" s="72" t="s">
        <v>18</v>
      </c>
      <c r="C265" s="73" t="str">
        <f t="shared" si="4"/>
        <v>Alan Allen</v>
      </c>
    </row>
    <row r="266" spans="1:3" x14ac:dyDescent="0.3">
      <c r="A266" s="35" t="s">
        <v>740</v>
      </c>
      <c r="B266" s="72" t="s">
        <v>37</v>
      </c>
      <c r="C266" s="73" t="str">
        <f t="shared" si="4"/>
        <v>Emily Anderson</v>
      </c>
    </row>
    <row r="267" spans="1:3" x14ac:dyDescent="0.3">
      <c r="A267" s="35" t="s">
        <v>743</v>
      </c>
      <c r="B267" s="72" t="s">
        <v>42</v>
      </c>
      <c r="C267" s="73" t="str">
        <f t="shared" si="4"/>
        <v>Mr. Wesley Pratt PhD</v>
      </c>
    </row>
    <row r="268" spans="1:3" x14ac:dyDescent="0.3">
      <c r="A268" s="35" t="s">
        <v>745</v>
      </c>
      <c r="B268" s="72" t="s">
        <v>62</v>
      </c>
      <c r="C268" s="73" t="str">
        <f t="shared" si="4"/>
        <v>John Yates</v>
      </c>
    </row>
    <row r="269" spans="1:3" x14ac:dyDescent="0.3">
      <c r="A269" s="35" t="s">
        <v>748</v>
      </c>
      <c r="B269" s="72" t="s">
        <v>88</v>
      </c>
      <c r="C269" s="73" t="str">
        <f t="shared" si="4"/>
        <v>Rhonda Mitchell MD</v>
      </c>
    </row>
    <row r="270" spans="1:3" x14ac:dyDescent="0.3">
      <c r="A270" s="35" t="s">
        <v>751</v>
      </c>
      <c r="B270" s="72" t="s">
        <v>195</v>
      </c>
      <c r="C270" s="73" t="str">
        <f t="shared" si="4"/>
        <v>Sarah Hobbs</v>
      </c>
    </row>
    <row r="271" spans="1:3" x14ac:dyDescent="0.3">
      <c r="A271" s="35" t="s">
        <v>753</v>
      </c>
      <c r="B271" s="72" t="s">
        <v>18</v>
      </c>
      <c r="C271" s="73" t="str">
        <f t="shared" si="4"/>
        <v>Ryan Olson</v>
      </c>
    </row>
    <row r="272" spans="1:3" x14ac:dyDescent="0.3">
      <c r="A272" s="35" t="s">
        <v>756</v>
      </c>
      <c r="B272" s="72" t="s">
        <v>49</v>
      </c>
      <c r="C272" s="73" t="str">
        <f t="shared" si="4"/>
        <v>Joseph Estrada</v>
      </c>
    </row>
    <row r="273" spans="1:3" x14ac:dyDescent="0.3">
      <c r="A273" s="35" t="s">
        <v>759</v>
      </c>
      <c r="B273" s="72" t="s">
        <v>144</v>
      </c>
      <c r="C273" s="73" t="str">
        <f t="shared" si="4"/>
        <v>Jean Farmer</v>
      </c>
    </row>
    <row r="274" spans="1:3" x14ac:dyDescent="0.3">
      <c r="A274" s="35" t="s">
        <v>761</v>
      </c>
      <c r="B274" s="72" t="s">
        <v>72</v>
      </c>
      <c r="C274" s="73" t="str">
        <f t="shared" si="4"/>
        <v>Justin Guzman</v>
      </c>
    </row>
    <row r="275" spans="1:3" x14ac:dyDescent="0.3">
      <c r="A275" s="35" t="s">
        <v>763</v>
      </c>
      <c r="B275" s="72" t="s">
        <v>49</v>
      </c>
      <c r="C275" s="73" t="str">
        <f t="shared" si="4"/>
        <v>Anna Wheeler</v>
      </c>
    </row>
    <row r="276" spans="1:3" x14ac:dyDescent="0.3">
      <c r="A276" s="35" t="s">
        <v>766</v>
      </c>
      <c r="B276" s="72" t="s">
        <v>95</v>
      </c>
      <c r="C276" s="73" t="str">
        <f t="shared" si="4"/>
        <v>Ronald Gomez</v>
      </c>
    </row>
    <row r="277" spans="1:3" x14ac:dyDescent="0.3">
      <c r="A277" s="35" t="s">
        <v>769</v>
      </c>
      <c r="B277" s="72" t="s">
        <v>144</v>
      </c>
      <c r="C277" s="73" t="str">
        <f t="shared" si="4"/>
        <v>Andrew Martinez</v>
      </c>
    </row>
    <row r="278" spans="1:3" x14ac:dyDescent="0.3">
      <c r="A278" s="35" t="s">
        <v>771</v>
      </c>
      <c r="B278" s="72" t="s">
        <v>62</v>
      </c>
      <c r="C278" s="73" t="str">
        <f t="shared" si="4"/>
        <v>Robert Wilson</v>
      </c>
    </row>
    <row r="279" spans="1:3" x14ac:dyDescent="0.3">
      <c r="A279" s="35" t="s">
        <v>773</v>
      </c>
      <c r="B279" s="72" t="s">
        <v>30</v>
      </c>
      <c r="C279" s="73" t="str">
        <f t="shared" si="4"/>
        <v>Martin Stanley</v>
      </c>
    </row>
    <row r="280" spans="1:3" x14ac:dyDescent="0.3">
      <c r="A280" s="35" t="s">
        <v>775</v>
      </c>
      <c r="B280" s="72" t="s">
        <v>95</v>
      </c>
      <c r="C280" s="73" t="str">
        <f t="shared" si="4"/>
        <v>Joseph Flores</v>
      </c>
    </row>
    <row r="281" spans="1:3" x14ac:dyDescent="0.3">
      <c r="A281" s="35" t="s">
        <v>777</v>
      </c>
      <c r="B281" s="72" t="s">
        <v>30</v>
      </c>
      <c r="C281" s="73" t="str">
        <f t="shared" si="4"/>
        <v>Jaclyn Horn</v>
      </c>
    </row>
    <row r="282" spans="1:3" x14ac:dyDescent="0.3">
      <c r="A282" s="35" t="s">
        <v>779</v>
      </c>
      <c r="B282" s="72" t="s">
        <v>168</v>
      </c>
      <c r="C282" s="73" t="str">
        <f t="shared" si="4"/>
        <v>Jason Holt</v>
      </c>
    </row>
    <row r="283" spans="1:3" x14ac:dyDescent="0.3">
      <c r="A283" s="35" t="s">
        <v>782</v>
      </c>
      <c r="B283" s="72" t="s">
        <v>30</v>
      </c>
      <c r="C283" s="73" t="str">
        <f t="shared" si="4"/>
        <v>Emily Brewer</v>
      </c>
    </row>
    <row r="284" spans="1:3" x14ac:dyDescent="0.3">
      <c r="A284" s="35" t="s">
        <v>784</v>
      </c>
      <c r="B284" s="72" t="s">
        <v>42</v>
      </c>
      <c r="C284" s="73" t="str">
        <f t="shared" si="4"/>
        <v>Jeff Mcfarland</v>
      </c>
    </row>
    <row r="285" spans="1:3" x14ac:dyDescent="0.3">
      <c r="A285" s="35" t="s">
        <v>787</v>
      </c>
      <c r="B285" s="72" t="s">
        <v>195</v>
      </c>
      <c r="C285" s="73" t="str">
        <f t="shared" si="4"/>
        <v>Brian Thompson</v>
      </c>
    </row>
    <row r="286" spans="1:3" x14ac:dyDescent="0.3">
      <c r="A286" s="35" t="s">
        <v>790</v>
      </c>
      <c r="B286" s="72" t="s">
        <v>42</v>
      </c>
      <c r="C286" s="73" t="str">
        <f t="shared" si="4"/>
        <v>Jonathan Bailey</v>
      </c>
    </row>
    <row r="287" spans="1:3" x14ac:dyDescent="0.3">
      <c r="A287" s="35" t="s">
        <v>792</v>
      </c>
      <c r="B287" s="72" t="s">
        <v>18</v>
      </c>
      <c r="C287" s="73" t="str">
        <f t="shared" si="4"/>
        <v>William Meyer</v>
      </c>
    </row>
    <row r="288" spans="1:3" x14ac:dyDescent="0.3">
      <c r="A288" s="35" t="s">
        <v>794</v>
      </c>
      <c r="B288" s="72" t="s">
        <v>88</v>
      </c>
      <c r="C288" s="73" t="str">
        <f t="shared" si="4"/>
        <v>Laura Baker</v>
      </c>
    </row>
    <row r="289" spans="1:3" x14ac:dyDescent="0.3">
      <c r="A289" s="35" t="s">
        <v>796</v>
      </c>
      <c r="B289" s="72" t="s">
        <v>195</v>
      </c>
      <c r="C289" s="73" t="str">
        <f t="shared" si="4"/>
        <v>Judy Thomas</v>
      </c>
    </row>
    <row r="290" spans="1:3" x14ac:dyDescent="0.3">
      <c r="A290" s="35" t="s">
        <v>798</v>
      </c>
      <c r="B290" s="72" t="s">
        <v>18</v>
      </c>
      <c r="C290" s="73" t="str">
        <f t="shared" si="4"/>
        <v>Tracy Wells</v>
      </c>
    </row>
    <row r="291" spans="1:3" x14ac:dyDescent="0.3">
      <c r="A291" s="35" t="s">
        <v>801</v>
      </c>
      <c r="B291" s="72" t="s">
        <v>49</v>
      </c>
      <c r="C291" s="73" t="str">
        <f t="shared" si="4"/>
        <v>Megan Howe</v>
      </c>
    </row>
    <row r="292" spans="1:3" x14ac:dyDescent="0.3">
      <c r="A292" s="35" t="s">
        <v>804</v>
      </c>
      <c r="B292" s="72" t="s">
        <v>62</v>
      </c>
      <c r="C292" s="73" t="str">
        <f t="shared" si="4"/>
        <v>Douglas Obrien</v>
      </c>
    </row>
    <row r="293" spans="1:3" x14ac:dyDescent="0.3">
      <c r="A293" s="35" t="s">
        <v>806</v>
      </c>
      <c r="B293" s="72" t="s">
        <v>219</v>
      </c>
      <c r="C293" s="73" t="str">
        <f t="shared" si="4"/>
        <v>Ryan James</v>
      </c>
    </row>
    <row r="294" spans="1:3" x14ac:dyDescent="0.3">
      <c r="A294" s="35" t="s">
        <v>808</v>
      </c>
      <c r="B294" s="72" t="s">
        <v>168</v>
      </c>
      <c r="C294" s="73" t="str">
        <f t="shared" si="4"/>
        <v>Stephen Cowan</v>
      </c>
    </row>
    <row r="295" spans="1:3" x14ac:dyDescent="0.3">
      <c r="A295" s="35" t="s">
        <v>811</v>
      </c>
      <c r="B295" s="72" t="s">
        <v>42</v>
      </c>
      <c r="C295" s="73" t="str">
        <f t="shared" si="4"/>
        <v>Judy Johnson</v>
      </c>
    </row>
    <row r="296" spans="1:3" x14ac:dyDescent="0.3">
      <c r="A296" s="35" t="s">
        <v>813</v>
      </c>
      <c r="B296" s="72" t="s">
        <v>219</v>
      </c>
      <c r="C296" s="73" t="str">
        <f t="shared" si="4"/>
        <v>George Drake</v>
      </c>
    </row>
    <row r="297" spans="1:3" x14ac:dyDescent="0.3">
      <c r="A297" s="35" t="s">
        <v>815</v>
      </c>
      <c r="B297" s="72" t="s">
        <v>195</v>
      </c>
      <c r="C297" s="73" t="str">
        <f t="shared" si="4"/>
        <v>Connie Robles</v>
      </c>
    </row>
    <row r="298" spans="1:3" x14ac:dyDescent="0.3">
      <c r="A298" s="35" t="s">
        <v>817</v>
      </c>
      <c r="B298" s="72" t="s">
        <v>219</v>
      </c>
      <c r="C298" s="73" t="str">
        <f t="shared" si="4"/>
        <v>Tamara Daniels</v>
      </c>
    </row>
    <row r="299" spans="1:3" x14ac:dyDescent="0.3">
      <c r="A299" s="35" t="s">
        <v>820</v>
      </c>
      <c r="B299" s="72" t="s">
        <v>42</v>
      </c>
      <c r="C299" s="73" t="str">
        <f t="shared" si="4"/>
        <v>Samantha Casey</v>
      </c>
    </row>
    <row r="300" spans="1:3" x14ac:dyDescent="0.3">
      <c r="A300" s="35" t="s">
        <v>822</v>
      </c>
      <c r="B300" s="72" t="s">
        <v>219</v>
      </c>
      <c r="C300" s="73" t="str">
        <f t="shared" si="4"/>
        <v>Kimberly Nicholson</v>
      </c>
    </row>
    <row r="301" spans="1:3" x14ac:dyDescent="0.3">
      <c r="A301" s="35" t="s">
        <v>825</v>
      </c>
      <c r="B301" s="72" t="s">
        <v>195</v>
      </c>
      <c r="C301" s="73" t="str">
        <f t="shared" si="4"/>
        <v>Holly Hammond</v>
      </c>
    </row>
    <row r="302" spans="1:3" x14ac:dyDescent="0.3">
      <c r="A302" s="35" t="s">
        <v>827</v>
      </c>
      <c r="B302" s="72" t="s">
        <v>57</v>
      </c>
      <c r="C302" s="73" t="str">
        <f t="shared" si="4"/>
        <v>Ricky King</v>
      </c>
    </row>
    <row r="303" spans="1:3" x14ac:dyDescent="0.3">
      <c r="A303" s="35" t="s">
        <v>830</v>
      </c>
      <c r="B303" s="72" t="s">
        <v>49</v>
      </c>
      <c r="C303" s="73" t="str">
        <f t="shared" si="4"/>
        <v>Anthony Randall</v>
      </c>
    </row>
    <row r="304" spans="1:3" x14ac:dyDescent="0.3">
      <c r="A304" s="35" t="s">
        <v>832</v>
      </c>
      <c r="B304" s="72" t="s">
        <v>195</v>
      </c>
      <c r="C304" s="73" t="str">
        <f t="shared" si="4"/>
        <v>Shawn Bennett</v>
      </c>
    </row>
    <row r="305" spans="1:3" x14ac:dyDescent="0.3">
      <c r="A305" s="35" t="s">
        <v>834</v>
      </c>
      <c r="B305" s="72" t="s">
        <v>49</v>
      </c>
      <c r="C305" s="73" t="str">
        <f t="shared" si="4"/>
        <v>Adam Walton</v>
      </c>
    </row>
    <row r="306" spans="1:3" x14ac:dyDescent="0.3">
      <c r="A306" s="35" t="s">
        <v>836</v>
      </c>
      <c r="B306" s="72" t="s">
        <v>144</v>
      </c>
      <c r="C306" s="73" t="str">
        <f t="shared" si="4"/>
        <v>Joseph Washington</v>
      </c>
    </row>
    <row r="307" spans="1:3" x14ac:dyDescent="0.3">
      <c r="A307" s="35" t="s">
        <v>838</v>
      </c>
      <c r="B307" s="72" t="s">
        <v>219</v>
      </c>
      <c r="C307" s="73" t="str">
        <f t="shared" si="4"/>
        <v>Audrey Townsend</v>
      </c>
    </row>
    <row r="308" spans="1:3" x14ac:dyDescent="0.3">
      <c r="A308" s="35" t="s">
        <v>841</v>
      </c>
      <c r="B308" s="72" t="s">
        <v>49</v>
      </c>
      <c r="C308" s="73" t="str">
        <f t="shared" si="4"/>
        <v>Robin Dorsey</v>
      </c>
    </row>
    <row r="309" spans="1:3" x14ac:dyDescent="0.3">
      <c r="A309" s="35" t="s">
        <v>843</v>
      </c>
      <c r="B309" s="72" t="s">
        <v>72</v>
      </c>
      <c r="C309" s="73" t="str">
        <f t="shared" si="4"/>
        <v>Susan Francis</v>
      </c>
    </row>
    <row r="310" spans="1:3" x14ac:dyDescent="0.3">
      <c r="A310" s="35" t="s">
        <v>845</v>
      </c>
      <c r="B310" s="72" t="s">
        <v>30</v>
      </c>
      <c r="C310" s="73" t="str">
        <f t="shared" si="4"/>
        <v>Joseph Mckinney</v>
      </c>
    </row>
    <row r="311" spans="1:3" x14ac:dyDescent="0.3">
      <c r="A311" s="35" t="s">
        <v>847</v>
      </c>
      <c r="B311" s="72" t="s">
        <v>30</v>
      </c>
      <c r="C311" s="73" t="str">
        <f t="shared" si="4"/>
        <v>Christine Moore</v>
      </c>
    </row>
    <row r="312" spans="1:3" x14ac:dyDescent="0.3">
      <c r="A312" s="35" t="s">
        <v>849</v>
      </c>
      <c r="B312" s="72" t="s">
        <v>42</v>
      </c>
      <c r="C312" s="73" t="str">
        <f t="shared" si="4"/>
        <v>Crystal Terrell</v>
      </c>
    </row>
    <row r="313" spans="1:3" x14ac:dyDescent="0.3">
      <c r="A313" s="35" t="s">
        <v>851</v>
      </c>
      <c r="B313" s="72" t="s">
        <v>42</v>
      </c>
      <c r="C313" s="73" t="str">
        <f t="shared" si="4"/>
        <v>Jared Martinez</v>
      </c>
    </row>
    <row r="314" spans="1:3" x14ac:dyDescent="0.3">
      <c r="A314" s="35" t="s">
        <v>853</v>
      </c>
      <c r="B314" s="72" t="s">
        <v>62</v>
      </c>
      <c r="C314" s="73" t="str">
        <f t="shared" si="4"/>
        <v>Carol Warren</v>
      </c>
    </row>
    <row r="315" spans="1:3" x14ac:dyDescent="0.3">
      <c r="A315" s="35" t="s">
        <v>855</v>
      </c>
      <c r="B315" s="72" t="s">
        <v>57</v>
      </c>
      <c r="C315" s="73" t="str">
        <f t="shared" si="4"/>
        <v>Chad Perez</v>
      </c>
    </row>
    <row r="316" spans="1:3" x14ac:dyDescent="0.3">
      <c r="A316" s="35" t="s">
        <v>857</v>
      </c>
      <c r="B316" s="72" t="s">
        <v>168</v>
      </c>
      <c r="C316" s="73" t="str">
        <f t="shared" si="4"/>
        <v>Audrey Barnes</v>
      </c>
    </row>
    <row r="317" spans="1:3" x14ac:dyDescent="0.3">
      <c r="A317" s="35" t="s">
        <v>860</v>
      </c>
      <c r="B317" s="72" t="s">
        <v>195</v>
      </c>
      <c r="C317" s="73" t="str">
        <f t="shared" si="4"/>
        <v>Eric Hall DDS</v>
      </c>
    </row>
    <row r="318" spans="1:3" x14ac:dyDescent="0.3">
      <c r="A318" s="35" t="s">
        <v>862</v>
      </c>
      <c r="B318" s="72" t="s">
        <v>144</v>
      </c>
      <c r="C318" s="73" t="str">
        <f t="shared" si="4"/>
        <v>Sheena Zhang</v>
      </c>
    </row>
    <row r="319" spans="1:3" x14ac:dyDescent="0.3">
      <c r="A319" s="35" t="s">
        <v>864</v>
      </c>
      <c r="B319" s="72" t="s">
        <v>57</v>
      </c>
      <c r="C319" s="73" t="str">
        <f t="shared" si="4"/>
        <v>Vanessa Gay</v>
      </c>
    </row>
    <row r="320" spans="1:3" x14ac:dyDescent="0.3">
      <c r="A320" s="35" t="s">
        <v>866</v>
      </c>
      <c r="B320" s="72" t="s">
        <v>88</v>
      </c>
      <c r="C320" s="73" t="str">
        <f t="shared" si="4"/>
        <v>Joann Mendoza</v>
      </c>
    </row>
    <row r="321" spans="1:3" x14ac:dyDescent="0.3">
      <c r="A321" s="35" t="s">
        <v>868</v>
      </c>
      <c r="B321" s="72" t="s">
        <v>95</v>
      </c>
      <c r="C321" s="73" t="str">
        <f t="shared" si="4"/>
        <v>Sheila Fisher</v>
      </c>
    </row>
    <row r="322" spans="1:3" x14ac:dyDescent="0.3">
      <c r="A322" s="35" t="s">
        <v>870</v>
      </c>
      <c r="B322" s="72" t="s">
        <v>144</v>
      </c>
      <c r="C322" s="73" t="str">
        <f t="shared" si="4"/>
        <v>Jason Medina</v>
      </c>
    </row>
    <row r="323" spans="1:3" x14ac:dyDescent="0.3">
      <c r="A323" s="35" t="s">
        <v>872</v>
      </c>
      <c r="B323" s="72" t="s">
        <v>195</v>
      </c>
      <c r="C323" s="73" t="str">
        <f t="shared" si="4"/>
        <v>Tammy Williams</v>
      </c>
    </row>
    <row r="324" spans="1:3" x14ac:dyDescent="0.3">
      <c r="A324" s="35" t="s">
        <v>874</v>
      </c>
      <c r="B324" s="72" t="s">
        <v>168</v>
      </c>
      <c r="C324" s="73" t="str">
        <f t="shared" ref="C324:C387" si="5">HYPERLINK(B324,A324)</f>
        <v>Alejandra Flores</v>
      </c>
    </row>
    <row r="325" spans="1:3" x14ac:dyDescent="0.3">
      <c r="A325" s="35" t="s">
        <v>876</v>
      </c>
      <c r="B325" s="72" t="s">
        <v>219</v>
      </c>
      <c r="C325" s="73" t="str">
        <f t="shared" si="5"/>
        <v>Sandy Gross</v>
      </c>
    </row>
    <row r="326" spans="1:3" x14ac:dyDescent="0.3">
      <c r="A326" s="35" t="s">
        <v>878</v>
      </c>
      <c r="B326" s="72" t="s">
        <v>88</v>
      </c>
      <c r="C326" s="73" t="str">
        <f t="shared" si="5"/>
        <v>Johnny Schultz</v>
      </c>
    </row>
    <row r="327" spans="1:3" x14ac:dyDescent="0.3">
      <c r="A327" s="35" t="s">
        <v>880</v>
      </c>
      <c r="B327" s="72" t="s">
        <v>18</v>
      </c>
      <c r="C327" s="73" t="str">
        <f t="shared" si="5"/>
        <v>Stacey Richards</v>
      </c>
    </row>
    <row r="328" spans="1:3" x14ac:dyDescent="0.3">
      <c r="A328" s="35" t="s">
        <v>883</v>
      </c>
      <c r="B328" s="72" t="s">
        <v>219</v>
      </c>
      <c r="C328" s="73" t="str">
        <f t="shared" si="5"/>
        <v>Sierra Robinson</v>
      </c>
    </row>
    <row r="329" spans="1:3" x14ac:dyDescent="0.3">
      <c r="A329" s="35" t="s">
        <v>885</v>
      </c>
      <c r="B329" s="72" t="s">
        <v>95</v>
      </c>
      <c r="C329" s="73" t="str">
        <f t="shared" si="5"/>
        <v>Mrs. Samantha White</v>
      </c>
    </row>
    <row r="330" spans="1:3" x14ac:dyDescent="0.3">
      <c r="A330" s="35" t="s">
        <v>887</v>
      </c>
      <c r="B330" s="72" t="s">
        <v>49</v>
      </c>
      <c r="C330" s="73" t="str">
        <f t="shared" si="5"/>
        <v>Kaylee Ortiz</v>
      </c>
    </row>
    <row r="331" spans="1:3" x14ac:dyDescent="0.3">
      <c r="A331" s="35" t="s">
        <v>890</v>
      </c>
      <c r="B331" s="72" t="s">
        <v>95</v>
      </c>
      <c r="C331" s="73" t="str">
        <f t="shared" si="5"/>
        <v>Cory Chaney</v>
      </c>
    </row>
    <row r="332" spans="1:3" x14ac:dyDescent="0.3">
      <c r="A332" s="35" t="s">
        <v>893</v>
      </c>
      <c r="B332" s="72" t="s">
        <v>18</v>
      </c>
      <c r="C332" s="73" t="str">
        <f t="shared" si="5"/>
        <v>Elizabeth Romero</v>
      </c>
    </row>
    <row r="333" spans="1:3" x14ac:dyDescent="0.3">
      <c r="A333" s="35" t="s">
        <v>896</v>
      </c>
      <c r="B333" s="72" t="s">
        <v>49</v>
      </c>
      <c r="C333" s="73" t="str">
        <f t="shared" si="5"/>
        <v>Kathryn Nicholson</v>
      </c>
    </row>
    <row r="334" spans="1:3" x14ac:dyDescent="0.3">
      <c r="A334" s="35" t="s">
        <v>898</v>
      </c>
      <c r="B334" s="72" t="s">
        <v>57</v>
      </c>
      <c r="C334" s="73" t="str">
        <f t="shared" si="5"/>
        <v>Daniel Roberts</v>
      </c>
    </row>
    <row r="335" spans="1:3" x14ac:dyDescent="0.3">
      <c r="A335" s="35" t="s">
        <v>901</v>
      </c>
      <c r="B335" s="72" t="s">
        <v>144</v>
      </c>
      <c r="C335" s="73" t="str">
        <f t="shared" si="5"/>
        <v>Kevin Long</v>
      </c>
    </row>
    <row r="336" spans="1:3" x14ac:dyDescent="0.3">
      <c r="A336" s="35" t="s">
        <v>903</v>
      </c>
      <c r="B336" s="72" t="s">
        <v>195</v>
      </c>
      <c r="C336" s="73" t="str">
        <f t="shared" si="5"/>
        <v>Jessica Watkins</v>
      </c>
    </row>
    <row r="337" spans="1:3" x14ac:dyDescent="0.3">
      <c r="A337" s="35" t="s">
        <v>906</v>
      </c>
      <c r="B337" s="72" t="s">
        <v>18</v>
      </c>
      <c r="C337" s="73" t="str">
        <f t="shared" si="5"/>
        <v>Amanda Rodgers</v>
      </c>
    </row>
    <row r="338" spans="1:3" x14ac:dyDescent="0.3">
      <c r="A338" s="35" t="s">
        <v>909</v>
      </c>
      <c r="B338" s="72" t="s">
        <v>72</v>
      </c>
      <c r="C338" s="73" t="str">
        <f t="shared" si="5"/>
        <v>Michael Carter</v>
      </c>
    </row>
    <row r="339" spans="1:3" x14ac:dyDescent="0.3">
      <c r="A339" s="35" t="s">
        <v>911</v>
      </c>
      <c r="B339" s="72" t="s">
        <v>62</v>
      </c>
      <c r="C339" s="73" t="str">
        <f t="shared" si="5"/>
        <v>Emily Thomas</v>
      </c>
    </row>
    <row r="340" spans="1:3" x14ac:dyDescent="0.3">
      <c r="A340" s="35" t="s">
        <v>913</v>
      </c>
      <c r="B340" s="72" t="s">
        <v>144</v>
      </c>
      <c r="C340" s="73" t="str">
        <f t="shared" si="5"/>
        <v>Tami Walker</v>
      </c>
    </row>
    <row r="341" spans="1:3" x14ac:dyDescent="0.3">
      <c r="A341" s="35" t="s">
        <v>915</v>
      </c>
      <c r="B341" s="72" t="s">
        <v>219</v>
      </c>
      <c r="C341" s="73" t="str">
        <f t="shared" si="5"/>
        <v>Margaret Johnson</v>
      </c>
    </row>
    <row r="342" spans="1:3" x14ac:dyDescent="0.3">
      <c r="A342" s="35" t="s">
        <v>917</v>
      </c>
      <c r="B342" s="72" t="s">
        <v>49</v>
      </c>
      <c r="C342" s="73" t="str">
        <f t="shared" si="5"/>
        <v>Andrew Roberts</v>
      </c>
    </row>
    <row r="343" spans="1:3" x14ac:dyDescent="0.3">
      <c r="A343" s="35" t="s">
        <v>920</v>
      </c>
      <c r="B343" s="72" t="s">
        <v>49</v>
      </c>
      <c r="C343" s="73" t="str">
        <f t="shared" si="5"/>
        <v>Sandra Williamson</v>
      </c>
    </row>
    <row r="344" spans="1:3" x14ac:dyDescent="0.3">
      <c r="A344" s="35" t="s">
        <v>922</v>
      </c>
      <c r="B344" s="72" t="s">
        <v>219</v>
      </c>
      <c r="C344" s="73" t="str">
        <f t="shared" si="5"/>
        <v>Angela Cooper</v>
      </c>
    </row>
    <row r="345" spans="1:3" x14ac:dyDescent="0.3">
      <c r="A345" s="35" t="s">
        <v>925</v>
      </c>
      <c r="B345" s="72" t="s">
        <v>88</v>
      </c>
      <c r="C345" s="73" t="str">
        <f t="shared" si="5"/>
        <v>Brian Roy</v>
      </c>
    </row>
    <row r="346" spans="1:3" x14ac:dyDescent="0.3">
      <c r="A346" s="35" t="s">
        <v>927</v>
      </c>
      <c r="B346" s="72" t="s">
        <v>49</v>
      </c>
      <c r="C346" s="73" t="str">
        <f t="shared" si="5"/>
        <v>Mr. Jose Holland MD</v>
      </c>
    </row>
    <row r="347" spans="1:3" x14ac:dyDescent="0.3">
      <c r="A347" s="35" t="s">
        <v>929</v>
      </c>
      <c r="B347" s="72" t="s">
        <v>219</v>
      </c>
      <c r="C347" s="73" t="str">
        <f t="shared" si="5"/>
        <v>Keith Johnson</v>
      </c>
    </row>
    <row r="348" spans="1:3" x14ac:dyDescent="0.3">
      <c r="A348" s="35" t="s">
        <v>931</v>
      </c>
      <c r="B348" s="72" t="s">
        <v>18</v>
      </c>
      <c r="C348" s="73" t="str">
        <f t="shared" si="5"/>
        <v>Kristin Blair</v>
      </c>
    </row>
    <row r="349" spans="1:3" x14ac:dyDescent="0.3">
      <c r="A349" s="35" t="s">
        <v>933</v>
      </c>
      <c r="B349" s="72" t="s">
        <v>88</v>
      </c>
      <c r="C349" s="73" t="str">
        <f t="shared" si="5"/>
        <v>Heather Thompson</v>
      </c>
    </row>
    <row r="350" spans="1:3" x14ac:dyDescent="0.3">
      <c r="A350" s="35" t="s">
        <v>935</v>
      </c>
      <c r="B350" s="72" t="s">
        <v>37</v>
      </c>
      <c r="C350" s="73" t="str">
        <f t="shared" si="5"/>
        <v>Robert Branch</v>
      </c>
    </row>
    <row r="351" spans="1:3" x14ac:dyDescent="0.3">
      <c r="A351" s="35" t="s">
        <v>938</v>
      </c>
      <c r="B351" s="72" t="s">
        <v>168</v>
      </c>
      <c r="C351" s="73" t="str">
        <f t="shared" si="5"/>
        <v>Crystal Mitchell</v>
      </c>
    </row>
    <row r="352" spans="1:3" x14ac:dyDescent="0.3">
      <c r="A352" s="35" t="s">
        <v>940</v>
      </c>
      <c r="B352" s="72" t="s">
        <v>139</v>
      </c>
      <c r="C352" s="73" t="str">
        <f t="shared" si="5"/>
        <v>Sandra Hernandez MD</v>
      </c>
    </row>
    <row r="353" spans="1:3" x14ac:dyDescent="0.3">
      <c r="A353" s="35" t="s">
        <v>942</v>
      </c>
      <c r="B353" s="72" t="s">
        <v>62</v>
      </c>
      <c r="C353" s="73" t="str">
        <f t="shared" si="5"/>
        <v>John Clark</v>
      </c>
    </row>
    <row r="354" spans="1:3" x14ac:dyDescent="0.3">
      <c r="A354" s="35" t="s">
        <v>944</v>
      </c>
      <c r="B354" s="72" t="s">
        <v>72</v>
      </c>
      <c r="C354" s="73" t="str">
        <f t="shared" si="5"/>
        <v>Kelsey Baxter</v>
      </c>
    </row>
    <row r="355" spans="1:3" x14ac:dyDescent="0.3">
      <c r="A355" s="35" t="s">
        <v>946</v>
      </c>
      <c r="B355" s="72" t="s">
        <v>139</v>
      </c>
      <c r="C355" s="73" t="str">
        <f t="shared" si="5"/>
        <v>Shane Jones</v>
      </c>
    </row>
    <row r="356" spans="1:3" x14ac:dyDescent="0.3">
      <c r="A356" s="35" t="s">
        <v>948</v>
      </c>
      <c r="B356" s="72" t="s">
        <v>57</v>
      </c>
      <c r="C356" s="73" t="str">
        <f t="shared" si="5"/>
        <v>Diane Vega</v>
      </c>
    </row>
    <row r="357" spans="1:3" x14ac:dyDescent="0.3">
      <c r="A357" s="35" t="s">
        <v>950</v>
      </c>
      <c r="B357" s="72" t="s">
        <v>57</v>
      </c>
      <c r="C357" s="73" t="str">
        <f t="shared" si="5"/>
        <v>Joshua Wall</v>
      </c>
    </row>
    <row r="358" spans="1:3" x14ac:dyDescent="0.3">
      <c r="A358" s="35" t="s">
        <v>952</v>
      </c>
      <c r="B358" s="72" t="s">
        <v>72</v>
      </c>
      <c r="C358" s="73" t="str">
        <f t="shared" si="5"/>
        <v>William Evans</v>
      </c>
    </row>
    <row r="359" spans="1:3" x14ac:dyDescent="0.3">
      <c r="A359" s="35" t="s">
        <v>954</v>
      </c>
      <c r="B359" s="72" t="s">
        <v>144</v>
      </c>
      <c r="C359" s="73" t="str">
        <f t="shared" si="5"/>
        <v>Amanda Carroll</v>
      </c>
    </row>
    <row r="360" spans="1:3" x14ac:dyDescent="0.3">
      <c r="A360" s="35" t="s">
        <v>957</v>
      </c>
      <c r="B360" s="72" t="s">
        <v>168</v>
      </c>
      <c r="C360" s="73" t="str">
        <f t="shared" si="5"/>
        <v>Angela Douglas</v>
      </c>
    </row>
    <row r="361" spans="1:3" x14ac:dyDescent="0.3">
      <c r="A361" s="35" t="s">
        <v>959</v>
      </c>
      <c r="B361" s="72" t="s">
        <v>139</v>
      </c>
      <c r="C361" s="73" t="str">
        <f t="shared" si="5"/>
        <v>Andrew Daniels</v>
      </c>
    </row>
    <row r="362" spans="1:3" x14ac:dyDescent="0.3">
      <c r="A362" s="35" t="s">
        <v>961</v>
      </c>
      <c r="B362" s="72" t="s">
        <v>195</v>
      </c>
      <c r="C362" s="73" t="str">
        <f t="shared" si="5"/>
        <v>Jodi Clark</v>
      </c>
    </row>
    <row r="363" spans="1:3" x14ac:dyDescent="0.3">
      <c r="A363" s="35" t="s">
        <v>963</v>
      </c>
      <c r="B363" s="72" t="s">
        <v>57</v>
      </c>
      <c r="C363" s="73" t="str">
        <f t="shared" si="5"/>
        <v>Kristin Moore</v>
      </c>
    </row>
    <row r="364" spans="1:3" x14ac:dyDescent="0.3">
      <c r="A364" s="35" t="s">
        <v>965</v>
      </c>
      <c r="B364" s="72" t="s">
        <v>62</v>
      </c>
      <c r="C364" s="73" t="str">
        <f t="shared" si="5"/>
        <v>John Baker</v>
      </c>
    </row>
    <row r="365" spans="1:3" x14ac:dyDescent="0.3">
      <c r="A365" s="35" t="s">
        <v>967</v>
      </c>
      <c r="B365" s="72" t="s">
        <v>168</v>
      </c>
      <c r="C365" s="73" t="str">
        <f t="shared" si="5"/>
        <v>Shelley Wilson</v>
      </c>
    </row>
    <row r="366" spans="1:3" x14ac:dyDescent="0.3">
      <c r="A366" s="35" t="s">
        <v>969</v>
      </c>
      <c r="B366" s="72" t="s">
        <v>62</v>
      </c>
      <c r="C366" s="73" t="str">
        <f t="shared" si="5"/>
        <v>Zachary Lloyd</v>
      </c>
    </row>
    <row r="367" spans="1:3" x14ac:dyDescent="0.3">
      <c r="A367" s="35" t="s">
        <v>971</v>
      </c>
      <c r="B367" s="72" t="s">
        <v>37</v>
      </c>
      <c r="C367" s="73" t="str">
        <f t="shared" si="5"/>
        <v>Elizabeth Reyes</v>
      </c>
    </row>
    <row r="368" spans="1:3" x14ac:dyDescent="0.3">
      <c r="A368" s="35" t="s">
        <v>974</v>
      </c>
      <c r="B368" s="72" t="s">
        <v>62</v>
      </c>
      <c r="C368" s="73" t="str">
        <f t="shared" si="5"/>
        <v>Megan Gutierrez</v>
      </c>
    </row>
    <row r="369" spans="1:3" x14ac:dyDescent="0.3">
      <c r="A369" s="35" t="s">
        <v>976</v>
      </c>
      <c r="B369" s="72" t="s">
        <v>195</v>
      </c>
      <c r="C369" s="73" t="str">
        <f t="shared" si="5"/>
        <v>Charlene White</v>
      </c>
    </row>
    <row r="370" spans="1:3" x14ac:dyDescent="0.3">
      <c r="A370" s="35" t="s">
        <v>978</v>
      </c>
      <c r="B370" s="72" t="s">
        <v>42</v>
      </c>
      <c r="C370" s="73" t="str">
        <f t="shared" si="5"/>
        <v>Terri Ochoa</v>
      </c>
    </row>
    <row r="371" spans="1:3" x14ac:dyDescent="0.3">
      <c r="A371" s="35" t="s">
        <v>980</v>
      </c>
      <c r="B371" s="72" t="s">
        <v>219</v>
      </c>
      <c r="C371" s="73" t="str">
        <f t="shared" si="5"/>
        <v>Patricia Davis</v>
      </c>
    </row>
    <row r="372" spans="1:3" x14ac:dyDescent="0.3">
      <c r="A372" s="35" t="s">
        <v>982</v>
      </c>
      <c r="B372" s="72" t="s">
        <v>42</v>
      </c>
      <c r="C372" s="73" t="str">
        <f t="shared" si="5"/>
        <v>Justin Ramirez</v>
      </c>
    </row>
    <row r="373" spans="1:3" x14ac:dyDescent="0.3">
      <c r="A373" s="35" t="s">
        <v>984</v>
      </c>
      <c r="B373" s="72" t="s">
        <v>95</v>
      </c>
      <c r="C373" s="73" t="str">
        <f t="shared" si="5"/>
        <v>Robert Moses</v>
      </c>
    </row>
    <row r="374" spans="1:3" x14ac:dyDescent="0.3">
      <c r="A374" s="35" t="s">
        <v>986</v>
      </c>
      <c r="B374" s="72" t="s">
        <v>219</v>
      </c>
      <c r="C374" s="73" t="str">
        <f t="shared" si="5"/>
        <v>Jenny Jones</v>
      </c>
    </row>
    <row r="375" spans="1:3" x14ac:dyDescent="0.3">
      <c r="A375" s="35" t="s">
        <v>988</v>
      </c>
      <c r="B375" s="72" t="s">
        <v>42</v>
      </c>
      <c r="C375" s="73" t="str">
        <f t="shared" si="5"/>
        <v>Sarah Wang</v>
      </c>
    </row>
    <row r="376" spans="1:3" x14ac:dyDescent="0.3">
      <c r="A376" s="35" t="s">
        <v>990</v>
      </c>
      <c r="B376" s="72" t="s">
        <v>139</v>
      </c>
      <c r="C376" s="73" t="str">
        <f t="shared" si="5"/>
        <v>Michelle Flowers</v>
      </c>
    </row>
    <row r="377" spans="1:3" x14ac:dyDescent="0.3">
      <c r="A377" s="35" t="s">
        <v>992</v>
      </c>
      <c r="B377" s="72" t="s">
        <v>57</v>
      </c>
      <c r="C377" s="73" t="str">
        <f t="shared" si="5"/>
        <v>Anthony Klein</v>
      </c>
    </row>
    <row r="378" spans="1:3" x14ac:dyDescent="0.3">
      <c r="A378" s="35" t="s">
        <v>995</v>
      </c>
      <c r="B378" s="72" t="s">
        <v>144</v>
      </c>
      <c r="C378" s="73" t="str">
        <f t="shared" si="5"/>
        <v>James Johnson</v>
      </c>
    </row>
    <row r="379" spans="1:3" x14ac:dyDescent="0.3">
      <c r="A379" s="35" t="s">
        <v>997</v>
      </c>
      <c r="B379" s="72" t="s">
        <v>95</v>
      </c>
      <c r="C379" s="73" t="str">
        <f t="shared" si="5"/>
        <v>Rebecca Hill</v>
      </c>
    </row>
    <row r="380" spans="1:3" x14ac:dyDescent="0.3">
      <c r="A380" s="35" t="s">
        <v>1000</v>
      </c>
      <c r="B380" s="72" t="s">
        <v>49</v>
      </c>
      <c r="C380" s="73" t="str">
        <f t="shared" si="5"/>
        <v>Lori Yang</v>
      </c>
    </row>
    <row r="381" spans="1:3" x14ac:dyDescent="0.3">
      <c r="A381" s="35" t="s">
        <v>1002</v>
      </c>
      <c r="B381" s="72" t="s">
        <v>18</v>
      </c>
      <c r="C381" s="73" t="str">
        <f t="shared" si="5"/>
        <v>Michael Stewart</v>
      </c>
    </row>
    <row r="382" spans="1:3" x14ac:dyDescent="0.3">
      <c r="A382" s="35" t="s">
        <v>1004</v>
      </c>
      <c r="B382" s="72" t="s">
        <v>62</v>
      </c>
      <c r="C382" s="73" t="str">
        <f t="shared" si="5"/>
        <v>Kimberly Rocha</v>
      </c>
    </row>
    <row r="383" spans="1:3" x14ac:dyDescent="0.3">
      <c r="A383" s="35" t="s">
        <v>1006</v>
      </c>
      <c r="B383" s="72" t="s">
        <v>88</v>
      </c>
      <c r="C383" s="73" t="str">
        <f t="shared" si="5"/>
        <v>Joseph Lopez</v>
      </c>
    </row>
    <row r="384" spans="1:3" x14ac:dyDescent="0.3">
      <c r="A384" s="35" t="s">
        <v>1008</v>
      </c>
      <c r="B384" s="72" t="s">
        <v>88</v>
      </c>
      <c r="C384" s="73" t="str">
        <f t="shared" si="5"/>
        <v>Daniel Freeman</v>
      </c>
    </row>
    <row r="385" spans="1:3" x14ac:dyDescent="0.3">
      <c r="A385" s="35" t="s">
        <v>1010</v>
      </c>
      <c r="B385" s="72" t="s">
        <v>62</v>
      </c>
      <c r="C385" s="73" t="str">
        <f t="shared" si="5"/>
        <v>Sarah Jefferson</v>
      </c>
    </row>
    <row r="386" spans="1:3" x14ac:dyDescent="0.3">
      <c r="A386" s="35" t="s">
        <v>1012</v>
      </c>
      <c r="B386" s="72" t="s">
        <v>42</v>
      </c>
      <c r="C386" s="73" t="str">
        <f t="shared" si="5"/>
        <v>Mr. Eric Brown</v>
      </c>
    </row>
    <row r="387" spans="1:3" x14ac:dyDescent="0.3">
      <c r="A387" s="35" t="s">
        <v>1014</v>
      </c>
      <c r="B387" s="72" t="s">
        <v>139</v>
      </c>
      <c r="C387" s="73" t="str">
        <f t="shared" si="5"/>
        <v>Tara Medina</v>
      </c>
    </row>
    <row r="388" spans="1:3" x14ac:dyDescent="0.3">
      <c r="A388" s="35" t="s">
        <v>1016</v>
      </c>
      <c r="B388" s="72" t="s">
        <v>95</v>
      </c>
      <c r="C388" s="73" t="str">
        <f t="shared" ref="C388:C451" si="6">HYPERLINK(B388,A388)</f>
        <v>Anthony Miller</v>
      </c>
    </row>
    <row r="389" spans="1:3" x14ac:dyDescent="0.3">
      <c r="A389" s="35" t="s">
        <v>1019</v>
      </c>
      <c r="B389" s="72" t="s">
        <v>95</v>
      </c>
      <c r="C389" s="73" t="str">
        <f t="shared" si="6"/>
        <v>Corey Campbell</v>
      </c>
    </row>
    <row r="390" spans="1:3" x14ac:dyDescent="0.3">
      <c r="A390" s="35" t="s">
        <v>1021</v>
      </c>
      <c r="B390" s="72" t="s">
        <v>168</v>
      </c>
      <c r="C390" s="73" t="str">
        <f t="shared" si="6"/>
        <v>Mrs. Tricia Davies</v>
      </c>
    </row>
    <row r="391" spans="1:3" x14ac:dyDescent="0.3">
      <c r="A391" s="35" t="s">
        <v>1023</v>
      </c>
      <c r="B391" s="72" t="s">
        <v>49</v>
      </c>
      <c r="C391" s="73" t="str">
        <f t="shared" si="6"/>
        <v>Mary Lewis</v>
      </c>
    </row>
    <row r="392" spans="1:3" x14ac:dyDescent="0.3">
      <c r="A392" s="35" t="s">
        <v>1025</v>
      </c>
      <c r="B392" s="72" t="s">
        <v>168</v>
      </c>
      <c r="C392" s="73" t="str">
        <f t="shared" si="6"/>
        <v>Rachel Welch</v>
      </c>
    </row>
    <row r="393" spans="1:3" x14ac:dyDescent="0.3">
      <c r="A393" s="35" t="s">
        <v>1028</v>
      </c>
      <c r="B393" s="72" t="s">
        <v>95</v>
      </c>
      <c r="C393" s="73" t="str">
        <f t="shared" si="6"/>
        <v>Timothy Hogan</v>
      </c>
    </row>
    <row r="394" spans="1:3" x14ac:dyDescent="0.3">
      <c r="A394" s="35" t="s">
        <v>1030</v>
      </c>
      <c r="B394" s="72" t="s">
        <v>195</v>
      </c>
      <c r="C394" s="73" t="str">
        <f t="shared" si="6"/>
        <v>Todd Long</v>
      </c>
    </row>
    <row r="395" spans="1:3" x14ac:dyDescent="0.3">
      <c r="A395" s="35" t="s">
        <v>1032</v>
      </c>
      <c r="B395" s="72" t="s">
        <v>88</v>
      </c>
      <c r="C395" s="73" t="str">
        <f t="shared" si="6"/>
        <v>Jeremy Adams</v>
      </c>
    </row>
    <row r="396" spans="1:3" x14ac:dyDescent="0.3">
      <c r="A396" s="35" t="s">
        <v>1034</v>
      </c>
      <c r="B396" s="72" t="s">
        <v>95</v>
      </c>
      <c r="C396" s="73" t="str">
        <f t="shared" si="6"/>
        <v>Christopher Cooper</v>
      </c>
    </row>
    <row r="397" spans="1:3" x14ac:dyDescent="0.3">
      <c r="A397" s="35" t="s">
        <v>1037</v>
      </c>
      <c r="B397" s="72" t="s">
        <v>62</v>
      </c>
      <c r="C397" s="73" t="str">
        <f t="shared" si="6"/>
        <v>Benjamin Jackson</v>
      </c>
    </row>
    <row r="398" spans="1:3" x14ac:dyDescent="0.3">
      <c r="A398" s="35" t="s">
        <v>1039</v>
      </c>
      <c r="B398" s="72" t="s">
        <v>95</v>
      </c>
      <c r="C398" s="73" t="str">
        <f t="shared" si="6"/>
        <v>Neil Martinez</v>
      </c>
    </row>
    <row r="399" spans="1:3" x14ac:dyDescent="0.3">
      <c r="A399" s="35" t="s">
        <v>1041</v>
      </c>
      <c r="B399" s="72" t="s">
        <v>219</v>
      </c>
      <c r="C399" s="73" t="str">
        <f t="shared" si="6"/>
        <v>Craig Daniels</v>
      </c>
    </row>
    <row r="400" spans="1:3" x14ac:dyDescent="0.3">
      <c r="A400" s="35" t="s">
        <v>1043</v>
      </c>
      <c r="B400" s="72" t="s">
        <v>88</v>
      </c>
      <c r="C400" s="73" t="str">
        <f t="shared" si="6"/>
        <v>Jean Palmer</v>
      </c>
    </row>
    <row r="401" spans="1:3" x14ac:dyDescent="0.3">
      <c r="A401" s="35" t="s">
        <v>1045</v>
      </c>
      <c r="B401" s="72" t="s">
        <v>30</v>
      </c>
      <c r="C401" s="73" t="str">
        <f t="shared" si="6"/>
        <v>John Serrano</v>
      </c>
    </row>
    <row r="402" spans="1:3" x14ac:dyDescent="0.3">
      <c r="A402" s="35" t="s">
        <v>1047</v>
      </c>
      <c r="B402" s="72" t="s">
        <v>195</v>
      </c>
      <c r="C402" s="73" t="str">
        <f t="shared" si="6"/>
        <v>Hannah Watson</v>
      </c>
    </row>
    <row r="403" spans="1:3" x14ac:dyDescent="0.3">
      <c r="A403" s="35" t="s">
        <v>1050</v>
      </c>
      <c r="B403" s="72" t="s">
        <v>57</v>
      </c>
      <c r="C403" s="73" t="str">
        <f t="shared" si="6"/>
        <v>Laura Kerr</v>
      </c>
    </row>
    <row r="404" spans="1:3" x14ac:dyDescent="0.3">
      <c r="A404" s="35" t="s">
        <v>1052</v>
      </c>
      <c r="B404" s="72" t="s">
        <v>139</v>
      </c>
      <c r="C404" s="73" t="str">
        <f t="shared" si="6"/>
        <v>Ryan Perez</v>
      </c>
    </row>
    <row r="405" spans="1:3" x14ac:dyDescent="0.3">
      <c r="A405" s="35" t="s">
        <v>1054</v>
      </c>
      <c r="B405" s="72" t="s">
        <v>88</v>
      </c>
      <c r="C405" s="73" t="str">
        <f t="shared" si="6"/>
        <v>Karen Leon</v>
      </c>
    </row>
    <row r="406" spans="1:3" x14ac:dyDescent="0.3">
      <c r="A406" s="35" t="s">
        <v>1056</v>
      </c>
      <c r="B406" s="72" t="s">
        <v>72</v>
      </c>
      <c r="C406" s="73" t="str">
        <f t="shared" si="6"/>
        <v>Darlene Garcia MD</v>
      </c>
    </row>
    <row r="407" spans="1:3" x14ac:dyDescent="0.3">
      <c r="A407" s="35" t="s">
        <v>1059</v>
      </c>
      <c r="B407" s="72" t="s">
        <v>49</v>
      </c>
      <c r="C407" s="73" t="str">
        <f t="shared" si="6"/>
        <v>Robin Novak</v>
      </c>
    </row>
    <row r="408" spans="1:3" x14ac:dyDescent="0.3">
      <c r="A408" s="35" t="s">
        <v>1062</v>
      </c>
      <c r="B408" s="72" t="s">
        <v>62</v>
      </c>
      <c r="C408" s="73" t="str">
        <f t="shared" si="6"/>
        <v>Justin Taylor</v>
      </c>
    </row>
    <row r="409" spans="1:3" x14ac:dyDescent="0.3">
      <c r="A409" s="35" t="s">
        <v>1064</v>
      </c>
      <c r="B409" s="72" t="s">
        <v>30</v>
      </c>
      <c r="C409" s="73" t="str">
        <f t="shared" si="6"/>
        <v>Ryan Kelley</v>
      </c>
    </row>
    <row r="410" spans="1:3" x14ac:dyDescent="0.3">
      <c r="A410" s="35" t="s">
        <v>1066</v>
      </c>
      <c r="B410" s="72" t="s">
        <v>144</v>
      </c>
      <c r="C410" s="73" t="str">
        <f t="shared" si="6"/>
        <v>Matthew Long</v>
      </c>
    </row>
    <row r="411" spans="1:3" x14ac:dyDescent="0.3">
      <c r="A411" s="35" t="s">
        <v>1069</v>
      </c>
      <c r="B411" s="72" t="s">
        <v>37</v>
      </c>
      <c r="C411" s="73" t="str">
        <f t="shared" si="6"/>
        <v>Sheila Perez</v>
      </c>
    </row>
    <row r="412" spans="1:3" x14ac:dyDescent="0.3">
      <c r="A412" s="35" t="s">
        <v>1071</v>
      </c>
      <c r="B412" s="72" t="s">
        <v>195</v>
      </c>
      <c r="C412" s="73" t="str">
        <f t="shared" si="6"/>
        <v>Matthew Bennett</v>
      </c>
    </row>
    <row r="413" spans="1:3" x14ac:dyDescent="0.3">
      <c r="A413" s="35" t="s">
        <v>1073</v>
      </c>
      <c r="B413" s="72" t="s">
        <v>168</v>
      </c>
      <c r="C413" s="73" t="str">
        <f t="shared" si="6"/>
        <v>Kristin Robinson</v>
      </c>
    </row>
    <row r="414" spans="1:3" x14ac:dyDescent="0.3">
      <c r="A414" s="35" t="s">
        <v>1075</v>
      </c>
      <c r="B414" s="72" t="s">
        <v>42</v>
      </c>
      <c r="C414" s="73" t="str">
        <f t="shared" si="6"/>
        <v>Autumn Harrison</v>
      </c>
    </row>
    <row r="415" spans="1:3" x14ac:dyDescent="0.3">
      <c r="A415" s="35" t="s">
        <v>1077</v>
      </c>
      <c r="B415" s="72" t="s">
        <v>219</v>
      </c>
      <c r="C415" s="73" t="str">
        <f t="shared" si="6"/>
        <v>Stephanie Miller</v>
      </c>
    </row>
    <row r="416" spans="1:3" x14ac:dyDescent="0.3">
      <c r="A416" s="35" t="s">
        <v>1079</v>
      </c>
      <c r="B416" s="72" t="s">
        <v>62</v>
      </c>
      <c r="C416" s="73" t="str">
        <f t="shared" si="6"/>
        <v>Shaun Smith</v>
      </c>
    </row>
    <row r="417" spans="1:3" x14ac:dyDescent="0.3">
      <c r="A417" s="35" t="s">
        <v>1081</v>
      </c>
      <c r="B417" s="72" t="s">
        <v>88</v>
      </c>
      <c r="C417" s="73" t="str">
        <f t="shared" si="6"/>
        <v>Christine Luna</v>
      </c>
    </row>
    <row r="418" spans="1:3" x14ac:dyDescent="0.3">
      <c r="A418" s="35" t="s">
        <v>1083</v>
      </c>
      <c r="B418" s="72" t="s">
        <v>72</v>
      </c>
      <c r="C418" s="73" t="str">
        <f t="shared" si="6"/>
        <v>Wendy Lee</v>
      </c>
    </row>
    <row r="419" spans="1:3" x14ac:dyDescent="0.3">
      <c r="A419" s="35" t="s">
        <v>1085</v>
      </c>
      <c r="B419" s="72" t="s">
        <v>95</v>
      </c>
      <c r="C419" s="73" t="str">
        <f t="shared" si="6"/>
        <v>Megan Vasquez</v>
      </c>
    </row>
    <row r="420" spans="1:3" x14ac:dyDescent="0.3">
      <c r="A420" s="35" t="s">
        <v>1088</v>
      </c>
      <c r="B420" s="72" t="s">
        <v>144</v>
      </c>
      <c r="C420" s="73" t="str">
        <f t="shared" si="6"/>
        <v>Anthony Gordon</v>
      </c>
    </row>
    <row r="421" spans="1:3" x14ac:dyDescent="0.3">
      <c r="A421" s="35" t="s">
        <v>1090</v>
      </c>
      <c r="B421" s="72" t="s">
        <v>72</v>
      </c>
      <c r="C421" s="73" t="str">
        <f t="shared" si="6"/>
        <v>Mrs. Emma Bradford</v>
      </c>
    </row>
    <row r="422" spans="1:3" x14ac:dyDescent="0.3">
      <c r="A422" s="35" t="s">
        <v>1092</v>
      </c>
      <c r="B422" s="72" t="s">
        <v>95</v>
      </c>
      <c r="C422" s="73" t="str">
        <f t="shared" si="6"/>
        <v>Kenneth Schmidt</v>
      </c>
    </row>
    <row r="423" spans="1:3" x14ac:dyDescent="0.3">
      <c r="A423" s="35" t="s">
        <v>1095</v>
      </c>
      <c r="B423" s="72" t="s">
        <v>95</v>
      </c>
      <c r="C423" s="73" t="str">
        <f t="shared" si="6"/>
        <v>Sara Johnson</v>
      </c>
    </row>
    <row r="424" spans="1:3" x14ac:dyDescent="0.3">
      <c r="A424" s="35" t="s">
        <v>1098</v>
      </c>
      <c r="B424" s="72" t="s">
        <v>95</v>
      </c>
      <c r="C424" s="73" t="str">
        <f t="shared" si="6"/>
        <v>Jessica Terry</v>
      </c>
    </row>
    <row r="425" spans="1:3" x14ac:dyDescent="0.3">
      <c r="A425" s="35" t="s">
        <v>1100</v>
      </c>
      <c r="B425" s="72" t="s">
        <v>72</v>
      </c>
      <c r="C425" s="73" t="str">
        <f t="shared" si="6"/>
        <v>Jennifer Maldonado</v>
      </c>
    </row>
    <row r="426" spans="1:3" x14ac:dyDescent="0.3">
      <c r="A426" s="35" t="s">
        <v>1102</v>
      </c>
      <c r="B426" s="72" t="s">
        <v>37</v>
      </c>
      <c r="C426" s="73" t="str">
        <f t="shared" si="6"/>
        <v>Julie Sutton DVM</v>
      </c>
    </row>
    <row r="427" spans="1:3" x14ac:dyDescent="0.3">
      <c r="A427" s="35" t="s">
        <v>1105</v>
      </c>
      <c r="B427" s="72" t="s">
        <v>88</v>
      </c>
      <c r="C427" s="73" t="str">
        <f t="shared" si="6"/>
        <v>Karen Grimes</v>
      </c>
    </row>
    <row r="428" spans="1:3" x14ac:dyDescent="0.3">
      <c r="A428" s="35" t="s">
        <v>1107</v>
      </c>
      <c r="B428" s="72" t="s">
        <v>37</v>
      </c>
      <c r="C428" s="73" t="str">
        <f t="shared" si="6"/>
        <v>Janet George</v>
      </c>
    </row>
    <row r="429" spans="1:3" x14ac:dyDescent="0.3">
      <c r="A429" s="35" t="s">
        <v>1109</v>
      </c>
      <c r="B429" s="72" t="s">
        <v>95</v>
      </c>
      <c r="C429" s="73" t="str">
        <f t="shared" si="6"/>
        <v>Eric Nelson</v>
      </c>
    </row>
    <row r="430" spans="1:3" x14ac:dyDescent="0.3">
      <c r="A430" s="35" t="s">
        <v>1111</v>
      </c>
      <c r="B430" s="72" t="s">
        <v>195</v>
      </c>
      <c r="C430" s="73" t="str">
        <f t="shared" si="6"/>
        <v>Jennifer Gonzales</v>
      </c>
    </row>
    <row r="431" spans="1:3" x14ac:dyDescent="0.3">
      <c r="A431" s="35" t="s">
        <v>1113</v>
      </c>
      <c r="B431" s="72" t="s">
        <v>57</v>
      </c>
      <c r="C431" s="73" t="str">
        <f t="shared" si="6"/>
        <v>Linda Jones</v>
      </c>
    </row>
    <row r="432" spans="1:3" x14ac:dyDescent="0.3">
      <c r="A432" s="35" t="s">
        <v>1116</v>
      </c>
      <c r="B432" s="72" t="s">
        <v>57</v>
      </c>
      <c r="C432" s="73" t="str">
        <f t="shared" si="6"/>
        <v>Joseph Michael</v>
      </c>
    </row>
    <row r="433" spans="1:3" x14ac:dyDescent="0.3">
      <c r="A433" s="35" t="s">
        <v>1119</v>
      </c>
      <c r="B433" s="72" t="s">
        <v>30</v>
      </c>
      <c r="C433" s="73" t="str">
        <f t="shared" si="6"/>
        <v>Geoffrey Murphy</v>
      </c>
    </row>
    <row r="434" spans="1:3" x14ac:dyDescent="0.3">
      <c r="A434" s="35" t="s">
        <v>1121</v>
      </c>
      <c r="B434" s="72" t="s">
        <v>168</v>
      </c>
      <c r="C434" s="73" t="str">
        <f t="shared" si="6"/>
        <v>Beverly Hill</v>
      </c>
    </row>
    <row r="435" spans="1:3" x14ac:dyDescent="0.3">
      <c r="A435" s="35" t="s">
        <v>1123</v>
      </c>
      <c r="B435" s="72" t="s">
        <v>30</v>
      </c>
      <c r="C435" s="73" t="str">
        <f t="shared" si="6"/>
        <v>Jennifer Vargas</v>
      </c>
    </row>
    <row r="436" spans="1:3" x14ac:dyDescent="0.3">
      <c r="A436" s="35" t="s">
        <v>1125</v>
      </c>
      <c r="B436" s="72" t="s">
        <v>88</v>
      </c>
      <c r="C436" s="73" t="str">
        <f t="shared" si="6"/>
        <v>Steven Anderson</v>
      </c>
    </row>
    <row r="437" spans="1:3" x14ac:dyDescent="0.3">
      <c r="A437" s="35" t="s">
        <v>1127</v>
      </c>
      <c r="B437" s="72" t="s">
        <v>219</v>
      </c>
      <c r="C437" s="73" t="str">
        <f t="shared" si="6"/>
        <v>Mary Allen</v>
      </c>
    </row>
    <row r="438" spans="1:3" x14ac:dyDescent="0.3">
      <c r="A438" s="35" t="s">
        <v>1129</v>
      </c>
      <c r="B438" s="72" t="s">
        <v>168</v>
      </c>
      <c r="C438" s="73" t="str">
        <f t="shared" si="6"/>
        <v>Alejandra Boone</v>
      </c>
    </row>
    <row r="439" spans="1:3" x14ac:dyDescent="0.3">
      <c r="A439" s="35" t="s">
        <v>1131</v>
      </c>
      <c r="B439" s="72" t="s">
        <v>72</v>
      </c>
      <c r="C439" s="73" t="str">
        <f t="shared" si="6"/>
        <v>Michael Spears</v>
      </c>
    </row>
    <row r="440" spans="1:3" x14ac:dyDescent="0.3">
      <c r="A440" s="35" t="s">
        <v>1133</v>
      </c>
      <c r="B440" s="72" t="s">
        <v>195</v>
      </c>
      <c r="C440" s="73" t="str">
        <f t="shared" si="6"/>
        <v>Kristen Miles</v>
      </c>
    </row>
    <row r="441" spans="1:3" x14ac:dyDescent="0.3">
      <c r="A441" s="35" t="s">
        <v>1135</v>
      </c>
      <c r="B441" s="72" t="s">
        <v>18</v>
      </c>
      <c r="C441" s="73" t="str">
        <f t="shared" si="6"/>
        <v>Latoya Soto</v>
      </c>
    </row>
    <row r="442" spans="1:3" x14ac:dyDescent="0.3">
      <c r="A442" s="35" t="s">
        <v>1137</v>
      </c>
      <c r="B442" s="72" t="s">
        <v>72</v>
      </c>
      <c r="C442" s="73" t="str">
        <f t="shared" si="6"/>
        <v>Daniel Booker</v>
      </c>
    </row>
    <row r="443" spans="1:3" x14ac:dyDescent="0.3">
      <c r="A443" s="35" t="s">
        <v>1139</v>
      </c>
      <c r="B443" s="72" t="s">
        <v>95</v>
      </c>
      <c r="C443" s="73" t="str">
        <f t="shared" si="6"/>
        <v>Dr. James Stanley DDS</v>
      </c>
    </row>
    <row r="444" spans="1:3" x14ac:dyDescent="0.3">
      <c r="A444" s="35" t="s">
        <v>1141</v>
      </c>
      <c r="B444" s="72" t="s">
        <v>219</v>
      </c>
      <c r="C444" s="73" t="str">
        <f t="shared" si="6"/>
        <v>Courtney Martin DDS</v>
      </c>
    </row>
    <row r="445" spans="1:3" x14ac:dyDescent="0.3">
      <c r="A445" s="35" t="s">
        <v>1143</v>
      </c>
      <c r="B445" s="72" t="s">
        <v>49</v>
      </c>
      <c r="C445" s="73" t="str">
        <f t="shared" si="6"/>
        <v>Michael Williams</v>
      </c>
    </row>
    <row r="446" spans="1:3" x14ac:dyDescent="0.3">
      <c r="A446" s="35" t="s">
        <v>1145</v>
      </c>
      <c r="B446" s="72" t="s">
        <v>139</v>
      </c>
      <c r="C446" s="73" t="str">
        <f t="shared" si="6"/>
        <v>David Hayes</v>
      </c>
    </row>
    <row r="447" spans="1:3" x14ac:dyDescent="0.3">
      <c r="A447" s="35" t="s">
        <v>1147</v>
      </c>
      <c r="B447" s="72" t="s">
        <v>168</v>
      </c>
      <c r="C447" s="73" t="str">
        <f t="shared" si="6"/>
        <v>Cassandra French</v>
      </c>
    </row>
    <row r="448" spans="1:3" x14ac:dyDescent="0.3">
      <c r="A448" s="35" t="s">
        <v>1149</v>
      </c>
      <c r="B448" s="72" t="s">
        <v>144</v>
      </c>
      <c r="C448" s="73" t="str">
        <f t="shared" si="6"/>
        <v>Amy Smith</v>
      </c>
    </row>
    <row r="449" spans="1:3" x14ac:dyDescent="0.3">
      <c r="A449" s="35" t="s">
        <v>1151</v>
      </c>
      <c r="B449" s="72" t="s">
        <v>88</v>
      </c>
      <c r="C449" s="73" t="str">
        <f t="shared" si="6"/>
        <v>Megan Fernandez</v>
      </c>
    </row>
    <row r="450" spans="1:3" x14ac:dyDescent="0.3">
      <c r="A450" s="35" t="s">
        <v>1153</v>
      </c>
      <c r="B450" s="72" t="s">
        <v>139</v>
      </c>
      <c r="C450" s="73" t="str">
        <f t="shared" si="6"/>
        <v>Kimberly Herrera</v>
      </c>
    </row>
    <row r="451" spans="1:3" x14ac:dyDescent="0.3">
      <c r="A451" s="35" t="s">
        <v>1155</v>
      </c>
      <c r="B451" s="72" t="s">
        <v>95</v>
      </c>
      <c r="C451" s="73" t="str">
        <f t="shared" si="6"/>
        <v>John Howard</v>
      </c>
    </row>
    <row r="452" spans="1:3" x14ac:dyDescent="0.3">
      <c r="A452" s="35" t="s">
        <v>1157</v>
      </c>
      <c r="B452" s="72" t="s">
        <v>95</v>
      </c>
      <c r="C452" s="73" t="str">
        <f t="shared" ref="C452:C515" si="7">HYPERLINK(B452,A452)</f>
        <v>Matthew Gomez</v>
      </c>
    </row>
    <row r="453" spans="1:3" x14ac:dyDescent="0.3">
      <c r="A453" s="35" t="s">
        <v>1159</v>
      </c>
      <c r="B453" s="72" t="s">
        <v>168</v>
      </c>
      <c r="C453" s="73" t="str">
        <f t="shared" si="7"/>
        <v>James Carroll</v>
      </c>
    </row>
    <row r="454" spans="1:3" x14ac:dyDescent="0.3">
      <c r="A454" s="35" t="s">
        <v>1161</v>
      </c>
      <c r="B454" s="72" t="s">
        <v>30</v>
      </c>
      <c r="C454" s="73" t="str">
        <f t="shared" si="7"/>
        <v>Diana Rowe</v>
      </c>
    </row>
    <row r="455" spans="1:3" x14ac:dyDescent="0.3">
      <c r="A455" s="35" t="s">
        <v>1164</v>
      </c>
      <c r="B455" s="72" t="s">
        <v>18</v>
      </c>
      <c r="C455" s="73" t="str">
        <f t="shared" si="7"/>
        <v>Christopher Tucker</v>
      </c>
    </row>
    <row r="456" spans="1:3" x14ac:dyDescent="0.3">
      <c r="A456" s="35" t="s">
        <v>1166</v>
      </c>
      <c r="B456" s="72" t="s">
        <v>72</v>
      </c>
      <c r="C456" s="73" t="str">
        <f t="shared" si="7"/>
        <v>Sarah Huffman</v>
      </c>
    </row>
    <row r="457" spans="1:3" x14ac:dyDescent="0.3">
      <c r="A457" s="35" t="s">
        <v>1168</v>
      </c>
      <c r="B457" s="72" t="s">
        <v>195</v>
      </c>
      <c r="C457" s="73" t="str">
        <f t="shared" si="7"/>
        <v>Mark Reed</v>
      </c>
    </row>
    <row r="458" spans="1:3" x14ac:dyDescent="0.3">
      <c r="A458" s="35" t="s">
        <v>1170</v>
      </c>
      <c r="B458" s="72" t="s">
        <v>88</v>
      </c>
      <c r="C458" s="73" t="str">
        <f t="shared" si="7"/>
        <v>Jennifer Tucker</v>
      </c>
    </row>
    <row r="459" spans="1:3" x14ac:dyDescent="0.3">
      <c r="A459" s="35" t="s">
        <v>1172</v>
      </c>
      <c r="B459" s="72" t="s">
        <v>62</v>
      </c>
      <c r="C459" s="73" t="str">
        <f t="shared" si="7"/>
        <v>David Sullivan</v>
      </c>
    </row>
    <row r="460" spans="1:3" x14ac:dyDescent="0.3">
      <c r="A460" s="35" t="s">
        <v>1174</v>
      </c>
      <c r="B460" s="72" t="s">
        <v>139</v>
      </c>
      <c r="C460" s="73" t="str">
        <f t="shared" si="7"/>
        <v>Julie Daniels</v>
      </c>
    </row>
    <row r="461" spans="1:3" x14ac:dyDescent="0.3">
      <c r="A461" s="35" t="s">
        <v>1176</v>
      </c>
      <c r="B461" s="72" t="s">
        <v>72</v>
      </c>
      <c r="C461" s="73" t="str">
        <f t="shared" si="7"/>
        <v>Latoya Holloway</v>
      </c>
    </row>
    <row r="462" spans="1:3" x14ac:dyDescent="0.3">
      <c r="A462" s="35" t="s">
        <v>1178</v>
      </c>
      <c r="B462" s="72" t="s">
        <v>62</v>
      </c>
      <c r="C462" s="73" t="str">
        <f t="shared" si="7"/>
        <v>Gary Sosa</v>
      </c>
    </row>
    <row r="463" spans="1:3" x14ac:dyDescent="0.3">
      <c r="A463" s="35" t="s">
        <v>1180</v>
      </c>
      <c r="B463" s="72" t="s">
        <v>95</v>
      </c>
      <c r="C463" s="73" t="str">
        <f t="shared" si="7"/>
        <v>Jessica Dominguez</v>
      </c>
    </row>
    <row r="464" spans="1:3" x14ac:dyDescent="0.3">
      <c r="A464" s="35" t="s">
        <v>1182</v>
      </c>
      <c r="B464" s="72" t="s">
        <v>95</v>
      </c>
      <c r="C464" s="73" t="str">
        <f t="shared" si="7"/>
        <v>Amy Carpenter</v>
      </c>
    </row>
    <row r="465" spans="1:3" x14ac:dyDescent="0.3">
      <c r="A465" s="35" t="s">
        <v>1184</v>
      </c>
      <c r="B465" s="72" t="s">
        <v>95</v>
      </c>
      <c r="C465" s="73" t="str">
        <f t="shared" si="7"/>
        <v>Daniel White</v>
      </c>
    </row>
    <row r="466" spans="1:3" x14ac:dyDescent="0.3">
      <c r="A466" s="35" t="s">
        <v>1186</v>
      </c>
      <c r="B466" s="72" t="s">
        <v>62</v>
      </c>
      <c r="C466" s="73" t="str">
        <f t="shared" si="7"/>
        <v>Crystal Brewer</v>
      </c>
    </row>
    <row r="467" spans="1:3" x14ac:dyDescent="0.3">
      <c r="A467" s="35" t="s">
        <v>1188</v>
      </c>
      <c r="B467" s="72" t="s">
        <v>95</v>
      </c>
      <c r="C467" s="73" t="str">
        <f t="shared" si="7"/>
        <v>Christopher Cross</v>
      </c>
    </row>
    <row r="468" spans="1:3" x14ac:dyDescent="0.3">
      <c r="A468" s="35" t="s">
        <v>1190</v>
      </c>
      <c r="B468" s="72" t="s">
        <v>42</v>
      </c>
      <c r="C468" s="73" t="str">
        <f t="shared" si="7"/>
        <v>Robert Roberts</v>
      </c>
    </row>
    <row r="469" spans="1:3" x14ac:dyDescent="0.3">
      <c r="A469" s="35" t="s">
        <v>1193</v>
      </c>
      <c r="B469" s="72" t="s">
        <v>18</v>
      </c>
      <c r="C469" s="73" t="str">
        <f t="shared" si="7"/>
        <v>Courtney White</v>
      </c>
    </row>
    <row r="470" spans="1:3" x14ac:dyDescent="0.3">
      <c r="A470" s="35" t="s">
        <v>1195</v>
      </c>
      <c r="B470" s="72" t="s">
        <v>37</v>
      </c>
      <c r="C470" s="73" t="str">
        <f t="shared" si="7"/>
        <v>Hunter Fernandez</v>
      </c>
    </row>
    <row r="471" spans="1:3" x14ac:dyDescent="0.3">
      <c r="A471" s="35" t="s">
        <v>1197</v>
      </c>
      <c r="B471" s="72" t="s">
        <v>219</v>
      </c>
      <c r="C471" s="73" t="str">
        <f t="shared" si="7"/>
        <v>William Pennington</v>
      </c>
    </row>
    <row r="472" spans="1:3" x14ac:dyDescent="0.3">
      <c r="A472" s="35" t="s">
        <v>1199</v>
      </c>
      <c r="B472" s="72" t="s">
        <v>195</v>
      </c>
      <c r="C472" s="73" t="str">
        <f t="shared" si="7"/>
        <v>Vincent Smith</v>
      </c>
    </row>
    <row r="473" spans="1:3" x14ac:dyDescent="0.3">
      <c r="A473" s="35" t="s">
        <v>1201</v>
      </c>
      <c r="B473" s="72" t="s">
        <v>195</v>
      </c>
      <c r="C473" s="73" t="str">
        <f t="shared" si="7"/>
        <v>Chloe Fisher</v>
      </c>
    </row>
    <row r="474" spans="1:3" x14ac:dyDescent="0.3">
      <c r="A474" s="35" t="s">
        <v>1203</v>
      </c>
      <c r="B474" s="72" t="s">
        <v>30</v>
      </c>
      <c r="C474" s="73" t="str">
        <f t="shared" si="7"/>
        <v>Rebekah Reyes</v>
      </c>
    </row>
    <row r="475" spans="1:3" x14ac:dyDescent="0.3">
      <c r="A475" s="35" t="s">
        <v>1205</v>
      </c>
      <c r="B475" s="72" t="s">
        <v>49</v>
      </c>
      <c r="C475" s="73" t="str">
        <f t="shared" si="7"/>
        <v>Leah Williams</v>
      </c>
    </row>
    <row r="476" spans="1:3" x14ac:dyDescent="0.3">
      <c r="A476" s="35" t="s">
        <v>1207</v>
      </c>
      <c r="B476" s="72" t="s">
        <v>62</v>
      </c>
      <c r="C476" s="73" t="str">
        <f t="shared" si="7"/>
        <v>Gregory Lambert</v>
      </c>
    </row>
    <row r="477" spans="1:3" x14ac:dyDescent="0.3">
      <c r="A477" s="35" t="s">
        <v>1209</v>
      </c>
      <c r="B477" s="72" t="s">
        <v>95</v>
      </c>
      <c r="C477" s="73" t="str">
        <f t="shared" si="7"/>
        <v>Monica Perez</v>
      </c>
    </row>
    <row r="478" spans="1:3" x14ac:dyDescent="0.3">
      <c r="A478" s="35" t="s">
        <v>1211</v>
      </c>
      <c r="B478" s="72" t="s">
        <v>95</v>
      </c>
      <c r="C478" s="73" t="str">
        <f t="shared" si="7"/>
        <v>Wanda Nelson</v>
      </c>
    </row>
    <row r="479" spans="1:3" x14ac:dyDescent="0.3">
      <c r="A479" s="35" t="s">
        <v>1213</v>
      </c>
      <c r="B479" s="72" t="s">
        <v>88</v>
      </c>
      <c r="C479" s="73" t="str">
        <f t="shared" si="7"/>
        <v>Michelle Evans</v>
      </c>
    </row>
    <row r="480" spans="1:3" x14ac:dyDescent="0.3">
      <c r="A480" s="35" t="s">
        <v>1215</v>
      </c>
      <c r="B480" s="72" t="s">
        <v>49</v>
      </c>
      <c r="C480" s="73" t="str">
        <f t="shared" si="7"/>
        <v>Beth Williams</v>
      </c>
    </row>
    <row r="481" spans="1:3" x14ac:dyDescent="0.3">
      <c r="A481" s="35" t="s">
        <v>1217</v>
      </c>
      <c r="B481" s="72" t="s">
        <v>88</v>
      </c>
      <c r="C481" s="73" t="str">
        <f t="shared" si="7"/>
        <v>Michael Lee</v>
      </c>
    </row>
    <row r="482" spans="1:3" x14ac:dyDescent="0.3">
      <c r="A482" s="35" t="s">
        <v>1220</v>
      </c>
      <c r="B482" s="72" t="s">
        <v>139</v>
      </c>
      <c r="C482" s="73" t="str">
        <f t="shared" si="7"/>
        <v>Nicole Bell</v>
      </c>
    </row>
    <row r="483" spans="1:3" x14ac:dyDescent="0.3">
      <c r="A483" s="35" t="s">
        <v>1222</v>
      </c>
      <c r="B483" s="72" t="s">
        <v>49</v>
      </c>
      <c r="C483" s="73" t="str">
        <f t="shared" si="7"/>
        <v>Victor Stephens</v>
      </c>
    </row>
    <row r="484" spans="1:3" x14ac:dyDescent="0.3">
      <c r="A484" s="35" t="s">
        <v>1224</v>
      </c>
      <c r="B484" s="72" t="s">
        <v>42</v>
      </c>
      <c r="C484" s="73" t="str">
        <f t="shared" si="7"/>
        <v>John Martinez</v>
      </c>
    </row>
    <row r="485" spans="1:3" x14ac:dyDescent="0.3">
      <c r="A485" s="35" t="s">
        <v>1226</v>
      </c>
      <c r="B485" s="72" t="s">
        <v>30</v>
      </c>
      <c r="C485" s="73" t="str">
        <f t="shared" si="7"/>
        <v>Ryan Patterson</v>
      </c>
    </row>
    <row r="486" spans="1:3" x14ac:dyDescent="0.3">
      <c r="A486" s="35" t="s">
        <v>1228</v>
      </c>
      <c r="B486" s="72" t="s">
        <v>88</v>
      </c>
      <c r="C486" s="73" t="str">
        <f t="shared" si="7"/>
        <v>Andre Bell</v>
      </c>
    </row>
    <row r="487" spans="1:3" x14ac:dyDescent="0.3">
      <c r="A487" s="35" t="s">
        <v>1230</v>
      </c>
      <c r="B487" s="72" t="s">
        <v>42</v>
      </c>
      <c r="C487" s="73" t="str">
        <f t="shared" si="7"/>
        <v>Jacob Cruz</v>
      </c>
    </row>
    <row r="488" spans="1:3" x14ac:dyDescent="0.3">
      <c r="A488" s="35" t="s">
        <v>1232</v>
      </c>
      <c r="B488" s="72" t="s">
        <v>88</v>
      </c>
      <c r="C488" s="73" t="str">
        <f t="shared" si="7"/>
        <v>Kelly Blanchard</v>
      </c>
    </row>
    <row r="489" spans="1:3" x14ac:dyDescent="0.3">
      <c r="A489" s="35" t="s">
        <v>1234</v>
      </c>
      <c r="B489" s="72" t="s">
        <v>30</v>
      </c>
      <c r="C489" s="73" t="str">
        <f t="shared" si="7"/>
        <v>Thomas Howell</v>
      </c>
    </row>
    <row r="490" spans="1:3" x14ac:dyDescent="0.3">
      <c r="A490" s="35" t="s">
        <v>1236</v>
      </c>
      <c r="B490" s="72" t="s">
        <v>168</v>
      </c>
      <c r="C490" s="73" t="str">
        <f t="shared" si="7"/>
        <v>Marvin Kaufman</v>
      </c>
    </row>
    <row r="491" spans="1:3" x14ac:dyDescent="0.3">
      <c r="A491" s="35" t="s">
        <v>1238</v>
      </c>
      <c r="B491" s="72" t="s">
        <v>95</v>
      </c>
      <c r="C491" s="73" t="str">
        <f t="shared" si="7"/>
        <v>James Caldwell</v>
      </c>
    </row>
    <row r="492" spans="1:3" x14ac:dyDescent="0.3">
      <c r="A492" s="35" t="s">
        <v>1241</v>
      </c>
      <c r="B492" s="72" t="s">
        <v>95</v>
      </c>
      <c r="C492" s="73" t="str">
        <f t="shared" si="7"/>
        <v>Rodney Gibson</v>
      </c>
    </row>
    <row r="493" spans="1:3" x14ac:dyDescent="0.3">
      <c r="A493" s="35" t="s">
        <v>1244</v>
      </c>
      <c r="B493" s="72" t="s">
        <v>95</v>
      </c>
      <c r="C493" s="73" t="str">
        <f t="shared" si="7"/>
        <v>Austin Cole</v>
      </c>
    </row>
    <row r="494" spans="1:3" x14ac:dyDescent="0.3">
      <c r="A494" s="35" t="s">
        <v>1246</v>
      </c>
      <c r="B494" s="72" t="s">
        <v>144</v>
      </c>
      <c r="C494" s="73" t="str">
        <f t="shared" si="7"/>
        <v>Lance Franco</v>
      </c>
    </row>
    <row r="495" spans="1:3" x14ac:dyDescent="0.3">
      <c r="A495" s="35" t="s">
        <v>1248</v>
      </c>
      <c r="B495" s="72" t="s">
        <v>37</v>
      </c>
      <c r="C495" s="73" t="str">
        <f t="shared" si="7"/>
        <v>Christopher Joyce</v>
      </c>
    </row>
    <row r="496" spans="1:3" x14ac:dyDescent="0.3">
      <c r="A496" s="35" t="s">
        <v>1250</v>
      </c>
      <c r="B496" s="72" t="s">
        <v>144</v>
      </c>
      <c r="C496" s="73" t="str">
        <f t="shared" si="7"/>
        <v>Alec Garza</v>
      </c>
    </row>
    <row r="497" spans="1:3" x14ac:dyDescent="0.3">
      <c r="A497" s="35" t="s">
        <v>1253</v>
      </c>
      <c r="B497" s="72" t="s">
        <v>144</v>
      </c>
      <c r="C497" s="73" t="str">
        <f t="shared" si="7"/>
        <v>Adam Guzman</v>
      </c>
    </row>
    <row r="498" spans="1:3" x14ac:dyDescent="0.3">
      <c r="A498" s="35" t="s">
        <v>1255</v>
      </c>
      <c r="B498" s="72" t="s">
        <v>88</v>
      </c>
      <c r="C498" s="73" t="str">
        <f t="shared" si="7"/>
        <v>Angela Camacho</v>
      </c>
    </row>
    <row r="499" spans="1:3" x14ac:dyDescent="0.3">
      <c r="A499" s="35" t="s">
        <v>1257</v>
      </c>
      <c r="B499" s="72" t="s">
        <v>30</v>
      </c>
      <c r="C499" s="73" t="str">
        <f t="shared" si="7"/>
        <v>Ryan Diaz</v>
      </c>
    </row>
    <row r="500" spans="1:3" x14ac:dyDescent="0.3">
      <c r="A500" s="35" t="s">
        <v>1259</v>
      </c>
      <c r="B500" s="72" t="s">
        <v>139</v>
      </c>
      <c r="C500" s="73" t="str">
        <f t="shared" si="7"/>
        <v>Alicia Nunez</v>
      </c>
    </row>
    <row r="501" spans="1:3" x14ac:dyDescent="0.3">
      <c r="A501" s="35" t="s">
        <v>1261</v>
      </c>
      <c r="B501" s="72" t="s">
        <v>37</v>
      </c>
      <c r="C501" s="73" t="str">
        <f t="shared" si="7"/>
        <v>Elizabeth Chambers</v>
      </c>
    </row>
    <row r="502" spans="1:3" x14ac:dyDescent="0.3">
      <c r="A502" s="35" t="s">
        <v>1263</v>
      </c>
      <c r="B502" s="72" t="s">
        <v>144</v>
      </c>
      <c r="C502" s="73" t="str">
        <f t="shared" si="7"/>
        <v>David Greene</v>
      </c>
    </row>
    <row r="503" spans="1:3" x14ac:dyDescent="0.3">
      <c r="A503" s="35" t="s">
        <v>1265</v>
      </c>
      <c r="B503" s="72" t="s">
        <v>37</v>
      </c>
      <c r="C503" s="73" t="str">
        <f t="shared" si="7"/>
        <v>Michael King</v>
      </c>
    </row>
    <row r="504" spans="1:3" x14ac:dyDescent="0.3">
      <c r="A504" s="35" t="s">
        <v>1267</v>
      </c>
      <c r="B504" s="72" t="s">
        <v>168</v>
      </c>
      <c r="C504" s="73" t="str">
        <f t="shared" si="7"/>
        <v>Jenny Taylor</v>
      </c>
    </row>
    <row r="505" spans="1:3" x14ac:dyDescent="0.3">
      <c r="A505" s="35" t="s">
        <v>1270</v>
      </c>
      <c r="B505" s="72" t="s">
        <v>49</v>
      </c>
      <c r="C505" s="73" t="str">
        <f t="shared" si="7"/>
        <v>Thomas Nichols</v>
      </c>
    </row>
    <row r="506" spans="1:3" x14ac:dyDescent="0.3">
      <c r="A506" s="35" t="s">
        <v>1272</v>
      </c>
      <c r="B506" s="72" t="s">
        <v>88</v>
      </c>
      <c r="C506" s="73" t="str">
        <f t="shared" si="7"/>
        <v>Matthew Hoffman</v>
      </c>
    </row>
    <row r="507" spans="1:3" x14ac:dyDescent="0.3">
      <c r="A507" s="35" t="s">
        <v>1274</v>
      </c>
      <c r="B507" s="72" t="s">
        <v>72</v>
      </c>
      <c r="C507" s="73" t="str">
        <f t="shared" si="7"/>
        <v>Dr. Glenn Gaines</v>
      </c>
    </row>
    <row r="508" spans="1:3" x14ac:dyDescent="0.3">
      <c r="A508" s="35" t="s">
        <v>1276</v>
      </c>
      <c r="B508" s="72" t="s">
        <v>42</v>
      </c>
      <c r="C508" s="73" t="str">
        <f t="shared" si="7"/>
        <v>Stephanie Walker</v>
      </c>
    </row>
    <row r="509" spans="1:3" x14ac:dyDescent="0.3">
      <c r="A509" s="35" t="s">
        <v>1278</v>
      </c>
      <c r="B509" s="72" t="s">
        <v>49</v>
      </c>
      <c r="C509" s="73" t="str">
        <f t="shared" si="7"/>
        <v>Brandon Rogers</v>
      </c>
    </row>
    <row r="510" spans="1:3" x14ac:dyDescent="0.3">
      <c r="A510" s="35" t="s">
        <v>1280</v>
      </c>
      <c r="B510" s="72" t="s">
        <v>57</v>
      </c>
      <c r="C510" s="73" t="str">
        <f t="shared" si="7"/>
        <v>Arthur Parker</v>
      </c>
    </row>
    <row r="511" spans="1:3" x14ac:dyDescent="0.3">
      <c r="A511" s="35" t="s">
        <v>1282</v>
      </c>
      <c r="B511" s="72" t="s">
        <v>57</v>
      </c>
      <c r="C511" s="73" t="str">
        <f t="shared" si="7"/>
        <v>Monica Jackson</v>
      </c>
    </row>
    <row r="512" spans="1:3" x14ac:dyDescent="0.3">
      <c r="A512" s="35" t="s">
        <v>1284</v>
      </c>
      <c r="B512" s="72" t="s">
        <v>62</v>
      </c>
      <c r="C512" s="73" t="str">
        <f t="shared" si="7"/>
        <v>Corey Ayala</v>
      </c>
    </row>
    <row r="513" spans="1:3" x14ac:dyDescent="0.3">
      <c r="A513" s="35" t="s">
        <v>1286</v>
      </c>
      <c r="B513" s="72" t="s">
        <v>195</v>
      </c>
      <c r="C513" s="73" t="str">
        <f t="shared" si="7"/>
        <v>Amy Johnson</v>
      </c>
    </row>
    <row r="514" spans="1:3" x14ac:dyDescent="0.3">
      <c r="A514" s="35" t="s">
        <v>1288</v>
      </c>
      <c r="B514" s="72" t="s">
        <v>139</v>
      </c>
      <c r="C514" s="73" t="str">
        <f t="shared" si="7"/>
        <v>Joshua Young</v>
      </c>
    </row>
    <row r="515" spans="1:3" x14ac:dyDescent="0.3">
      <c r="A515" s="35" t="s">
        <v>1290</v>
      </c>
      <c r="B515" s="72" t="s">
        <v>144</v>
      </c>
      <c r="C515" s="73" t="str">
        <f t="shared" si="7"/>
        <v>Alison Williams</v>
      </c>
    </row>
    <row r="516" spans="1:3" x14ac:dyDescent="0.3">
      <c r="A516" s="35" t="s">
        <v>1292</v>
      </c>
      <c r="B516" s="72" t="s">
        <v>57</v>
      </c>
      <c r="C516" s="73" t="str">
        <f t="shared" ref="C516:C579" si="8">HYPERLINK(B516,A516)</f>
        <v>Theresa Huber</v>
      </c>
    </row>
    <row r="517" spans="1:3" x14ac:dyDescent="0.3">
      <c r="A517" s="35" t="s">
        <v>1294</v>
      </c>
      <c r="B517" s="72" t="s">
        <v>72</v>
      </c>
      <c r="C517" s="73" t="str">
        <f t="shared" si="8"/>
        <v>Karen Johnston</v>
      </c>
    </row>
    <row r="518" spans="1:3" x14ac:dyDescent="0.3">
      <c r="A518" s="35" t="s">
        <v>1296</v>
      </c>
      <c r="B518" s="72" t="s">
        <v>95</v>
      </c>
      <c r="C518" s="73" t="str">
        <f t="shared" si="8"/>
        <v>Clayton Green</v>
      </c>
    </row>
    <row r="519" spans="1:3" x14ac:dyDescent="0.3">
      <c r="A519" s="35" t="s">
        <v>1299</v>
      </c>
      <c r="B519" s="72" t="s">
        <v>30</v>
      </c>
      <c r="C519" s="73" t="str">
        <f t="shared" si="8"/>
        <v>Tammy Pham</v>
      </c>
    </row>
    <row r="520" spans="1:3" x14ac:dyDescent="0.3">
      <c r="A520" s="35" t="s">
        <v>1301</v>
      </c>
      <c r="B520" s="72" t="s">
        <v>219</v>
      </c>
      <c r="C520" s="73" t="str">
        <f t="shared" si="8"/>
        <v>Ryan Wallace</v>
      </c>
    </row>
    <row r="521" spans="1:3" x14ac:dyDescent="0.3">
      <c r="A521" s="35" t="s">
        <v>1303</v>
      </c>
      <c r="B521" s="72" t="s">
        <v>139</v>
      </c>
      <c r="C521" s="73" t="str">
        <f t="shared" si="8"/>
        <v>Leslie Moore</v>
      </c>
    </row>
    <row r="522" spans="1:3" x14ac:dyDescent="0.3">
      <c r="A522" s="35" t="s">
        <v>1305</v>
      </c>
      <c r="B522" s="72" t="s">
        <v>139</v>
      </c>
      <c r="C522" s="73" t="str">
        <f t="shared" si="8"/>
        <v>Stephanie Monroe</v>
      </c>
    </row>
    <row r="523" spans="1:3" x14ac:dyDescent="0.3">
      <c r="A523" s="35" t="s">
        <v>1307</v>
      </c>
      <c r="B523" s="72" t="s">
        <v>219</v>
      </c>
      <c r="C523" s="73" t="str">
        <f t="shared" si="8"/>
        <v>Anthony Stevens</v>
      </c>
    </row>
    <row r="524" spans="1:3" x14ac:dyDescent="0.3">
      <c r="A524" s="35" t="s">
        <v>1309</v>
      </c>
      <c r="B524" s="72" t="s">
        <v>195</v>
      </c>
      <c r="C524" s="73" t="str">
        <f t="shared" si="8"/>
        <v>Henry Harris</v>
      </c>
    </row>
    <row r="525" spans="1:3" x14ac:dyDescent="0.3">
      <c r="A525" s="35" t="s">
        <v>1311</v>
      </c>
      <c r="B525" s="72" t="s">
        <v>195</v>
      </c>
      <c r="C525" s="73" t="str">
        <f t="shared" si="8"/>
        <v>Laurie Palmer</v>
      </c>
    </row>
    <row r="526" spans="1:3" x14ac:dyDescent="0.3">
      <c r="A526" s="35" t="s">
        <v>1313</v>
      </c>
      <c r="B526" s="72" t="s">
        <v>168</v>
      </c>
      <c r="C526" s="73" t="str">
        <f t="shared" si="8"/>
        <v>Kyle Scott</v>
      </c>
    </row>
    <row r="527" spans="1:3" x14ac:dyDescent="0.3">
      <c r="A527" s="35" t="s">
        <v>1315</v>
      </c>
      <c r="B527" s="72" t="s">
        <v>219</v>
      </c>
      <c r="C527" s="73" t="str">
        <f t="shared" si="8"/>
        <v>Jimmy Brown</v>
      </c>
    </row>
    <row r="528" spans="1:3" x14ac:dyDescent="0.3">
      <c r="A528" s="35" t="s">
        <v>1317</v>
      </c>
      <c r="B528" s="72" t="s">
        <v>219</v>
      </c>
      <c r="C528" s="73" t="str">
        <f t="shared" si="8"/>
        <v>Joel Doyle</v>
      </c>
    </row>
    <row r="529" spans="1:3" x14ac:dyDescent="0.3">
      <c r="A529" s="35" t="s">
        <v>1319</v>
      </c>
      <c r="B529" s="72" t="s">
        <v>144</v>
      </c>
      <c r="C529" s="73" t="str">
        <f t="shared" si="8"/>
        <v>Ana Chambers</v>
      </c>
    </row>
    <row r="530" spans="1:3" x14ac:dyDescent="0.3">
      <c r="A530" s="35" t="s">
        <v>1321</v>
      </c>
      <c r="B530" s="72" t="s">
        <v>195</v>
      </c>
      <c r="C530" s="73" t="str">
        <f t="shared" si="8"/>
        <v>Teresa Roman</v>
      </c>
    </row>
    <row r="531" spans="1:3" x14ac:dyDescent="0.3">
      <c r="A531" s="35" t="s">
        <v>1324</v>
      </c>
      <c r="B531" s="72" t="s">
        <v>88</v>
      </c>
      <c r="C531" s="73" t="str">
        <f t="shared" si="8"/>
        <v>Mary Williams</v>
      </c>
    </row>
    <row r="532" spans="1:3" x14ac:dyDescent="0.3">
      <c r="A532" s="35" t="s">
        <v>1326</v>
      </c>
      <c r="B532" s="72" t="s">
        <v>139</v>
      </c>
      <c r="C532" s="73" t="str">
        <f t="shared" si="8"/>
        <v>David Perez</v>
      </c>
    </row>
    <row r="533" spans="1:3" x14ac:dyDescent="0.3">
      <c r="A533" s="35" t="s">
        <v>1328</v>
      </c>
      <c r="B533" s="72" t="s">
        <v>42</v>
      </c>
      <c r="C533" s="73" t="str">
        <f t="shared" si="8"/>
        <v>Richard Owens</v>
      </c>
    </row>
    <row r="534" spans="1:3" x14ac:dyDescent="0.3">
      <c r="A534" s="35" t="s">
        <v>1330</v>
      </c>
      <c r="B534" s="72" t="s">
        <v>37</v>
      </c>
      <c r="C534" s="73" t="str">
        <f t="shared" si="8"/>
        <v>Eugene Hall MD</v>
      </c>
    </row>
    <row r="535" spans="1:3" x14ac:dyDescent="0.3">
      <c r="A535" s="35" t="s">
        <v>1332</v>
      </c>
      <c r="B535" s="72" t="s">
        <v>195</v>
      </c>
      <c r="C535" s="73" t="str">
        <f t="shared" si="8"/>
        <v>Alan Chavez MD</v>
      </c>
    </row>
    <row r="536" spans="1:3" x14ac:dyDescent="0.3">
      <c r="A536" s="35" t="s">
        <v>1334</v>
      </c>
      <c r="B536" s="72" t="s">
        <v>219</v>
      </c>
      <c r="C536" s="73" t="str">
        <f t="shared" si="8"/>
        <v>Daniel Hudson</v>
      </c>
    </row>
    <row r="537" spans="1:3" x14ac:dyDescent="0.3">
      <c r="A537" s="35" t="s">
        <v>1336</v>
      </c>
      <c r="B537" s="72" t="s">
        <v>95</v>
      </c>
      <c r="C537" s="73" t="str">
        <f t="shared" si="8"/>
        <v>Tammy Cameron</v>
      </c>
    </row>
    <row r="538" spans="1:3" x14ac:dyDescent="0.3">
      <c r="A538" s="35" t="s">
        <v>1338</v>
      </c>
      <c r="B538" s="72" t="s">
        <v>18</v>
      </c>
      <c r="C538" s="73" t="str">
        <f t="shared" si="8"/>
        <v>Robert Young</v>
      </c>
    </row>
    <row r="539" spans="1:3" x14ac:dyDescent="0.3">
      <c r="A539" s="35" t="s">
        <v>1340</v>
      </c>
      <c r="B539" s="72" t="s">
        <v>49</v>
      </c>
      <c r="C539" s="73" t="str">
        <f t="shared" si="8"/>
        <v>Sandra Andrews</v>
      </c>
    </row>
    <row r="540" spans="1:3" x14ac:dyDescent="0.3">
      <c r="A540" s="35" t="s">
        <v>1343</v>
      </c>
      <c r="B540" s="72" t="s">
        <v>219</v>
      </c>
      <c r="C540" s="73" t="str">
        <f t="shared" si="8"/>
        <v>April Diaz</v>
      </c>
    </row>
    <row r="541" spans="1:3" x14ac:dyDescent="0.3">
      <c r="A541" s="35" t="s">
        <v>1345</v>
      </c>
      <c r="B541" s="72" t="s">
        <v>195</v>
      </c>
      <c r="C541" s="73" t="str">
        <f t="shared" si="8"/>
        <v>Mr. Peter Williams</v>
      </c>
    </row>
    <row r="542" spans="1:3" x14ac:dyDescent="0.3">
      <c r="A542" s="35" t="s">
        <v>1347</v>
      </c>
      <c r="B542" s="72" t="s">
        <v>42</v>
      </c>
      <c r="C542" s="73" t="str">
        <f t="shared" si="8"/>
        <v>Brian Smith</v>
      </c>
    </row>
    <row r="543" spans="1:3" x14ac:dyDescent="0.3">
      <c r="A543" s="35" t="s">
        <v>1349</v>
      </c>
      <c r="B543" s="72" t="s">
        <v>49</v>
      </c>
      <c r="C543" s="73" t="str">
        <f t="shared" si="8"/>
        <v>Jimmy Rivera</v>
      </c>
    </row>
    <row r="544" spans="1:3" x14ac:dyDescent="0.3">
      <c r="A544" s="35" t="s">
        <v>1351</v>
      </c>
      <c r="B544" s="72" t="s">
        <v>57</v>
      </c>
      <c r="C544" s="73" t="str">
        <f t="shared" si="8"/>
        <v>Katrina Boyd</v>
      </c>
    </row>
    <row r="545" spans="1:3" x14ac:dyDescent="0.3">
      <c r="A545" s="35" t="s">
        <v>1353</v>
      </c>
      <c r="B545" s="72" t="s">
        <v>144</v>
      </c>
      <c r="C545" s="73" t="str">
        <f t="shared" si="8"/>
        <v>Nathaniel Brooks</v>
      </c>
    </row>
    <row r="546" spans="1:3" x14ac:dyDescent="0.3">
      <c r="A546" s="35" t="s">
        <v>1355</v>
      </c>
      <c r="B546" s="72" t="s">
        <v>57</v>
      </c>
      <c r="C546" s="73" t="str">
        <f t="shared" si="8"/>
        <v>Karen Owens</v>
      </c>
    </row>
    <row r="547" spans="1:3" x14ac:dyDescent="0.3">
      <c r="A547" s="35" t="s">
        <v>1357</v>
      </c>
      <c r="B547" s="72" t="s">
        <v>42</v>
      </c>
      <c r="C547" s="73" t="str">
        <f t="shared" si="8"/>
        <v>Zachary Underwood</v>
      </c>
    </row>
    <row r="548" spans="1:3" x14ac:dyDescent="0.3">
      <c r="A548" s="35" t="s">
        <v>1359</v>
      </c>
      <c r="B548" s="72" t="s">
        <v>168</v>
      </c>
      <c r="C548" s="73" t="str">
        <f t="shared" si="8"/>
        <v>James Martinez</v>
      </c>
    </row>
    <row r="549" spans="1:3" x14ac:dyDescent="0.3">
      <c r="A549" s="35" t="s">
        <v>1361</v>
      </c>
      <c r="B549" s="72" t="s">
        <v>139</v>
      </c>
      <c r="C549" s="73" t="str">
        <f t="shared" si="8"/>
        <v>Douglas Palmer</v>
      </c>
    </row>
    <row r="550" spans="1:3" x14ac:dyDescent="0.3">
      <c r="A550" s="35" t="s">
        <v>1363</v>
      </c>
      <c r="B550" s="72" t="s">
        <v>57</v>
      </c>
      <c r="C550" s="73" t="str">
        <f t="shared" si="8"/>
        <v>Samuel Peterson</v>
      </c>
    </row>
    <row r="551" spans="1:3" x14ac:dyDescent="0.3">
      <c r="A551" s="35" t="s">
        <v>1365</v>
      </c>
      <c r="B551" s="72" t="s">
        <v>139</v>
      </c>
      <c r="C551" s="73" t="str">
        <f t="shared" si="8"/>
        <v>Dawn Henderson</v>
      </c>
    </row>
    <row r="552" spans="1:3" x14ac:dyDescent="0.3">
      <c r="A552" s="35" t="s">
        <v>1367</v>
      </c>
      <c r="B552" s="72" t="s">
        <v>30</v>
      </c>
      <c r="C552" s="73" t="str">
        <f t="shared" si="8"/>
        <v>Amber Gillespie</v>
      </c>
    </row>
    <row r="553" spans="1:3" x14ac:dyDescent="0.3">
      <c r="A553" s="35" t="s">
        <v>1369</v>
      </c>
      <c r="B553" s="72" t="s">
        <v>42</v>
      </c>
      <c r="C553" s="73" t="str">
        <f t="shared" si="8"/>
        <v>Colton Atkins</v>
      </c>
    </row>
    <row r="554" spans="1:3" x14ac:dyDescent="0.3">
      <c r="A554" s="35" t="s">
        <v>1372</v>
      </c>
      <c r="B554" s="72" t="s">
        <v>49</v>
      </c>
      <c r="C554" s="73" t="str">
        <f t="shared" si="8"/>
        <v>Matthew Juarez</v>
      </c>
    </row>
    <row r="555" spans="1:3" x14ac:dyDescent="0.3">
      <c r="A555" s="35" t="s">
        <v>1374</v>
      </c>
      <c r="B555" s="72" t="s">
        <v>49</v>
      </c>
      <c r="C555" s="73" t="str">
        <f t="shared" si="8"/>
        <v>Nathaniel Hernandez</v>
      </c>
    </row>
    <row r="556" spans="1:3" x14ac:dyDescent="0.3">
      <c r="A556" s="35" t="s">
        <v>1376</v>
      </c>
      <c r="B556" s="72" t="s">
        <v>30</v>
      </c>
      <c r="C556" s="73" t="str">
        <f t="shared" si="8"/>
        <v>Sylvia Hamilton</v>
      </c>
    </row>
    <row r="557" spans="1:3" x14ac:dyDescent="0.3">
      <c r="A557" s="35" t="s">
        <v>1379</v>
      </c>
      <c r="B557" s="72" t="s">
        <v>168</v>
      </c>
      <c r="C557" s="73" t="str">
        <f t="shared" si="8"/>
        <v>Tara Robertson</v>
      </c>
    </row>
    <row r="558" spans="1:3" x14ac:dyDescent="0.3">
      <c r="A558" s="35" t="s">
        <v>1381</v>
      </c>
      <c r="B558" s="72" t="s">
        <v>18</v>
      </c>
      <c r="C558" s="73" t="str">
        <f t="shared" si="8"/>
        <v>Sonya Park</v>
      </c>
    </row>
    <row r="559" spans="1:3" x14ac:dyDescent="0.3">
      <c r="A559" s="35" t="s">
        <v>1383</v>
      </c>
      <c r="B559" s="72" t="s">
        <v>168</v>
      </c>
      <c r="C559" s="73" t="str">
        <f t="shared" si="8"/>
        <v>Maria Foster</v>
      </c>
    </row>
    <row r="560" spans="1:3" x14ac:dyDescent="0.3">
      <c r="A560" s="35" t="s">
        <v>1385</v>
      </c>
      <c r="B560" s="72" t="s">
        <v>168</v>
      </c>
      <c r="C560" s="73" t="str">
        <f t="shared" si="8"/>
        <v>Parker Mitchell</v>
      </c>
    </row>
    <row r="561" spans="1:3" x14ac:dyDescent="0.3">
      <c r="A561" s="35" t="s">
        <v>1387</v>
      </c>
      <c r="B561" s="72" t="s">
        <v>144</v>
      </c>
      <c r="C561" s="73" t="str">
        <f t="shared" si="8"/>
        <v>Emily Novak</v>
      </c>
    </row>
    <row r="562" spans="1:3" x14ac:dyDescent="0.3">
      <c r="A562" s="35" t="s">
        <v>1389</v>
      </c>
      <c r="B562" s="72" t="s">
        <v>219</v>
      </c>
      <c r="C562" s="73" t="str">
        <f t="shared" si="8"/>
        <v>Richard Gibson</v>
      </c>
    </row>
    <row r="563" spans="1:3" x14ac:dyDescent="0.3">
      <c r="A563" s="35" t="s">
        <v>1392</v>
      </c>
      <c r="B563" s="72" t="s">
        <v>62</v>
      </c>
      <c r="C563" s="73" t="str">
        <f t="shared" si="8"/>
        <v>Joy Lewis</v>
      </c>
    </row>
    <row r="564" spans="1:3" x14ac:dyDescent="0.3">
      <c r="A564" s="35" t="s">
        <v>1394</v>
      </c>
      <c r="B564" s="72" t="s">
        <v>88</v>
      </c>
      <c r="C564" s="73" t="str">
        <f t="shared" si="8"/>
        <v>William Scott</v>
      </c>
    </row>
    <row r="565" spans="1:3" x14ac:dyDescent="0.3">
      <c r="A565" s="35" t="s">
        <v>1397</v>
      </c>
      <c r="B565" s="72" t="s">
        <v>195</v>
      </c>
      <c r="C565" s="73" t="str">
        <f t="shared" si="8"/>
        <v>Edward Bates</v>
      </c>
    </row>
    <row r="566" spans="1:3" x14ac:dyDescent="0.3">
      <c r="A566" s="35" t="s">
        <v>1399</v>
      </c>
      <c r="B566" s="72" t="s">
        <v>57</v>
      </c>
      <c r="C566" s="73" t="str">
        <f t="shared" si="8"/>
        <v>Susan Navarro</v>
      </c>
    </row>
    <row r="567" spans="1:3" x14ac:dyDescent="0.3">
      <c r="A567" s="35" t="s">
        <v>1401</v>
      </c>
      <c r="B567" s="72" t="s">
        <v>62</v>
      </c>
      <c r="C567" s="73" t="str">
        <f t="shared" si="8"/>
        <v>Jessica Adams</v>
      </c>
    </row>
    <row r="568" spans="1:3" x14ac:dyDescent="0.3">
      <c r="A568" s="35" t="s">
        <v>1403</v>
      </c>
      <c r="B568" s="72" t="s">
        <v>42</v>
      </c>
      <c r="C568" s="73" t="str">
        <f t="shared" si="8"/>
        <v>Taylor Anderson</v>
      </c>
    </row>
    <row r="569" spans="1:3" x14ac:dyDescent="0.3">
      <c r="A569" s="35" t="s">
        <v>1405</v>
      </c>
      <c r="B569" s="72" t="s">
        <v>49</v>
      </c>
      <c r="C569" s="73" t="str">
        <f t="shared" si="8"/>
        <v>Colleen Prince</v>
      </c>
    </row>
    <row r="570" spans="1:3" x14ac:dyDescent="0.3">
      <c r="A570" s="35" t="s">
        <v>1407</v>
      </c>
      <c r="B570" s="72" t="s">
        <v>62</v>
      </c>
      <c r="C570" s="73" t="str">
        <f t="shared" si="8"/>
        <v>Mark Williams</v>
      </c>
    </row>
    <row r="571" spans="1:3" x14ac:dyDescent="0.3">
      <c r="A571" s="35" t="s">
        <v>1409</v>
      </c>
      <c r="B571" s="72" t="s">
        <v>72</v>
      </c>
      <c r="C571" s="73" t="str">
        <f t="shared" si="8"/>
        <v>Rachel Pham</v>
      </c>
    </row>
    <row r="572" spans="1:3" x14ac:dyDescent="0.3">
      <c r="A572" s="35" t="s">
        <v>1411</v>
      </c>
      <c r="B572" s="72" t="s">
        <v>18</v>
      </c>
      <c r="C572" s="73" t="str">
        <f t="shared" si="8"/>
        <v>Michael Richards</v>
      </c>
    </row>
    <row r="573" spans="1:3" x14ac:dyDescent="0.3">
      <c r="A573" s="35" t="s">
        <v>1413</v>
      </c>
      <c r="B573" s="72" t="s">
        <v>30</v>
      </c>
      <c r="C573" s="73" t="str">
        <f t="shared" si="8"/>
        <v>Michael Robinson</v>
      </c>
    </row>
    <row r="574" spans="1:3" x14ac:dyDescent="0.3">
      <c r="A574" s="35" t="s">
        <v>1415</v>
      </c>
      <c r="B574" s="72" t="s">
        <v>18</v>
      </c>
      <c r="C574" s="73" t="str">
        <f t="shared" si="8"/>
        <v>Stephanie Smith</v>
      </c>
    </row>
    <row r="575" spans="1:3" x14ac:dyDescent="0.3">
      <c r="A575" s="35" t="s">
        <v>1417</v>
      </c>
      <c r="B575" s="72" t="s">
        <v>72</v>
      </c>
      <c r="C575" s="73" t="str">
        <f t="shared" si="8"/>
        <v>Kathy Lowe</v>
      </c>
    </row>
    <row r="576" spans="1:3" x14ac:dyDescent="0.3">
      <c r="A576" s="35" t="s">
        <v>1419</v>
      </c>
      <c r="B576" s="72" t="s">
        <v>195</v>
      </c>
      <c r="C576" s="73" t="str">
        <f t="shared" si="8"/>
        <v>Michael Hall</v>
      </c>
    </row>
    <row r="577" spans="1:3" x14ac:dyDescent="0.3">
      <c r="A577" s="35" t="s">
        <v>1421</v>
      </c>
      <c r="B577" s="72" t="s">
        <v>37</v>
      </c>
      <c r="C577" s="73" t="str">
        <f t="shared" si="8"/>
        <v>Tiffany Heath</v>
      </c>
    </row>
    <row r="578" spans="1:3" x14ac:dyDescent="0.3">
      <c r="A578" s="35" t="s">
        <v>1423</v>
      </c>
      <c r="B578" s="72" t="s">
        <v>72</v>
      </c>
      <c r="C578" s="73" t="str">
        <f t="shared" si="8"/>
        <v>Ann Brown</v>
      </c>
    </row>
    <row r="579" spans="1:3" x14ac:dyDescent="0.3">
      <c r="A579" s="35" t="s">
        <v>1425</v>
      </c>
      <c r="B579" s="72" t="s">
        <v>62</v>
      </c>
      <c r="C579" s="73" t="str">
        <f t="shared" si="8"/>
        <v>Colleen Lane</v>
      </c>
    </row>
    <row r="580" spans="1:3" x14ac:dyDescent="0.3">
      <c r="A580" s="35" t="s">
        <v>1427</v>
      </c>
      <c r="B580" s="72" t="s">
        <v>144</v>
      </c>
      <c r="C580" s="73" t="str">
        <f t="shared" ref="C580:C643" si="9">HYPERLINK(B580,A580)</f>
        <v>Christian Willis</v>
      </c>
    </row>
    <row r="581" spans="1:3" x14ac:dyDescent="0.3">
      <c r="A581" s="35" t="s">
        <v>1429</v>
      </c>
      <c r="B581" s="72" t="s">
        <v>18</v>
      </c>
      <c r="C581" s="73" t="str">
        <f t="shared" si="9"/>
        <v>Colleen Fisher</v>
      </c>
    </row>
    <row r="582" spans="1:3" x14ac:dyDescent="0.3">
      <c r="A582" s="35" t="s">
        <v>1431</v>
      </c>
      <c r="B582" s="72" t="s">
        <v>57</v>
      </c>
      <c r="C582" s="73" t="str">
        <f t="shared" si="9"/>
        <v>Todd Anderson</v>
      </c>
    </row>
    <row r="583" spans="1:3" x14ac:dyDescent="0.3">
      <c r="A583" s="35" t="s">
        <v>1433</v>
      </c>
      <c r="B583" s="72" t="s">
        <v>37</v>
      </c>
      <c r="C583" s="73" t="str">
        <f t="shared" si="9"/>
        <v>Jonathan Howe</v>
      </c>
    </row>
    <row r="584" spans="1:3" x14ac:dyDescent="0.3">
      <c r="A584" s="35" t="s">
        <v>1435</v>
      </c>
      <c r="B584" s="72" t="s">
        <v>72</v>
      </c>
      <c r="C584" s="73" t="str">
        <f t="shared" si="9"/>
        <v>Shelia Garza</v>
      </c>
    </row>
    <row r="585" spans="1:3" x14ac:dyDescent="0.3">
      <c r="A585" s="35" t="s">
        <v>1437</v>
      </c>
      <c r="B585" s="72" t="s">
        <v>42</v>
      </c>
      <c r="C585" s="73" t="str">
        <f t="shared" si="9"/>
        <v>Jack Williams</v>
      </c>
    </row>
    <row r="586" spans="1:3" x14ac:dyDescent="0.3">
      <c r="A586" s="35" t="s">
        <v>1439</v>
      </c>
      <c r="B586" s="72" t="s">
        <v>195</v>
      </c>
      <c r="C586" s="73" t="str">
        <f t="shared" si="9"/>
        <v>Terry Velasquez</v>
      </c>
    </row>
    <row r="587" spans="1:3" x14ac:dyDescent="0.3">
      <c r="A587" s="35" t="s">
        <v>1441</v>
      </c>
      <c r="B587" s="72" t="s">
        <v>72</v>
      </c>
      <c r="C587" s="73" t="str">
        <f t="shared" si="9"/>
        <v>Richard Wright</v>
      </c>
    </row>
    <row r="588" spans="1:3" x14ac:dyDescent="0.3">
      <c r="A588" s="35" t="s">
        <v>1443</v>
      </c>
      <c r="B588" s="72" t="s">
        <v>57</v>
      </c>
      <c r="C588" s="73" t="str">
        <f t="shared" si="9"/>
        <v>Terri Carroll</v>
      </c>
    </row>
    <row r="589" spans="1:3" x14ac:dyDescent="0.3">
      <c r="A589" s="35" t="s">
        <v>1445</v>
      </c>
      <c r="B589" s="72" t="s">
        <v>37</v>
      </c>
      <c r="C589" s="73" t="str">
        <f t="shared" si="9"/>
        <v>Wayne Kelly</v>
      </c>
    </row>
    <row r="590" spans="1:3" x14ac:dyDescent="0.3">
      <c r="A590" s="35" t="s">
        <v>1447</v>
      </c>
      <c r="B590" s="72" t="s">
        <v>30</v>
      </c>
      <c r="C590" s="73" t="str">
        <f t="shared" si="9"/>
        <v>Jessica Burch</v>
      </c>
    </row>
    <row r="591" spans="1:3" x14ac:dyDescent="0.3">
      <c r="A591" s="35" t="s">
        <v>1449</v>
      </c>
      <c r="B591" s="72" t="s">
        <v>168</v>
      </c>
      <c r="C591" s="73" t="str">
        <f t="shared" si="9"/>
        <v>Amanda Stevens</v>
      </c>
    </row>
    <row r="592" spans="1:3" x14ac:dyDescent="0.3">
      <c r="A592" s="35" t="s">
        <v>1451</v>
      </c>
      <c r="B592" s="72" t="s">
        <v>144</v>
      </c>
      <c r="C592" s="73" t="str">
        <f t="shared" si="9"/>
        <v>Alan Clark</v>
      </c>
    </row>
    <row r="593" spans="1:3" x14ac:dyDescent="0.3">
      <c r="A593" s="35" t="s">
        <v>1453</v>
      </c>
      <c r="B593" s="72" t="s">
        <v>139</v>
      </c>
      <c r="C593" s="73" t="str">
        <f t="shared" si="9"/>
        <v>Jacob Harris</v>
      </c>
    </row>
    <row r="594" spans="1:3" x14ac:dyDescent="0.3">
      <c r="A594" s="35" t="s">
        <v>1455</v>
      </c>
      <c r="B594" s="72" t="s">
        <v>42</v>
      </c>
      <c r="C594" s="73" t="str">
        <f t="shared" si="9"/>
        <v>Sarah Jackson</v>
      </c>
    </row>
    <row r="595" spans="1:3" x14ac:dyDescent="0.3">
      <c r="A595" s="35" t="s">
        <v>1457</v>
      </c>
      <c r="B595" s="72" t="s">
        <v>219</v>
      </c>
      <c r="C595" s="73" t="str">
        <f t="shared" si="9"/>
        <v>Mrs. Patricia Gaines</v>
      </c>
    </row>
    <row r="596" spans="1:3" x14ac:dyDescent="0.3">
      <c r="A596" s="35" t="s">
        <v>1459</v>
      </c>
      <c r="B596" s="72" t="s">
        <v>42</v>
      </c>
      <c r="C596" s="73" t="str">
        <f t="shared" si="9"/>
        <v>Jessica Hall</v>
      </c>
    </row>
    <row r="597" spans="1:3" x14ac:dyDescent="0.3">
      <c r="A597" s="35" t="s">
        <v>1461</v>
      </c>
      <c r="B597" s="72" t="s">
        <v>49</v>
      </c>
      <c r="C597" s="73" t="str">
        <f t="shared" si="9"/>
        <v>Christina Thomas</v>
      </c>
    </row>
    <row r="598" spans="1:3" x14ac:dyDescent="0.3">
      <c r="A598" s="35" t="s">
        <v>1463</v>
      </c>
      <c r="B598" s="72" t="s">
        <v>18</v>
      </c>
      <c r="C598" s="73" t="str">
        <f t="shared" si="9"/>
        <v>Nicole Austin</v>
      </c>
    </row>
    <row r="599" spans="1:3" x14ac:dyDescent="0.3">
      <c r="A599" s="35" t="s">
        <v>1465</v>
      </c>
      <c r="B599" s="72" t="s">
        <v>195</v>
      </c>
      <c r="C599" s="73" t="str">
        <f t="shared" si="9"/>
        <v>Catherine Shaw</v>
      </c>
    </row>
    <row r="600" spans="1:3" x14ac:dyDescent="0.3">
      <c r="A600" s="35" t="s">
        <v>1467</v>
      </c>
      <c r="B600" s="72" t="s">
        <v>195</v>
      </c>
      <c r="C600" s="73" t="str">
        <f t="shared" si="9"/>
        <v>Caroline Taylor</v>
      </c>
    </row>
    <row r="601" spans="1:3" x14ac:dyDescent="0.3">
      <c r="A601" s="35" t="s">
        <v>1469</v>
      </c>
      <c r="B601" s="72" t="s">
        <v>62</v>
      </c>
      <c r="C601" s="73" t="str">
        <f t="shared" si="9"/>
        <v>Jordan Harris</v>
      </c>
    </row>
    <row r="602" spans="1:3" x14ac:dyDescent="0.3">
      <c r="A602" s="35" t="s">
        <v>1471</v>
      </c>
      <c r="B602" s="72" t="s">
        <v>62</v>
      </c>
      <c r="C602" s="73" t="str">
        <f t="shared" si="9"/>
        <v>Amber Shaw</v>
      </c>
    </row>
    <row r="603" spans="1:3" x14ac:dyDescent="0.3">
      <c r="A603" s="35" t="s">
        <v>1473</v>
      </c>
      <c r="B603" s="72" t="s">
        <v>37</v>
      </c>
      <c r="C603" s="73" t="str">
        <f t="shared" si="9"/>
        <v>Tracy Harris</v>
      </c>
    </row>
    <row r="604" spans="1:3" x14ac:dyDescent="0.3">
      <c r="A604" s="35" t="s">
        <v>1475</v>
      </c>
      <c r="B604" s="72" t="s">
        <v>42</v>
      </c>
      <c r="C604" s="73" t="str">
        <f t="shared" si="9"/>
        <v>Timothy Kramer</v>
      </c>
    </row>
    <row r="605" spans="1:3" x14ac:dyDescent="0.3">
      <c r="A605" s="35" t="s">
        <v>1477</v>
      </c>
      <c r="B605" s="72" t="s">
        <v>139</v>
      </c>
      <c r="C605" s="73" t="str">
        <f t="shared" si="9"/>
        <v>Dawn Collins</v>
      </c>
    </row>
    <row r="606" spans="1:3" x14ac:dyDescent="0.3">
      <c r="A606" s="35" t="s">
        <v>1479</v>
      </c>
      <c r="B606" s="72" t="s">
        <v>30</v>
      </c>
      <c r="C606" s="73" t="str">
        <f t="shared" si="9"/>
        <v>Kevin Lewis</v>
      </c>
    </row>
    <row r="607" spans="1:3" x14ac:dyDescent="0.3">
      <c r="A607" s="35" t="s">
        <v>1481</v>
      </c>
      <c r="B607" s="72" t="s">
        <v>49</v>
      </c>
      <c r="C607" s="73" t="str">
        <f t="shared" si="9"/>
        <v>Denise Jones</v>
      </c>
    </row>
    <row r="608" spans="1:3" x14ac:dyDescent="0.3">
      <c r="A608" s="35" t="s">
        <v>1483</v>
      </c>
      <c r="B608" s="72" t="s">
        <v>62</v>
      </c>
      <c r="C608" s="73" t="str">
        <f t="shared" si="9"/>
        <v>Michael Gamble</v>
      </c>
    </row>
    <row r="609" spans="1:3" x14ac:dyDescent="0.3">
      <c r="A609" s="35" t="s">
        <v>1485</v>
      </c>
      <c r="B609" s="72" t="s">
        <v>42</v>
      </c>
      <c r="C609" s="73" t="str">
        <f t="shared" si="9"/>
        <v>Adam Marshall</v>
      </c>
    </row>
    <row r="610" spans="1:3" x14ac:dyDescent="0.3">
      <c r="A610" s="35" t="s">
        <v>1487</v>
      </c>
      <c r="B610" s="72" t="s">
        <v>95</v>
      </c>
      <c r="C610" s="73" t="str">
        <f t="shared" si="9"/>
        <v>Patricia Bartlett</v>
      </c>
    </row>
    <row r="611" spans="1:3" x14ac:dyDescent="0.3">
      <c r="A611" s="35" t="s">
        <v>1489</v>
      </c>
      <c r="B611" s="72" t="s">
        <v>88</v>
      </c>
      <c r="C611" s="73" t="str">
        <f t="shared" si="9"/>
        <v>Frank Wilson</v>
      </c>
    </row>
    <row r="612" spans="1:3" x14ac:dyDescent="0.3">
      <c r="A612" s="35" t="s">
        <v>1491</v>
      </c>
      <c r="B612" s="72" t="s">
        <v>144</v>
      </c>
      <c r="C612" s="73" t="str">
        <f t="shared" si="9"/>
        <v>Martin Zuniga</v>
      </c>
    </row>
    <row r="613" spans="1:3" x14ac:dyDescent="0.3">
      <c r="A613" s="35" t="s">
        <v>1493</v>
      </c>
      <c r="B613" s="72" t="s">
        <v>18</v>
      </c>
      <c r="C613" s="73" t="str">
        <f t="shared" si="9"/>
        <v>Michelle Bush</v>
      </c>
    </row>
    <row r="614" spans="1:3" x14ac:dyDescent="0.3">
      <c r="A614" s="35" t="s">
        <v>1495</v>
      </c>
      <c r="B614" s="72" t="s">
        <v>219</v>
      </c>
      <c r="C614" s="73" t="str">
        <f t="shared" si="9"/>
        <v>Maxwell Cox</v>
      </c>
    </row>
    <row r="615" spans="1:3" x14ac:dyDescent="0.3">
      <c r="A615" s="35" t="s">
        <v>1497</v>
      </c>
      <c r="B615" s="72" t="s">
        <v>62</v>
      </c>
      <c r="C615" s="73" t="str">
        <f t="shared" si="9"/>
        <v>Grace Anderson</v>
      </c>
    </row>
    <row r="616" spans="1:3" x14ac:dyDescent="0.3">
      <c r="A616" s="35" t="s">
        <v>1499</v>
      </c>
      <c r="B616" s="72" t="s">
        <v>37</v>
      </c>
      <c r="C616" s="73" t="str">
        <f t="shared" si="9"/>
        <v>Brett Palmer DDS</v>
      </c>
    </row>
    <row r="617" spans="1:3" x14ac:dyDescent="0.3">
      <c r="A617" s="35" t="s">
        <v>1501</v>
      </c>
      <c r="B617" s="72" t="s">
        <v>62</v>
      </c>
      <c r="C617" s="73" t="str">
        <f t="shared" si="9"/>
        <v>Richard Allen</v>
      </c>
    </row>
    <row r="618" spans="1:3" x14ac:dyDescent="0.3">
      <c r="A618" s="35" t="s">
        <v>1503</v>
      </c>
      <c r="B618" s="72" t="s">
        <v>144</v>
      </c>
      <c r="C618" s="73" t="str">
        <f t="shared" si="9"/>
        <v>Terry Thomas</v>
      </c>
    </row>
    <row r="619" spans="1:3" x14ac:dyDescent="0.3">
      <c r="A619" s="35" t="s">
        <v>1505</v>
      </c>
      <c r="B619" s="72" t="s">
        <v>195</v>
      </c>
      <c r="C619" s="73" t="str">
        <f t="shared" si="9"/>
        <v>Dr. Kristin Smith</v>
      </c>
    </row>
    <row r="620" spans="1:3" x14ac:dyDescent="0.3">
      <c r="A620" s="35" t="s">
        <v>1507</v>
      </c>
      <c r="B620" s="72" t="s">
        <v>30</v>
      </c>
      <c r="C620" s="73" t="str">
        <f t="shared" si="9"/>
        <v>John Wood</v>
      </c>
    </row>
    <row r="621" spans="1:3" x14ac:dyDescent="0.3">
      <c r="A621" s="35" t="s">
        <v>1510</v>
      </c>
      <c r="B621" s="72" t="s">
        <v>168</v>
      </c>
      <c r="C621" s="73" t="str">
        <f t="shared" si="9"/>
        <v>Jillian Daniel</v>
      </c>
    </row>
    <row r="622" spans="1:3" x14ac:dyDescent="0.3">
      <c r="A622" s="35" t="s">
        <v>1512</v>
      </c>
      <c r="B622" s="72" t="s">
        <v>62</v>
      </c>
      <c r="C622" s="73" t="str">
        <f t="shared" si="9"/>
        <v>Heather May</v>
      </c>
    </row>
    <row r="623" spans="1:3" x14ac:dyDescent="0.3">
      <c r="A623" s="35" t="s">
        <v>1514</v>
      </c>
      <c r="B623" s="72" t="s">
        <v>30</v>
      </c>
      <c r="C623" s="73" t="str">
        <f t="shared" si="9"/>
        <v>Gene Navarro</v>
      </c>
    </row>
    <row r="624" spans="1:3" x14ac:dyDescent="0.3">
      <c r="A624" s="35" t="s">
        <v>1516</v>
      </c>
      <c r="B624" s="72" t="s">
        <v>30</v>
      </c>
      <c r="C624" s="73" t="str">
        <f t="shared" si="9"/>
        <v>Cheryl Santos</v>
      </c>
    </row>
    <row r="625" spans="1:3" x14ac:dyDescent="0.3">
      <c r="A625" s="35" t="s">
        <v>1518</v>
      </c>
      <c r="B625" s="72" t="s">
        <v>18</v>
      </c>
      <c r="C625" s="73" t="str">
        <f t="shared" si="9"/>
        <v>Gina Martinez</v>
      </c>
    </row>
    <row r="626" spans="1:3" x14ac:dyDescent="0.3">
      <c r="A626" s="35" t="s">
        <v>1520</v>
      </c>
      <c r="B626" s="72" t="s">
        <v>95</v>
      </c>
      <c r="C626" s="73" t="str">
        <f t="shared" si="9"/>
        <v>Jacob Burgess PhD</v>
      </c>
    </row>
    <row r="627" spans="1:3" x14ac:dyDescent="0.3">
      <c r="A627" s="35" t="s">
        <v>1522</v>
      </c>
      <c r="B627" s="72" t="s">
        <v>72</v>
      </c>
      <c r="C627" s="73" t="str">
        <f t="shared" si="9"/>
        <v>Maria Moody</v>
      </c>
    </row>
    <row r="628" spans="1:3" x14ac:dyDescent="0.3">
      <c r="A628" s="35" t="s">
        <v>1524</v>
      </c>
      <c r="B628" s="72" t="s">
        <v>57</v>
      </c>
      <c r="C628" s="73" t="str">
        <f t="shared" si="9"/>
        <v>Dylan Sosa</v>
      </c>
    </row>
    <row r="629" spans="1:3" x14ac:dyDescent="0.3">
      <c r="A629" s="35" t="s">
        <v>390</v>
      </c>
      <c r="B629" s="72" t="s">
        <v>42</v>
      </c>
      <c r="C629" s="73" t="str">
        <f t="shared" si="9"/>
        <v>Ashley Robinson</v>
      </c>
    </row>
    <row r="630" spans="1:3" x14ac:dyDescent="0.3">
      <c r="A630" s="35" t="s">
        <v>1527</v>
      </c>
      <c r="B630" s="72" t="s">
        <v>139</v>
      </c>
      <c r="C630" s="73" t="str">
        <f t="shared" si="9"/>
        <v>Jennifer Taylor</v>
      </c>
    </row>
    <row r="631" spans="1:3" x14ac:dyDescent="0.3">
      <c r="A631" s="35" t="s">
        <v>1529</v>
      </c>
      <c r="B631" s="72" t="s">
        <v>49</v>
      </c>
      <c r="C631" s="73" t="str">
        <f t="shared" si="9"/>
        <v>Mrs. Kimberly Pitts MD</v>
      </c>
    </row>
    <row r="632" spans="1:3" x14ac:dyDescent="0.3">
      <c r="A632" s="35" t="s">
        <v>1531</v>
      </c>
      <c r="B632" s="72" t="s">
        <v>18</v>
      </c>
      <c r="C632" s="73" t="str">
        <f t="shared" si="9"/>
        <v>John Johnson</v>
      </c>
    </row>
    <row r="633" spans="1:3" x14ac:dyDescent="0.3">
      <c r="A633" s="35" t="s">
        <v>1533</v>
      </c>
      <c r="B633" s="72" t="s">
        <v>49</v>
      </c>
      <c r="C633" s="73" t="str">
        <f t="shared" si="9"/>
        <v>Janet Phillips</v>
      </c>
    </row>
    <row r="634" spans="1:3" x14ac:dyDescent="0.3">
      <c r="A634" s="35" t="s">
        <v>1535</v>
      </c>
      <c r="B634" s="72" t="s">
        <v>219</v>
      </c>
      <c r="C634" s="73" t="str">
        <f t="shared" si="9"/>
        <v>Leslie Smith</v>
      </c>
    </row>
    <row r="635" spans="1:3" x14ac:dyDescent="0.3">
      <c r="A635" s="35" t="s">
        <v>1537</v>
      </c>
      <c r="B635" s="72" t="s">
        <v>62</v>
      </c>
      <c r="C635" s="73" t="str">
        <f t="shared" si="9"/>
        <v>Angela Berger</v>
      </c>
    </row>
    <row r="636" spans="1:3" x14ac:dyDescent="0.3">
      <c r="A636" s="35" t="s">
        <v>1539</v>
      </c>
      <c r="B636" s="72" t="s">
        <v>72</v>
      </c>
      <c r="C636" s="73" t="str">
        <f t="shared" si="9"/>
        <v>Jordan Young</v>
      </c>
    </row>
    <row r="637" spans="1:3" x14ac:dyDescent="0.3">
      <c r="A637" s="35" t="s">
        <v>1541</v>
      </c>
      <c r="B637" s="72" t="s">
        <v>139</v>
      </c>
      <c r="C637" s="73" t="str">
        <f t="shared" si="9"/>
        <v>Joseph Richardson</v>
      </c>
    </row>
    <row r="638" spans="1:3" x14ac:dyDescent="0.3">
      <c r="A638" s="35" t="s">
        <v>1544</v>
      </c>
      <c r="B638" s="72" t="s">
        <v>88</v>
      </c>
      <c r="C638" s="73" t="str">
        <f t="shared" si="9"/>
        <v>Thomas Brooks</v>
      </c>
    </row>
    <row r="639" spans="1:3" x14ac:dyDescent="0.3">
      <c r="A639" s="35" t="s">
        <v>1546</v>
      </c>
      <c r="B639" s="72" t="s">
        <v>195</v>
      </c>
      <c r="C639" s="73" t="str">
        <f t="shared" si="9"/>
        <v>Timothy Edwards</v>
      </c>
    </row>
    <row r="640" spans="1:3" x14ac:dyDescent="0.3">
      <c r="A640" s="35" t="s">
        <v>1548</v>
      </c>
      <c r="B640" s="72" t="s">
        <v>49</v>
      </c>
      <c r="C640" s="73" t="str">
        <f t="shared" si="9"/>
        <v>Daniel Riley</v>
      </c>
    </row>
    <row r="641" spans="1:3" x14ac:dyDescent="0.3">
      <c r="A641" s="35" t="s">
        <v>1550</v>
      </c>
      <c r="B641" s="72" t="s">
        <v>30</v>
      </c>
      <c r="C641" s="73" t="str">
        <f t="shared" si="9"/>
        <v>Mariah Scott</v>
      </c>
    </row>
    <row r="642" spans="1:3" x14ac:dyDescent="0.3">
      <c r="A642" s="35" t="s">
        <v>1552</v>
      </c>
      <c r="B642" s="72" t="s">
        <v>139</v>
      </c>
      <c r="C642" s="73" t="str">
        <f t="shared" si="9"/>
        <v>Haley Mckinney</v>
      </c>
    </row>
    <row r="643" spans="1:3" x14ac:dyDescent="0.3">
      <c r="A643" s="35" t="s">
        <v>1554</v>
      </c>
      <c r="B643" s="72" t="s">
        <v>144</v>
      </c>
      <c r="C643" s="73" t="str">
        <f t="shared" si="9"/>
        <v>Sharon Romero</v>
      </c>
    </row>
    <row r="644" spans="1:3" x14ac:dyDescent="0.3">
      <c r="A644" s="35" t="s">
        <v>1556</v>
      </c>
      <c r="B644" s="72" t="s">
        <v>139</v>
      </c>
      <c r="C644" s="73" t="str">
        <f t="shared" ref="C644:C707" si="10">HYPERLINK(B644,A644)</f>
        <v>Theresa Schmidt</v>
      </c>
    </row>
    <row r="645" spans="1:3" x14ac:dyDescent="0.3">
      <c r="A645" s="35" t="s">
        <v>1558</v>
      </c>
      <c r="B645" s="72" t="s">
        <v>195</v>
      </c>
      <c r="C645" s="73" t="str">
        <f t="shared" si="10"/>
        <v>Wendy Pierce</v>
      </c>
    </row>
    <row r="646" spans="1:3" x14ac:dyDescent="0.3">
      <c r="A646" s="35" t="s">
        <v>1560</v>
      </c>
      <c r="B646" s="72" t="s">
        <v>37</v>
      </c>
      <c r="C646" s="73" t="str">
        <f t="shared" si="10"/>
        <v>Ashley Simpson</v>
      </c>
    </row>
    <row r="647" spans="1:3" x14ac:dyDescent="0.3">
      <c r="A647" s="35" t="s">
        <v>1562</v>
      </c>
      <c r="B647" s="72" t="s">
        <v>168</v>
      </c>
      <c r="C647" s="73" t="str">
        <f t="shared" si="10"/>
        <v>James Cook</v>
      </c>
    </row>
    <row r="648" spans="1:3" x14ac:dyDescent="0.3">
      <c r="A648" s="35" t="s">
        <v>1564</v>
      </c>
      <c r="B648" s="72" t="s">
        <v>37</v>
      </c>
      <c r="C648" s="73" t="str">
        <f t="shared" si="10"/>
        <v>Reginald Hansen</v>
      </c>
    </row>
    <row r="649" spans="1:3" x14ac:dyDescent="0.3">
      <c r="A649" s="35" t="s">
        <v>1566</v>
      </c>
      <c r="B649" s="72" t="s">
        <v>49</v>
      </c>
      <c r="C649" s="73" t="str">
        <f t="shared" si="10"/>
        <v>Megan Carter</v>
      </c>
    </row>
    <row r="650" spans="1:3" x14ac:dyDescent="0.3">
      <c r="A650" s="35" t="s">
        <v>1568</v>
      </c>
      <c r="B650" s="72" t="s">
        <v>168</v>
      </c>
      <c r="C650" s="73" t="str">
        <f t="shared" si="10"/>
        <v>Cindy Robertson</v>
      </c>
    </row>
    <row r="651" spans="1:3" x14ac:dyDescent="0.3">
      <c r="A651" s="35" t="s">
        <v>898</v>
      </c>
      <c r="B651" s="72" t="s">
        <v>95</v>
      </c>
      <c r="C651" s="73" t="str">
        <f t="shared" si="10"/>
        <v>Daniel Roberts</v>
      </c>
    </row>
    <row r="652" spans="1:3" x14ac:dyDescent="0.3">
      <c r="A652" s="35" t="s">
        <v>1571</v>
      </c>
      <c r="B652" s="72" t="s">
        <v>195</v>
      </c>
      <c r="C652" s="73" t="str">
        <f t="shared" si="10"/>
        <v>Janet Waller</v>
      </c>
    </row>
    <row r="653" spans="1:3" x14ac:dyDescent="0.3">
      <c r="A653" s="35" t="s">
        <v>1573</v>
      </c>
      <c r="B653" s="72" t="s">
        <v>195</v>
      </c>
      <c r="C653" s="73" t="str">
        <f t="shared" si="10"/>
        <v>David Weeks</v>
      </c>
    </row>
    <row r="654" spans="1:3" x14ac:dyDescent="0.3">
      <c r="A654" s="35" t="s">
        <v>1576</v>
      </c>
      <c r="B654" s="72" t="s">
        <v>57</v>
      </c>
      <c r="C654" s="73" t="str">
        <f t="shared" si="10"/>
        <v>Tammy Reeves</v>
      </c>
    </row>
    <row r="655" spans="1:3" x14ac:dyDescent="0.3">
      <c r="A655" s="35" t="s">
        <v>1578</v>
      </c>
      <c r="B655" s="72" t="s">
        <v>49</v>
      </c>
      <c r="C655" s="73" t="str">
        <f t="shared" si="10"/>
        <v>Adrienne Martin</v>
      </c>
    </row>
    <row r="656" spans="1:3" x14ac:dyDescent="0.3">
      <c r="A656" s="35" t="s">
        <v>1581</v>
      </c>
      <c r="B656" s="72" t="s">
        <v>18</v>
      </c>
      <c r="C656" s="73" t="str">
        <f t="shared" si="10"/>
        <v>Thomas Munoz</v>
      </c>
    </row>
    <row r="657" spans="1:3" x14ac:dyDescent="0.3">
      <c r="A657" s="35" t="s">
        <v>1583</v>
      </c>
      <c r="B657" s="72" t="s">
        <v>88</v>
      </c>
      <c r="C657" s="73" t="str">
        <f t="shared" si="10"/>
        <v>Dana Bartlett</v>
      </c>
    </row>
    <row r="658" spans="1:3" x14ac:dyDescent="0.3">
      <c r="A658" s="35" t="s">
        <v>1585</v>
      </c>
      <c r="B658" s="72" t="s">
        <v>144</v>
      </c>
      <c r="C658" s="73" t="str">
        <f t="shared" si="10"/>
        <v>Gary Scott</v>
      </c>
    </row>
    <row r="659" spans="1:3" x14ac:dyDescent="0.3">
      <c r="A659" s="35" t="s">
        <v>1587</v>
      </c>
      <c r="B659" s="72" t="s">
        <v>62</v>
      </c>
      <c r="C659" s="73" t="str">
        <f t="shared" si="10"/>
        <v>Tamara Fernandez</v>
      </c>
    </row>
    <row r="660" spans="1:3" x14ac:dyDescent="0.3">
      <c r="A660" s="35" t="s">
        <v>1589</v>
      </c>
      <c r="B660" s="72" t="s">
        <v>144</v>
      </c>
      <c r="C660" s="73" t="str">
        <f t="shared" si="10"/>
        <v>Paul Mcdaniel</v>
      </c>
    </row>
    <row r="661" spans="1:3" x14ac:dyDescent="0.3">
      <c r="A661" s="35" t="s">
        <v>1591</v>
      </c>
      <c r="B661" s="72" t="s">
        <v>88</v>
      </c>
      <c r="C661" s="73" t="str">
        <f t="shared" si="10"/>
        <v>Gabriel Park</v>
      </c>
    </row>
    <row r="662" spans="1:3" x14ac:dyDescent="0.3">
      <c r="A662" s="35" t="s">
        <v>1593</v>
      </c>
      <c r="B662" s="72" t="s">
        <v>30</v>
      </c>
      <c r="C662" s="73" t="str">
        <f t="shared" si="10"/>
        <v>Caitlyn Osborne</v>
      </c>
    </row>
    <row r="663" spans="1:3" x14ac:dyDescent="0.3">
      <c r="A663" s="35" t="s">
        <v>1595</v>
      </c>
      <c r="B663" s="72" t="s">
        <v>30</v>
      </c>
      <c r="C663" s="73" t="str">
        <f t="shared" si="10"/>
        <v>Ryan Bryant</v>
      </c>
    </row>
    <row r="664" spans="1:3" x14ac:dyDescent="0.3">
      <c r="A664" s="35" t="s">
        <v>1597</v>
      </c>
      <c r="B664" s="72" t="s">
        <v>139</v>
      </c>
      <c r="C664" s="73" t="str">
        <f t="shared" si="10"/>
        <v>Ryan Carter</v>
      </c>
    </row>
    <row r="665" spans="1:3" x14ac:dyDescent="0.3">
      <c r="A665" s="35" t="s">
        <v>1599</v>
      </c>
      <c r="B665" s="72" t="s">
        <v>88</v>
      </c>
      <c r="C665" s="73" t="str">
        <f t="shared" si="10"/>
        <v>Alexander Hoover</v>
      </c>
    </row>
    <row r="666" spans="1:3" x14ac:dyDescent="0.3">
      <c r="A666" s="35" t="s">
        <v>1601</v>
      </c>
      <c r="B666" s="72" t="s">
        <v>18</v>
      </c>
      <c r="C666" s="73" t="str">
        <f t="shared" si="10"/>
        <v>Laura Pearson</v>
      </c>
    </row>
    <row r="667" spans="1:3" x14ac:dyDescent="0.3">
      <c r="A667" s="35" t="s">
        <v>1603</v>
      </c>
      <c r="B667" s="72" t="s">
        <v>72</v>
      </c>
      <c r="C667" s="73" t="str">
        <f t="shared" si="10"/>
        <v>Garrett Cox</v>
      </c>
    </row>
    <row r="668" spans="1:3" x14ac:dyDescent="0.3">
      <c r="A668" s="35" t="s">
        <v>1605</v>
      </c>
      <c r="B668" s="72" t="s">
        <v>18</v>
      </c>
      <c r="C668" s="73" t="str">
        <f t="shared" si="10"/>
        <v>Heather Mayer</v>
      </c>
    </row>
    <row r="669" spans="1:3" x14ac:dyDescent="0.3">
      <c r="A669" s="35" t="s">
        <v>1607</v>
      </c>
      <c r="B669" s="72" t="s">
        <v>30</v>
      </c>
      <c r="C669" s="73" t="str">
        <f t="shared" si="10"/>
        <v>Kevin Miller</v>
      </c>
    </row>
    <row r="670" spans="1:3" x14ac:dyDescent="0.3">
      <c r="A670" s="35" t="s">
        <v>1609</v>
      </c>
      <c r="B670" s="72" t="s">
        <v>30</v>
      </c>
      <c r="C670" s="73" t="str">
        <f t="shared" si="10"/>
        <v>Andrew Velez</v>
      </c>
    </row>
    <row r="671" spans="1:3" x14ac:dyDescent="0.3">
      <c r="A671" s="35" t="s">
        <v>590</v>
      </c>
      <c r="B671" s="72" t="s">
        <v>168</v>
      </c>
      <c r="C671" s="73" t="str">
        <f t="shared" si="10"/>
        <v>Tyler Williams</v>
      </c>
    </row>
    <row r="672" spans="1:3" x14ac:dyDescent="0.3">
      <c r="A672" s="35" t="s">
        <v>1612</v>
      </c>
      <c r="B672" s="72" t="s">
        <v>18</v>
      </c>
      <c r="C672" s="73" t="str">
        <f t="shared" si="10"/>
        <v>Samuel Gomez</v>
      </c>
    </row>
    <row r="673" spans="1:3" x14ac:dyDescent="0.3">
      <c r="A673" s="35" t="s">
        <v>1614</v>
      </c>
      <c r="B673" s="72" t="s">
        <v>37</v>
      </c>
      <c r="C673" s="73" t="str">
        <f t="shared" si="10"/>
        <v>Ronald Anderson</v>
      </c>
    </row>
    <row r="674" spans="1:3" x14ac:dyDescent="0.3">
      <c r="A674" s="35" t="s">
        <v>1616</v>
      </c>
      <c r="B674" s="72" t="s">
        <v>95</v>
      </c>
      <c r="C674" s="73" t="str">
        <f t="shared" si="10"/>
        <v>Joseph Chen</v>
      </c>
    </row>
    <row r="675" spans="1:3" x14ac:dyDescent="0.3">
      <c r="A675" s="35" t="s">
        <v>1618</v>
      </c>
      <c r="B675" s="72" t="s">
        <v>168</v>
      </c>
      <c r="C675" s="73" t="str">
        <f t="shared" si="10"/>
        <v>Meghan Rogers</v>
      </c>
    </row>
    <row r="676" spans="1:3" x14ac:dyDescent="0.3">
      <c r="A676" s="35" t="s">
        <v>1620</v>
      </c>
      <c r="B676" s="72" t="s">
        <v>219</v>
      </c>
      <c r="C676" s="73" t="str">
        <f t="shared" si="10"/>
        <v>Katherine Berger</v>
      </c>
    </row>
    <row r="677" spans="1:3" x14ac:dyDescent="0.3">
      <c r="A677" s="35" t="s">
        <v>1622</v>
      </c>
      <c r="B677" s="72" t="s">
        <v>30</v>
      </c>
      <c r="C677" s="73" t="str">
        <f t="shared" si="10"/>
        <v>Tyler Griffith</v>
      </c>
    </row>
    <row r="678" spans="1:3" x14ac:dyDescent="0.3">
      <c r="A678" s="35" t="s">
        <v>1624</v>
      </c>
      <c r="B678" s="72" t="s">
        <v>49</v>
      </c>
      <c r="C678" s="73" t="str">
        <f t="shared" si="10"/>
        <v>John Rogers</v>
      </c>
    </row>
    <row r="679" spans="1:3" x14ac:dyDescent="0.3">
      <c r="A679" s="35" t="s">
        <v>1626</v>
      </c>
      <c r="B679" s="72" t="s">
        <v>168</v>
      </c>
      <c r="C679" s="73" t="str">
        <f t="shared" si="10"/>
        <v>Jennifer Becker</v>
      </c>
    </row>
    <row r="680" spans="1:3" x14ac:dyDescent="0.3">
      <c r="A680" s="35" t="s">
        <v>1628</v>
      </c>
      <c r="B680" s="72" t="s">
        <v>144</v>
      </c>
      <c r="C680" s="73" t="str">
        <f t="shared" si="10"/>
        <v>Anthony Clarke</v>
      </c>
    </row>
    <row r="681" spans="1:3" x14ac:dyDescent="0.3">
      <c r="A681" s="35" t="s">
        <v>1630</v>
      </c>
      <c r="B681" s="72" t="s">
        <v>95</v>
      </c>
      <c r="C681" s="73" t="str">
        <f t="shared" si="10"/>
        <v>Randall Wall</v>
      </c>
    </row>
    <row r="682" spans="1:3" x14ac:dyDescent="0.3">
      <c r="A682" s="35" t="s">
        <v>1632</v>
      </c>
      <c r="B682" s="72" t="s">
        <v>72</v>
      </c>
      <c r="C682" s="73" t="str">
        <f t="shared" si="10"/>
        <v>Jonathan Jordan</v>
      </c>
    </row>
    <row r="683" spans="1:3" x14ac:dyDescent="0.3">
      <c r="A683" s="35" t="s">
        <v>1634</v>
      </c>
      <c r="B683" s="72" t="s">
        <v>219</v>
      </c>
      <c r="C683" s="73" t="str">
        <f t="shared" si="10"/>
        <v>Jonathon Wall</v>
      </c>
    </row>
    <row r="684" spans="1:3" x14ac:dyDescent="0.3">
      <c r="A684" s="35" t="s">
        <v>1636</v>
      </c>
      <c r="B684" s="72" t="s">
        <v>57</v>
      </c>
      <c r="C684" s="73" t="str">
        <f t="shared" si="10"/>
        <v>Brittany Ramirez</v>
      </c>
    </row>
    <row r="685" spans="1:3" x14ac:dyDescent="0.3">
      <c r="A685" s="35" t="s">
        <v>1638</v>
      </c>
      <c r="B685" s="72" t="s">
        <v>168</v>
      </c>
      <c r="C685" s="73" t="str">
        <f t="shared" si="10"/>
        <v>Frederick Mullins</v>
      </c>
    </row>
    <row r="686" spans="1:3" x14ac:dyDescent="0.3">
      <c r="A686" s="35" t="s">
        <v>1640</v>
      </c>
      <c r="B686" s="72" t="s">
        <v>37</v>
      </c>
      <c r="C686" s="73" t="str">
        <f t="shared" si="10"/>
        <v>Dillon Johnson</v>
      </c>
    </row>
    <row r="687" spans="1:3" x14ac:dyDescent="0.3">
      <c r="A687" s="35" t="s">
        <v>1642</v>
      </c>
      <c r="B687" s="72" t="s">
        <v>168</v>
      </c>
      <c r="C687" s="73" t="str">
        <f t="shared" si="10"/>
        <v>Nicolas Velez</v>
      </c>
    </row>
    <row r="688" spans="1:3" x14ac:dyDescent="0.3">
      <c r="A688" s="35" t="s">
        <v>1644</v>
      </c>
      <c r="B688" s="72" t="s">
        <v>139</v>
      </c>
      <c r="C688" s="73" t="str">
        <f t="shared" si="10"/>
        <v>Michael Watson</v>
      </c>
    </row>
    <row r="689" spans="1:3" x14ac:dyDescent="0.3">
      <c r="A689" s="35" t="s">
        <v>1647</v>
      </c>
      <c r="B689" s="72" t="s">
        <v>95</v>
      </c>
      <c r="C689" s="73" t="str">
        <f t="shared" si="10"/>
        <v>Laura Barnett</v>
      </c>
    </row>
    <row r="690" spans="1:3" x14ac:dyDescent="0.3">
      <c r="A690" s="35" t="s">
        <v>1649</v>
      </c>
      <c r="B690" s="72" t="s">
        <v>168</v>
      </c>
      <c r="C690" s="73" t="str">
        <f t="shared" si="10"/>
        <v>Brenda Taylor</v>
      </c>
    </row>
    <row r="691" spans="1:3" x14ac:dyDescent="0.3">
      <c r="A691" s="35" t="s">
        <v>1651</v>
      </c>
      <c r="B691" s="72" t="s">
        <v>57</v>
      </c>
      <c r="C691" s="73" t="str">
        <f t="shared" si="10"/>
        <v>Stacy Hanson</v>
      </c>
    </row>
    <row r="692" spans="1:3" x14ac:dyDescent="0.3">
      <c r="A692" s="35" t="s">
        <v>1653</v>
      </c>
      <c r="B692" s="72" t="s">
        <v>95</v>
      </c>
      <c r="C692" s="73" t="str">
        <f t="shared" si="10"/>
        <v>Amanda Perez</v>
      </c>
    </row>
    <row r="693" spans="1:3" x14ac:dyDescent="0.3">
      <c r="A693" s="35" t="s">
        <v>1655</v>
      </c>
      <c r="B693" s="72" t="s">
        <v>88</v>
      </c>
      <c r="C693" s="73" t="str">
        <f t="shared" si="10"/>
        <v>Susan Burns</v>
      </c>
    </row>
    <row r="694" spans="1:3" x14ac:dyDescent="0.3">
      <c r="A694" s="35" t="s">
        <v>1657</v>
      </c>
      <c r="B694" s="72" t="s">
        <v>219</v>
      </c>
      <c r="C694" s="73" t="str">
        <f t="shared" si="10"/>
        <v>Christy Morse</v>
      </c>
    </row>
    <row r="695" spans="1:3" x14ac:dyDescent="0.3">
      <c r="A695" s="35" t="s">
        <v>1659</v>
      </c>
      <c r="B695" s="72" t="s">
        <v>139</v>
      </c>
      <c r="C695" s="73" t="str">
        <f t="shared" si="10"/>
        <v>Richard Hickman</v>
      </c>
    </row>
    <row r="696" spans="1:3" x14ac:dyDescent="0.3">
      <c r="A696" s="35" t="s">
        <v>1661</v>
      </c>
      <c r="B696" s="72" t="s">
        <v>144</v>
      </c>
      <c r="C696" s="73" t="str">
        <f t="shared" si="10"/>
        <v>Cynthia Rodriguez</v>
      </c>
    </row>
    <row r="697" spans="1:3" x14ac:dyDescent="0.3">
      <c r="A697" s="35" t="s">
        <v>1663</v>
      </c>
      <c r="B697" s="72" t="s">
        <v>168</v>
      </c>
      <c r="C697" s="73" t="str">
        <f t="shared" si="10"/>
        <v>Gabrielle Walker</v>
      </c>
    </row>
    <row r="698" spans="1:3" x14ac:dyDescent="0.3">
      <c r="A698" s="35" t="s">
        <v>1665</v>
      </c>
      <c r="B698" s="72" t="s">
        <v>95</v>
      </c>
      <c r="C698" s="73" t="str">
        <f t="shared" si="10"/>
        <v>Donna Howard</v>
      </c>
    </row>
    <row r="699" spans="1:3" x14ac:dyDescent="0.3">
      <c r="A699" s="35" t="s">
        <v>1667</v>
      </c>
      <c r="B699" s="72" t="s">
        <v>49</v>
      </c>
      <c r="C699" s="73" t="str">
        <f t="shared" si="10"/>
        <v>Heather Owens</v>
      </c>
    </row>
    <row r="700" spans="1:3" x14ac:dyDescent="0.3">
      <c r="A700" s="35" t="s">
        <v>1669</v>
      </c>
      <c r="B700" s="72" t="s">
        <v>144</v>
      </c>
      <c r="C700" s="73" t="str">
        <f t="shared" si="10"/>
        <v>Phillip Herrera</v>
      </c>
    </row>
    <row r="701" spans="1:3" x14ac:dyDescent="0.3">
      <c r="A701" s="35" t="s">
        <v>1671</v>
      </c>
      <c r="B701" s="72" t="s">
        <v>42</v>
      </c>
      <c r="C701" s="73" t="str">
        <f t="shared" si="10"/>
        <v>William Graves</v>
      </c>
    </row>
    <row r="702" spans="1:3" x14ac:dyDescent="0.3">
      <c r="A702" s="35" t="s">
        <v>1673</v>
      </c>
      <c r="B702" s="72" t="s">
        <v>57</v>
      </c>
      <c r="C702" s="73" t="str">
        <f t="shared" si="10"/>
        <v>Martin Gardner</v>
      </c>
    </row>
    <row r="703" spans="1:3" x14ac:dyDescent="0.3">
      <c r="A703" s="35" t="s">
        <v>1675</v>
      </c>
      <c r="B703" s="72" t="s">
        <v>88</v>
      </c>
      <c r="C703" s="73" t="str">
        <f t="shared" si="10"/>
        <v>Lisa Munoz</v>
      </c>
    </row>
    <row r="704" spans="1:3" x14ac:dyDescent="0.3">
      <c r="A704" s="35" t="s">
        <v>1677</v>
      </c>
      <c r="B704" s="72" t="s">
        <v>139</v>
      </c>
      <c r="C704" s="73" t="str">
        <f t="shared" si="10"/>
        <v>Kimberly Davis</v>
      </c>
    </row>
    <row r="705" spans="1:3" x14ac:dyDescent="0.3">
      <c r="A705" s="35" t="s">
        <v>1679</v>
      </c>
      <c r="B705" s="72" t="s">
        <v>144</v>
      </c>
      <c r="C705" s="73" t="str">
        <f t="shared" si="10"/>
        <v>Nancy Walker</v>
      </c>
    </row>
    <row r="706" spans="1:3" x14ac:dyDescent="0.3">
      <c r="A706" s="35" t="s">
        <v>1681</v>
      </c>
      <c r="B706" s="72" t="s">
        <v>62</v>
      </c>
      <c r="C706" s="73" t="str">
        <f t="shared" si="10"/>
        <v>Helen Maxwell</v>
      </c>
    </row>
    <row r="707" spans="1:3" x14ac:dyDescent="0.3">
      <c r="A707" s="35" t="s">
        <v>1683</v>
      </c>
      <c r="B707" s="72" t="s">
        <v>62</v>
      </c>
      <c r="C707" s="73" t="str">
        <f t="shared" si="10"/>
        <v>Martin Zimmerman</v>
      </c>
    </row>
    <row r="708" spans="1:3" x14ac:dyDescent="0.3">
      <c r="A708" s="35" t="s">
        <v>1685</v>
      </c>
      <c r="B708" s="72" t="s">
        <v>42</v>
      </c>
      <c r="C708" s="73" t="str">
        <f t="shared" ref="C708:C771" si="11">HYPERLINK(B708,A708)</f>
        <v>Michael Chapman</v>
      </c>
    </row>
    <row r="709" spans="1:3" x14ac:dyDescent="0.3">
      <c r="A709" s="35" t="s">
        <v>1687</v>
      </c>
      <c r="B709" s="72" t="s">
        <v>30</v>
      </c>
      <c r="C709" s="73" t="str">
        <f t="shared" si="11"/>
        <v>Courtney Gray</v>
      </c>
    </row>
    <row r="710" spans="1:3" x14ac:dyDescent="0.3">
      <c r="A710" s="35" t="s">
        <v>1689</v>
      </c>
      <c r="B710" s="72" t="s">
        <v>168</v>
      </c>
      <c r="C710" s="73" t="str">
        <f t="shared" si="11"/>
        <v>Daniel Howell</v>
      </c>
    </row>
    <row r="711" spans="1:3" x14ac:dyDescent="0.3">
      <c r="A711" s="35" t="s">
        <v>1691</v>
      </c>
      <c r="B711" s="72" t="s">
        <v>37</v>
      </c>
      <c r="C711" s="73" t="str">
        <f t="shared" si="11"/>
        <v>Hannah Valencia</v>
      </c>
    </row>
    <row r="712" spans="1:3" x14ac:dyDescent="0.3">
      <c r="A712" s="35" t="s">
        <v>1693</v>
      </c>
      <c r="B712" s="72" t="s">
        <v>72</v>
      </c>
      <c r="C712" s="73" t="str">
        <f t="shared" si="11"/>
        <v>Diane Chavez</v>
      </c>
    </row>
    <row r="713" spans="1:3" x14ac:dyDescent="0.3">
      <c r="A713" s="35" t="s">
        <v>1695</v>
      </c>
      <c r="B713" s="72" t="s">
        <v>168</v>
      </c>
      <c r="C713" s="73" t="str">
        <f t="shared" si="11"/>
        <v>James Howard</v>
      </c>
    </row>
    <row r="714" spans="1:3" x14ac:dyDescent="0.3">
      <c r="A714" s="35" t="s">
        <v>1697</v>
      </c>
      <c r="B714" s="72" t="s">
        <v>88</v>
      </c>
      <c r="C714" s="73" t="str">
        <f t="shared" si="11"/>
        <v>Denise Gutierrez</v>
      </c>
    </row>
    <row r="715" spans="1:3" x14ac:dyDescent="0.3">
      <c r="A715" s="35" t="s">
        <v>1699</v>
      </c>
      <c r="B715" s="72" t="s">
        <v>139</v>
      </c>
      <c r="C715" s="73" t="str">
        <f t="shared" si="11"/>
        <v>Melissa Moody MD</v>
      </c>
    </row>
    <row r="716" spans="1:3" x14ac:dyDescent="0.3">
      <c r="A716" s="35" t="s">
        <v>1701</v>
      </c>
      <c r="B716" s="72" t="s">
        <v>42</v>
      </c>
      <c r="C716" s="73" t="str">
        <f t="shared" si="11"/>
        <v>Robin Morris MD</v>
      </c>
    </row>
    <row r="717" spans="1:3" x14ac:dyDescent="0.3">
      <c r="A717" s="35" t="s">
        <v>1703</v>
      </c>
      <c r="B717" s="72" t="s">
        <v>139</v>
      </c>
      <c r="C717" s="73" t="str">
        <f t="shared" si="11"/>
        <v>Jason Hamilton</v>
      </c>
    </row>
    <row r="718" spans="1:3" x14ac:dyDescent="0.3">
      <c r="A718" s="35" t="s">
        <v>1705</v>
      </c>
      <c r="B718" s="72" t="s">
        <v>42</v>
      </c>
      <c r="C718" s="73" t="str">
        <f t="shared" si="11"/>
        <v>Emily Johnson</v>
      </c>
    </row>
    <row r="719" spans="1:3" x14ac:dyDescent="0.3">
      <c r="A719" s="35" t="s">
        <v>1707</v>
      </c>
      <c r="B719" s="72" t="s">
        <v>62</v>
      </c>
      <c r="C719" s="73" t="str">
        <f t="shared" si="11"/>
        <v>Ryan Bates</v>
      </c>
    </row>
    <row r="720" spans="1:3" x14ac:dyDescent="0.3">
      <c r="A720" s="35" t="s">
        <v>1709</v>
      </c>
      <c r="B720" s="72" t="s">
        <v>30</v>
      </c>
      <c r="C720" s="73" t="str">
        <f t="shared" si="11"/>
        <v>Antonio Wood</v>
      </c>
    </row>
    <row r="721" spans="1:3" x14ac:dyDescent="0.3">
      <c r="A721" s="35" t="s">
        <v>1711</v>
      </c>
      <c r="B721" s="72" t="s">
        <v>37</v>
      </c>
      <c r="C721" s="73" t="str">
        <f t="shared" si="11"/>
        <v>Mark Alvarez</v>
      </c>
    </row>
    <row r="722" spans="1:3" x14ac:dyDescent="0.3">
      <c r="A722" s="35" t="s">
        <v>1713</v>
      </c>
      <c r="B722" s="72" t="s">
        <v>30</v>
      </c>
      <c r="C722" s="73" t="str">
        <f t="shared" si="11"/>
        <v>Dennis Wright</v>
      </c>
    </row>
    <row r="723" spans="1:3" x14ac:dyDescent="0.3">
      <c r="A723" s="35" t="s">
        <v>1716</v>
      </c>
      <c r="B723" s="72" t="s">
        <v>30</v>
      </c>
      <c r="C723" s="73" t="str">
        <f t="shared" si="11"/>
        <v>Mr. David Franco</v>
      </c>
    </row>
    <row r="724" spans="1:3" x14ac:dyDescent="0.3">
      <c r="A724" s="35" t="s">
        <v>1718</v>
      </c>
      <c r="B724" s="72" t="s">
        <v>30</v>
      </c>
      <c r="C724" s="73" t="str">
        <f t="shared" si="11"/>
        <v>Kevin Blair</v>
      </c>
    </row>
    <row r="725" spans="1:3" x14ac:dyDescent="0.3">
      <c r="A725" s="35" t="s">
        <v>1720</v>
      </c>
      <c r="B725" s="72" t="s">
        <v>72</v>
      </c>
      <c r="C725" s="73" t="str">
        <f t="shared" si="11"/>
        <v>Brittany Swanson DDS</v>
      </c>
    </row>
    <row r="726" spans="1:3" x14ac:dyDescent="0.3">
      <c r="A726" s="35" t="s">
        <v>1722</v>
      </c>
      <c r="B726" s="72" t="s">
        <v>30</v>
      </c>
      <c r="C726" s="73" t="str">
        <f t="shared" si="11"/>
        <v>Mandy Davis</v>
      </c>
    </row>
    <row r="727" spans="1:3" x14ac:dyDescent="0.3">
      <c r="A727" s="35" t="s">
        <v>1724</v>
      </c>
      <c r="B727" s="72" t="s">
        <v>37</v>
      </c>
      <c r="C727" s="73" t="str">
        <f t="shared" si="11"/>
        <v>Philip Kelley</v>
      </c>
    </row>
    <row r="728" spans="1:3" x14ac:dyDescent="0.3">
      <c r="A728" s="35" t="s">
        <v>1726</v>
      </c>
      <c r="B728" s="72" t="s">
        <v>49</v>
      </c>
      <c r="C728" s="73" t="str">
        <f t="shared" si="11"/>
        <v>Raymond Gonzalez</v>
      </c>
    </row>
    <row r="729" spans="1:3" x14ac:dyDescent="0.3">
      <c r="A729" s="35" t="s">
        <v>1728</v>
      </c>
      <c r="B729" s="72" t="s">
        <v>95</v>
      </c>
      <c r="C729" s="73" t="str">
        <f t="shared" si="11"/>
        <v>Brenda Martin</v>
      </c>
    </row>
    <row r="730" spans="1:3" x14ac:dyDescent="0.3">
      <c r="A730" s="35" t="s">
        <v>1731</v>
      </c>
      <c r="B730" s="72" t="s">
        <v>42</v>
      </c>
      <c r="C730" s="73" t="str">
        <f t="shared" si="11"/>
        <v>Shannon Byrd</v>
      </c>
    </row>
    <row r="731" spans="1:3" x14ac:dyDescent="0.3">
      <c r="A731" s="35" t="s">
        <v>1733</v>
      </c>
      <c r="B731" s="72" t="s">
        <v>168</v>
      </c>
      <c r="C731" s="73" t="str">
        <f t="shared" si="11"/>
        <v>Crystal Horn</v>
      </c>
    </row>
    <row r="732" spans="1:3" x14ac:dyDescent="0.3">
      <c r="A732" s="35" t="s">
        <v>1735</v>
      </c>
      <c r="B732" s="72" t="s">
        <v>57</v>
      </c>
      <c r="C732" s="73" t="str">
        <f t="shared" si="11"/>
        <v>Brett Roberts</v>
      </c>
    </row>
    <row r="733" spans="1:3" x14ac:dyDescent="0.3">
      <c r="A733" s="35" t="s">
        <v>1737</v>
      </c>
      <c r="B733" s="72" t="s">
        <v>37</v>
      </c>
      <c r="C733" s="73" t="str">
        <f t="shared" si="11"/>
        <v>Sarah Nelson</v>
      </c>
    </row>
    <row r="734" spans="1:3" x14ac:dyDescent="0.3">
      <c r="A734" s="35" t="s">
        <v>1739</v>
      </c>
      <c r="B734" s="72" t="s">
        <v>95</v>
      </c>
      <c r="C734" s="73" t="str">
        <f t="shared" si="11"/>
        <v>Stephanie Murphy</v>
      </c>
    </row>
    <row r="735" spans="1:3" x14ac:dyDescent="0.3">
      <c r="A735" s="35" t="s">
        <v>1742</v>
      </c>
      <c r="B735" s="72" t="s">
        <v>168</v>
      </c>
      <c r="C735" s="73" t="str">
        <f t="shared" si="11"/>
        <v>Veronica Morales</v>
      </c>
    </row>
    <row r="736" spans="1:3" x14ac:dyDescent="0.3">
      <c r="A736" s="35" t="s">
        <v>1744</v>
      </c>
      <c r="B736" s="72" t="s">
        <v>42</v>
      </c>
      <c r="C736" s="73" t="str">
        <f t="shared" si="11"/>
        <v>Alexander Johnson</v>
      </c>
    </row>
    <row r="737" spans="1:3" x14ac:dyDescent="0.3">
      <c r="A737" s="35" t="s">
        <v>1746</v>
      </c>
      <c r="B737" s="72" t="s">
        <v>62</v>
      </c>
      <c r="C737" s="73" t="str">
        <f t="shared" si="11"/>
        <v>Frank Weiss</v>
      </c>
    </row>
    <row r="738" spans="1:3" x14ac:dyDescent="0.3">
      <c r="A738" s="35" t="s">
        <v>1748</v>
      </c>
      <c r="B738" s="72" t="s">
        <v>72</v>
      </c>
      <c r="C738" s="73" t="str">
        <f t="shared" si="11"/>
        <v>Tony Jennings</v>
      </c>
    </row>
    <row r="739" spans="1:3" x14ac:dyDescent="0.3">
      <c r="A739" s="35" t="s">
        <v>1750</v>
      </c>
      <c r="B739" s="72" t="s">
        <v>88</v>
      </c>
      <c r="C739" s="73" t="str">
        <f t="shared" si="11"/>
        <v>Robert Brown</v>
      </c>
    </row>
    <row r="740" spans="1:3" x14ac:dyDescent="0.3">
      <c r="A740" s="35" t="s">
        <v>1752</v>
      </c>
      <c r="B740" s="72" t="s">
        <v>144</v>
      </c>
      <c r="C740" s="73" t="str">
        <f t="shared" si="11"/>
        <v>Dana Woods</v>
      </c>
    </row>
    <row r="741" spans="1:3" x14ac:dyDescent="0.3">
      <c r="A741" s="35" t="s">
        <v>1754</v>
      </c>
      <c r="B741" s="72" t="s">
        <v>72</v>
      </c>
      <c r="C741" s="73" t="str">
        <f t="shared" si="11"/>
        <v>Kelly Vargas</v>
      </c>
    </row>
    <row r="742" spans="1:3" x14ac:dyDescent="0.3">
      <c r="A742" s="35" t="s">
        <v>1756</v>
      </c>
      <c r="B742" s="72" t="s">
        <v>195</v>
      </c>
      <c r="C742" s="73" t="str">
        <f t="shared" si="11"/>
        <v>Roy Jackson</v>
      </c>
    </row>
    <row r="743" spans="1:3" x14ac:dyDescent="0.3">
      <c r="A743" s="35" t="s">
        <v>1758</v>
      </c>
      <c r="B743" s="72" t="s">
        <v>49</v>
      </c>
      <c r="C743" s="73" t="str">
        <f t="shared" si="11"/>
        <v>Troy Hernandez</v>
      </c>
    </row>
    <row r="744" spans="1:3" x14ac:dyDescent="0.3">
      <c r="A744" s="35" t="s">
        <v>1760</v>
      </c>
      <c r="B744" s="72" t="s">
        <v>72</v>
      </c>
      <c r="C744" s="73" t="str">
        <f t="shared" si="11"/>
        <v>Joseph Phillips</v>
      </c>
    </row>
    <row r="745" spans="1:3" x14ac:dyDescent="0.3">
      <c r="A745" s="35" t="s">
        <v>1762</v>
      </c>
      <c r="B745" s="72" t="s">
        <v>168</v>
      </c>
      <c r="C745" s="73" t="str">
        <f t="shared" si="11"/>
        <v>Michael Arias</v>
      </c>
    </row>
    <row r="746" spans="1:3" x14ac:dyDescent="0.3">
      <c r="A746" s="35" t="s">
        <v>1764</v>
      </c>
      <c r="B746" s="72" t="s">
        <v>72</v>
      </c>
      <c r="C746" s="73" t="str">
        <f t="shared" si="11"/>
        <v>Wesley Lynch</v>
      </c>
    </row>
    <row r="747" spans="1:3" x14ac:dyDescent="0.3">
      <c r="A747" s="35" t="s">
        <v>1766</v>
      </c>
      <c r="B747" s="72" t="s">
        <v>144</v>
      </c>
      <c r="C747" s="73" t="str">
        <f t="shared" si="11"/>
        <v>Hayden Ortega</v>
      </c>
    </row>
    <row r="748" spans="1:3" x14ac:dyDescent="0.3">
      <c r="A748" s="35" t="s">
        <v>1768</v>
      </c>
      <c r="B748" s="72" t="s">
        <v>144</v>
      </c>
      <c r="C748" s="73" t="str">
        <f t="shared" si="11"/>
        <v>Sharon Richardson</v>
      </c>
    </row>
    <row r="749" spans="1:3" x14ac:dyDescent="0.3">
      <c r="A749" s="35" t="s">
        <v>1770</v>
      </c>
      <c r="B749" s="72" t="s">
        <v>62</v>
      </c>
      <c r="C749" s="73" t="str">
        <f t="shared" si="11"/>
        <v>Laurie Padilla MD</v>
      </c>
    </row>
    <row r="750" spans="1:3" x14ac:dyDescent="0.3">
      <c r="A750" s="35" t="s">
        <v>1772</v>
      </c>
      <c r="B750" s="72" t="s">
        <v>168</v>
      </c>
      <c r="C750" s="73" t="str">
        <f t="shared" si="11"/>
        <v>Sylvia Johnson</v>
      </c>
    </row>
    <row r="751" spans="1:3" x14ac:dyDescent="0.3">
      <c r="A751" s="35" t="s">
        <v>1774</v>
      </c>
      <c r="B751" s="72" t="s">
        <v>88</v>
      </c>
      <c r="C751" s="73" t="str">
        <f t="shared" si="11"/>
        <v>Marcus Hall</v>
      </c>
    </row>
    <row r="752" spans="1:3" x14ac:dyDescent="0.3">
      <c r="A752" s="35" t="s">
        <v>1776</v>
      </c>
      <c r="B752" s="72" t="s">
        <v>37</v>
      </c>
      <c r="C752" s="73" t="str">
        <f t="shared" si="11"/>
        <v>Kevin Martinez</v>
      </c>
    </row>
    <row r="753" spans="1:3" x14ac:dyDescent="0.3">
      <c r="A753" s="35" t="s">
        <v>1778</v>
      </c>
      <c r="B753" s="72" t="s">
        <v>168</v>
      </c>
      <c r="C753" s="73" t="str">
        <f t="shared" si="11"/>
        <v>Derek Brandt</v>
      </c>
    </row>
    <row r="754" spans="1:3" x14ac:dyDescent="0.3">
      <c r="A754" s="35" t="s">
        <v>1780</v>
      </c>
      <c r="B754" s="72" t="s">
        <v>139</v>
      </c>
      <c r="C754" s="73" t="str">
        <f t="shared" si="11"/>
        <v>Brittany Stokes</v>
      </c>
    </row>
    <row r="755" spans="1:3" x14ac:dyDescent="0.3">
      <c r="A755" s="35" t="s">
        <v>689</v>
      </c>
      <c r="B755" s="72" t="s">
        <v>30</v>
      </c>
      <c r="C755" s="73" t="str">
        <f t="shared" si="11"/>
        <v>Teresa Edwards</v>
      </c>
    </row>
    <row r="756" spans="1:3" x14ac:dyDescent="0.3">
      <c r="A756" s="35" t="s">
        <v>1783</v>
      </c>
      <c r="B756" s="72" t="s">
        <v>72</v>
      </c>
      <c r="C756" s="73" t="str">
        <f t="shared" si="11"/>
        <v>Mary Franco</v>
      </c>
    </row>
    <row r="757" spans="1:3" x14ac:dyDescent="0.3">
      <c r="A757" s="35" t="s">
        <v>1785</v>
      </c>
      <c r="B757" s="72" t="s">
        <v>95</v>
      </c>
      <c r="C757" s="73" t="str">
        <f t="shared" si="11"/>
        <v>Veronica Stewart</v>
      </c>
    </row>
    <row r="758" spans="1:3" x14ac:dyDescent="0.3">
      <c r="A758" s="35" t="s">
        <v>1787</v>
      </c>
      <c r="B758" s="72" t="s">
        <v>57</v>
      </c>
      <c r="C758" s="73" t="str">
        <f t="shared" si="11"/>
        <v>Savannah Adams</v>
      </c>
    </row>
    <row r="759" spans="1:3" x14ac:dyDescent="0.3">
      <c r="A759" s="35" t="s">
        <v>1789</v>
      </c>
      <c r="B759" s="72" t="s">
        <v>62</v>
      </c>
      <c r="C759" s="73" t="str">
        <f t="shared" si="11"/>
        <v>Brenda Morales</v>
      </c>
    </row>
    <row r="760" spans="1:3" x14ac:dyDescent="0.3">
      <c r="A760" s="35" t="s">
        <v>1791</v>
      </c>
      <c r="B760" s="72" t="s">
        <v>195</v>
      </c>
      <c r="C760" s="73" t="str">
        <f t="shared" si="11"/>
        <v>Alan Farrell</v>
      </c>
    </row>
    <row r="761" spans="1:3" x14ac:dyDescent="0.3">
      <c r="A761" s="35" t="s">
        <v>1793</v>
      </c>
      <c r="B761" s="72" t="s">
        <v>95</v>
      </c>
      <c r="C761" s="73" t="str">
        <f t="shared" si="11"/>
        <v>Erika Wilson</v>
      </c>
    </row>
    <row r="762" spans="1:3" x14ac:dyDescent="0.3">
      <c r="A762" s="35" t="s">
        <v>1795</v>
      </c>
      <c r="B762" s="72" t="s">
        <v>95</v>
      </c>
      <c r="C762" s="73" t="str">
        <f t="shared" si="11"/>
        <v>Mr. Matthew Ross</v>
      </c>
    </row>
    <row r="763" spans="1:3" x14ac:dyDescent="0.3">
      <c r="A763" s="35" t="s">
        <v>1797</v>
      </c>
      <c r="B763" s="72" t="s">
        <v>195</v>
      </c>
      <c r="C763" s="73" t="str">
        <f t="shared" si="11"/>
        <v>Mackenzie Martinez</v>
      </c>
    </row>
    <row r="764" spans="1:3" x14ac:dyDescent="0.3">
      <c r="A764" s="35" t="s">
        <v>1799</v>
      </c>
      <c r="B764" s="72" t="s">
        <v>57</v>
      </c>
      <c r="C764" s="73" t="str">
        <f t="shared" si="11"/>
        <v>Samantha Salazar</v>
      </c>
    </row>
    <row r="765" spans="1:3" x14ac:dyDescent="0.3">
      <c r="A765" s="35" t="s">
        <v>1801</v>
      </c>
      <c r="B765" s="72" t="s">
        <v>62</v>
      </c>
      <c r="C765" s="73" t="str">
        <f t="shared" si="11"/>
        <v>Mikayla Johnson</v>
      </c>
    </row>
    <row r="766" spans="1:3" x14ac:dyDescent="0.3">
      <c r="A766" s="35" t="s">
        <v>1803</v>
      </c>
      <c r="B766" s="72" t="s">
        <v>72</v>
      </c>
      <c r="C766" s="73" t="str">
        <f t="shared" si="11"/>
        <v>Scott Woods</v>
      </c>
    </row>
    <row r="767" spans="1:3" x14ac:dyDescent="0.3">
      <c r="A767" s="35" t="s">
        <v>1805</v>
      </c>
      <c r="B767" s="72" t="s">
        <v>18</v>
      </c>
      <c r="C767" s="73" t="str">
        <f t="shared" si="11"/>
        <v>Tracey Huffman</v>
      </c>
    </row>
    <row r="768" spans="1:3" x14ac:dyDescent="0.3">
      <c r="A768" s="35" t="s">
        <v>1807</v>
      </c>
      <c r="B768" s="72" t="s">
        <v>168</v>
      </c>
      <c r="C768" s="73" t="str">
        <f t="shared" si="11"/>
        <v>Courtney Long</v>
      </c>
    </row>
    <row r="769" spans="1:3" x14ac:dyDescent="0.3">
      <c r="A769" s="35" t="s">
        <v>1809</v>
      </c>
      <c r="B769" s="72" t="s">
        <v>30</v>
      </c>
      <c r="C769" s="73" t="str">
        <f t="shared" si="11"/>
        <v>John Sawyer</v>
      </c>
    </row>
    <row r="770" spans="1:3" x14ac:dyDescent="0.3">
      <c r="A770" s="35" t="s">
        <v>1811</v>
      </c>
      <c r="B770" s="72" t="s">
        <v>139</v>
      </c>
      <c r="C770" s="73" t="str">
        <f t="shared" si="11"/>
        <v>Christopher Gates</v>
      </c>
    </row>
    <row r="771" spans="1:3" x14ac:dyDescent="0.3">
      <c r="A771" s="35" t="s">
        <v>213</v>
      </c>
      <c r="B771" s="72" t="s">
        <v>57</v>
      </c>
      <c r="C771" s="73" t="str">
        <f t="shared" si="11"/>
        <v>Christopher Richardson</v>
      </c>
    </row>
    <row r="772" spans="1:3" x14ac:dyDescent="0.3">
      <c r="A772" s="35" t="s">
        <v>1814</v>
      </c>
      <c r="B772" s="72" t="s">
        <v>49</v>
      </c>
      <c r="C772" s="73" t="str">
        <f t="shared" ref="C772:C835" si="12">HYPERLINK(B772,A772)</f>
        <v>William Stewart</v>
      </c>
    </row>
    <row r="773" spans="1:3" x14ac:dyDescent="0.3">
      <c r="A773" s="35" t="s">
        <v>1816</v>
      </c>
      <c r="B773" s="72" t="s">
        <v>168</v>
      </c>
      <c r="C773" s="73" t="str">
        <f t="shared" si="12"/>
        <v>Kathryn Gilbert</v>
      </c>
    </row>
    <row r="774" spans="1:3" x14ac:dyDescent="0.3">
      <c r="A774" s="35" t="s">
        <v>1818</v>
      </c>
      <c r="B774" s="72" t="s">
        <v>18</v>
      </c>
      <c r="C774" s="73" t="str">
        <f t="shared" si="12"/>
        <v>Kyle Castro</v>
      </c>
    </row>
    <row r="775" spans="1:3" x14ac:dyDescent="0.3">
      <c r="A775" s="35" t="s">
        <v>1820</v>
      </c>
      <c r="B775" s="72" t="s">
        <v>139</v>
      </c>
      <c r="C775" s="73" t="str">
        <f t="shared" si="12"/>
        <v>Sarah Wade</v>
      </c>
    </row>
    <row r="776" spans="1:3" x14ac:dyDescent="0.3">
      <c r="A776" s="35" t="s">
        <v>1822</v>
      </c>
      <c r="B776" s="72" t="s">
        <v>37</v>
      </c>
      <c r="C776" s="73" t="str">
        <f t="shared" si="12"/>
        <v>Diane Garrett</v>
      </c>
    </row>
    <row r="777" spans="1:3" x14ac:dyDescent="0.3">
      <c r="A777" s="35" t="s">
        <v>1824</v>
      </c>
      <c r="B777" s="72" t="s">
        <v>219</v>
      </c>
      <c r="C777" s="73" t="str">
        <f t="shared" si="12"/>
        <v>William Weaver</v>
      </c>
    </row>
    <row r="778" spans="1:3" x14ac:dyDescent="0.3">
      <c r="A778" s="35" t="s">
        <v>1826</v>
      </c>
      <c r="B778" s="72" t="s">
        <v>62</v>
      </c>
      <c r="C778" s="73" t="str">
        <f t="shared" si="12"/>
        <v>Todd Pierce</v>
      </c>
    </row>
    <row r="779" spans="1:3" x14ac:dyDescent="0.3">
      <c r="A779" s="35" t="s">
        <v>1828</v>
      </c>
      <c r="B779" s="72" t="s">
        <v>219</v>
      </c>
      <c r="C779" s="73" t="str">
        <f t="shared" si="12"/>
        <v>Cheryl Green</v>
      </c>
    </row>
    <row r="780" spans="1:3" x14ac:dyDescent="0.3">
      <c r="A780" s="35" t="s">
        <v>1830</v>
      </c>
      <c r="B780" s="72" t="s">
        <v>139</v>
      </c>
      <c r="C780" s="73" t="str">
        <f t="shared" si="12"/>
        <v>Anna Bennett</v>
      </c>
    </row>
    <row r="781" spans="1:3" x14ac:dyDescent="0.3">
      <c r="A781" s="35" t="s">
        <v>1832</v>
      </c>
      <c r="B781" s="72" t="s">
        <v>88</v>
      </c>
      <c r="C781" s="73" t="str">
        <f t="shared" si="12"/>
        <v>Brad Garcia</v>
      </c>
    </row>
    <row r="782" spans="1:3" x14ac:dyDescent="0.3">
      <c r="A782" s="35" t="s">
        <v>1834</v>
      </c>
      <c r="B782" s="72" t="s">
        <v>57</v>
      </c>
      <c r="C782" s="73" t="str">
        <f t="shared" si="12"/>
        <v>Erica Marquez</v>
      </c>
    </row>
    <row r="783" spans="1:3" x14ac:dyDescent="0.3">
      <c r="A783" s="35" t="s">
        <v>1836</v>
      </c>
      <c r="B783" s="72" t="s">
        <v>95</v>
      </c>
      <c r="C783" s="73" t="str">
        <f t="shared" si="12"/>
        <v>Jennifer Ward</v>
      </c>
    </row>
    <row r="784" spans="1:3" x14ac:dyDescent="0.3">
      <c r="A784" s="35" t="s">
        <v>1838</v>
      </c>
      <c r="B784" s="72" t="s">
        <v>62</v>
      </c>
      <c r="C784" s="73" t="str">
        <f t="shared" si="12"/>
        <v>Samuel Maxwell</v>
      </c>
    </row>
    <row r="785" spans="1:3" x14ac:dyDescent="0.3">
      <c r="A785" s="35" t="s">
        <v>1840</v>
      </c>
      <c r="B785" s="72" t="s">
        <v>139</v>
      </c>
      <c r="C785" s="73" t="str">
        <f t="shared" si="12"/>
        <v>Whitney Williams</v>
      </c>
    </row>
    <row r="786" spans="1:3" x14ac:dyDescent="0.3">
      <c r="A786" s="35" t="s">
        <v>1842</v>
      </c>
      <c r="B786" s="72" t="s">
        <v>88</v>
      </c>
      <c r="C786" s="73" t="str">
        <f t="shared" si="12"/>
        <v>Kimberly Martin</v>
      </c>
    </row>
    <row r="787" spans="1:3" x14ac:dyDescent="0.3">
      <c r="A787" s="35" t="s">
        <v>1844</v>
      </c>
      <c r="B787" s="72" t="s">
        <v>144</v>
      </c>
      <c r="C787" s="73" t="str">
        <f t="shared" si="12"/>
        <v>Gregg Montoya</v>
      </c>
    </row>
    <row r="788" spans="1:3" x14ac:dyDescent="0.3">
      <c r="A788" s="35" t="s">
        <v>1846</v>
      </c>
      <c r="B788" s="72" t="s">
        <v>219</v>
      </c>
      <c r="C788" s="73" t="str">
        <f t="shared" si="12"/>
        <v>Stephen Thomas</v>
      </c>
    </row>
    <row r="789" spans="1:3" x14ac:dyDescent="0.3">
      <c r="A789" s="35" t="s">
        <v>1848</v>
      </c>
      <c r="B789" s="72" t="s">
        <v>168</v>
      </c>
      <c r="C789" s="73" t="str">
        <f t="shared" si="12"/>
        <v>Matthew Nash</v>
      </c>
    </row>
    <row r="790" spans="1:3" x14ac:dyDescent="0.3">
      <c r="A790" s="35" t="s">
        <v>1850</v>
      </c>
      <c r="B790" s="72" t="s">
        <v>144</v>
      </c>
      <c r="C790" s="73" t="str">
        <f t="shared" si="12"/>
        <v>Chris Carlson</v>
      </c>
    </row>
    <row r="791" spans="1:3" x14ac:dyDescent="0.3">
      <c r="A791" s="35" t="s">
        <v>1852</v>
      </c>
      <c r="B791" s="72" t="s">
        <v>18</v>
      </c>
      <c r="C791" s="73" t="str">
        <f t="shared" si="12"/>
        <v>Mark Morrison</v>
      </c>
    </row>
    <row r="792" spans="1:3" x14ac:dyDescent="0.3">
      <c r="A792" s="35" t="s">
        <v>1854</v>
      </c>
      <c r="B792" s="72" t="s">
        <v>139</v>
      </c>
      <c r="C792" s="73" t="str">
        <f t="shared" si="12"/>
        <v>Jeanne Jackson</v>
      </c>
    </row>
    <row r="793" spans="1:3" x14ac:dyDescent="0.3">
      <c r="A793" s="35" t="s">
        <v>1856</v>
      </c>
      <c r="B793" s="72" t="s">
        <v>219</v>
      </c>
      <c r="C793" s="73" t="str">
        <f t="shared" si="12"/>
        <v>Michelle Allen</v>
      </c>
    </row>
    <row r="794" spans="1:3" x14ac:dyDescent="0.3">
      <c r="A794" s="35" t="s">
        <v>1858</v>
      </c>
      <c r="B794" s="72" t="s">
        <v>18</v>
      </c>
      <c r="C794" s="73" t="str">
        <f t="shared" si="12"/>
        <v>Brenda Wright</v>
      </c>
    </row>
    <row r="795" spans="1:3" x14ac:dyDescent="0.3">
      <c r="A795" s="35" t="s">
        <v>1860</v>
      </c>
      <c r="B795" s="72" t="s">
        <v>57</v>
      </c>
      <c r="C795" s="73" t="str">
        <f t="shared" si="12"/>
        <v>Steve Juarez</v>
      </c>
    </row>
    <row r="796" spans="1:3" x14ac:dyDescent="0.3">
      <c r="A796" s="35" t="s">
        <v>1862</v>
      </c>
      <c r="B796" s="72" t="s">
        <v>88</v>
      </c>
      <c r="C796" s="73" t="str">
        <f t="shared" si="12"/>
        <v>James Mckinney</v>
      </c>
    </row>
    <row r="797" spans="1:3" x14ac:dyDescent="0.3">
      <c r="A797" s="35" t="s">
        <v>1864</v>
      </c>
      <c r="B797" s="72" t="s">
        <v>219</v>
      </c>
      <c r="C797" s="73" t="str">
        <f t="shared" si="12"/>
        <v>Mr. Matthew Coleman MD</v>
      </c>
    </row>
    <row r="798" spans="1:3" x14ac:dyDescent="0.3">
      <c r="A798" s="35" t="s">
        <v>1866</v>
      </c>
      <c r="B798" s="72" t="s">
        <v>37</v>
      </c>
      <c r="C798" s="73" t="str">
        <f t="shared" si="12"/>
        <v>Devin Anderson</v>
      </c>
    </row>
    <row r="799" spans="1:3" x14ac:dyDescent="0.3">
      <c r="A799" s="35" t="s">
        <v>1869</v>
      </c>
      <c r="B799" s="72" t="s">
        <v>18</v>
      </c>
      <c r="C799" s="73" t="str">
        <f t="shared" si="12"/>
        <v>Elizabeth King</v>
      </c>
    </row>
    <row r="800" spans="1:3" x14ac:dyDescent="0.3">
      <c r="A800" s="35" t="s">
        <v>1871</v>
      </c>
      <c r="B800" s="72" t="s">
        <v>139</v>
      </c>
      <c r="C800" s="73" t="str">
        <f t="shared" si="12"/>
        <v>Emily Molina</v>
      </c>
    </row>
    <row r="801" spans="1:3" x14ac:dyDescent="0.3">
      <c r="A801" s="35" t="s">
        <v>1873</v>
      </c>
      <c r="B801" s="72" t="s">
        <v>37</v>
      </c>
      <c r="C801" s="73" t="str">
        <f t="shared" si="12"/>
        <v>Michael Phillips</v>
      </c>
    </row>
    <row r="802" spans="1:3" x14ac:dyDescent="0.3">
      <c r="A802" s="35" t="s">
        <v>1875</v>
      </c>
      <c r="B802" s="72" t="s">
        <v>42</v>
      </c>
      <c r="C802" s="73" t="str">
        <f t="shared" si="12"/>
        <v>Amanda Nelson</v>
      </c>
    </row>
    <row r="803" spans="1:3" x14ac:dyDescent="0.3">
      <c r="A803" s="35" t="s">
        <v>1877</v>
      </c>
      <c r="B803" s="72" t="s">
        <v>139</v>
      </c>
      <c r="C803" s="73" t="str">
        <f t="shared" si="12"/>
        <v>Beth Parker</v>
      </c>
    </row>
    <row r="804" spans="1:3" x14ac:dyDescent="0.3">
      <c r="A804" s="35" t="s">
        <v>1879</v>
      </c>
      <c r="B804" s="72" t="s">
        <v>30</v>
      </c>
      <c r="C804" s="73" t="str">
        <f t="shared" si="12"/>
        <v>Rodney Bradshaw</v>
      </c>
    </row>
    <row r="805" spans="1:3" x14ac:dyDescent="0.3">
      <c r="A805" s="35" t="s">
        <v>1881</v>
      </c>
      <c r="B805" s="72" t="s">
        <v>195</v>
      </c>
      <c r="C805" s="73" t="str">
        <f t="shared" si="12"/>
        <v>Crystal Mullins</v>
      </c>
    </row>
    <row r="806" spans="1:3" x14ac:dyDescent="0.3">
      <c r="A806" s="35" t="s">
        <v>1883</v>
      </c>
      <c r="B806" s="72" t="s">
        <v>49</v>
      </c>
      <c r="C806" s="73" t="str">
        <f t="shared" si="12"/>
        <v>Jamie Jones</v>
      </c>
    </row>
    <row r="807" spans="1:3" x14ac:dyDescent="0.3">
      <c r="A807" s="35" t="s">
        <v>1885</v>
      </c>
      <c r="B807" s="72" t="s">
        <v>57</v>
      </c>
      <c r="C807" s="73" t="str">
        <f t="shared" si="12"/>
        <v>Mark Hernandez</v>
      </c>
    </row>
    <row r="808" spans="1:3" x14ac:dyDescent="0.3">
      <c r="A808" s="35" t="s">
        <v>1887</v>
      </c>
      <c r="B808" s="72" t="s">
        <v>139</v>
      </c>
      <c r="C808" s="73" t="str">
        <f t="shared" si="12"/>
        <v>Shane Daniels</v>
      </c>
    </row>
    <row r="809" spans="1:3" x14ac:dyDescent="0.3">
      <c r="A809" s="35" t="s">
        <v>1889</v>
      </c>
      <c r="B809" s="72" t="s">
        <v>144</v>
      </c>
      <c r="C809" s="73" t="str">
        <f t="shared" si="12"/>
        <v>Christopher Fletcher</v>
      </c>
    </row>
    <row r="810" spans="1:3" x14ac:dyDescent="0.3">
      <c r="A810" s="35" t="s">
        <v>1891</v>
      </c>
      <c r="B810" s="72" t="s">
        <v>42</v>
      </c>
      <c r="C810" s="73" t="str">
        <f t="shared" si="12"/>
        <v>Nathan Conner</v>
      </c>
    </row>
    <row r="811" spans="1:3" x14ac:dyDescent="0.3">
      <c r="A811" s="35" t="s">
        <v>1893</v>
      </c>
      <c r="B811" s="72" t="s">
        <v>95</v>
      </c>
      <c r="C811" s="73" t="str">
        <f t="shared" si="12"/>
        <v>Beverly Lowe</v>
      </c>
    </row>
    <row r="812" spans="1:3" x14ac:dyDescent="0.3">
      <c r="A812" s="35" t="s">
        <v>1895</v>
      </c>
      <c r="B812" s="72" t="s">
        <v>139</v>
      </c>
      <c r="C812" s="73" t="str">
        <f t="shared" si="12"/>
        <v>Melissa Leach</v>
      </c>
    </row>
    <row r="813" spans="1:3" x14ac:dyDescent="0.3">
      <c r="A813" s="35" t="s">
        <v>1897</v>
      </c>
      <c r="B813" s="72" t="s">
        <v>57</v>
      </c>
      <c r="C813" s="73" t="str">
        <f t="shared" si="12"/>
        <v>Catherine Miller</v>
      </c>
    </row>
    <row r="814" spans="1:3" x14ac:dyDescent="0.3">
      <c r="A814" s="35" t="s">
        <v>1899</v>
      </c>
      <c r="B814" s="72" t="s">
        <v>139</v>
      </c>
      <c r="C814" s="73" t="str">
        <f t="shared" si="12"/>
        <v>Michael David</v>
      </c>
    </row>
    <row r="815" spans="1:3" x14ac:dyDescent="0.3">
      <c r="A815" s="35" t="s">
        <v>1901</v>
      </c>
      <c r="B815" s="72" t="s">
        <v>144</v>
      </c>
      <c r="C815" s="73" t="str">
        <f t="shared" si="12"/>
        <v>Morgan Thomas</v>
      </c>
    </row>
    <row r="816" spans="1:3" x14ac:dyDescent="0.3">
      <c r="A816" s="35" t="s">
        <v>1903</v>
      </c>
      <c r="B816" s="72" t="s">
        <v>62</v>
      </c>
      <c r="C816" s="73" t="str">
        <f t="shared" si="12"/>
        <v>Tara Patel</v>
      </c>
    </row>
    <row r="817" spans="1:3" x14ac:dyDescent="0.3">
      <c r="A817" s="35" t="s">
        <v>1905</v>
      </c>
      <c r="B817" s="72" t="s">
        <v>62</v>
      </c>
      <c r="C817" s="73" t="str">
        <f t="shared" si="12"/>
        <v>Stephanie Ellis</v>
      </c>
    </row>
    <row r="818" spans="1:3" x14ac:dyDescent="0.3">
      <c r="A818" s="35" t="s">
        <v>1907</v>
      </c>
      <c r="B818" s="72" t="s">
        <v>144</v>
      </c>
      <c r="C818" s="73" t="str">
        <f t="shared" si="12"/>
        <v>Debra Powell</v>
      </c>
    </row>
    <row r="819" spans="1:3" x14ac:dyDescent="0.3">
      <c r="A819" s="35" t="s">
        <v>1909</v>
      </c>
      <c r="B819" s="72" t="s">
        <v>144</v>
      </c>
      <c r="C819" s="73" t="str">
        <f t="shared" si="12"/>
        <v>Troy Richards</v>
      </c>
    </row>
    <row r="820" spans="1:3" x14ac:dyDescent="0.3">
      <c r="A820" s="35" t="s">
        <v>1911</v>
      </c>
      <c r="B820" s="72" t="s">
        <v>18</v>
      </c>
      <c r="C820" s="73" t="str">
        <f t="shared" si="12"/>
        <v>Joseph Mata</v>
      </c>
    </row>
    <row r="821" spans="1:3" x14ac:dyDescent="0.3">
      <c r="A821" s="35" t="s">
        <v>1913</v>
      </c>
      <c r="B821" s="72" t="s">
        <v>72</v>
      </c>
      <c r="C821" s="73" t="str">
        <f t="shared" si="12"/>
        <v>Brian Campbell</v>
      </c>
    </row>
    <row r="822" spans="1:3" x14ac:dyDescent="0.3">
      <c r="A822" s="35" t="s">
        <v>1915</v>
      </c>
      <c r="B822" s="72" t="s">
        <v>195</v>
      </c>
      <c r="C822" s="73" t="str">
        <f t="shared" si="12"/>
        <v>Jasmine Smith</v>
      </c>
    </row>
    <row r="823" spans="1:3" x14ac:dyDescent="0.3">
      <c r="A823" s="35" t="s">
        <v>1917</v>
      </c>
      <c r="B823" s="72" t="s">
        <v>37</v>
      </c>
      <c r="C823" s="73" t="str">
        <f t="shared" si="12"/>
        <v>Alan Nicholson</v>
      </c>
    </row>
    <row r="824" spans="1:3" x14ac:dyDescent="0.3">
      <c r="A824" s="35" t="s">
        <v>1919</v>
      </c>
      <c r="B824" s="72" t="s">
        <v>62</v>
      </c>
      <c r="C824" s="73" t="str">
        <f t="shared" si="12"/>
        <v>Megan Wallace</v>
      </c>
    </row>
    <row r="825" spans="1:3" x14ac:dyDescent="0.3">
      <c r="A825" s="35" t="s">
        <v>1921</v>
      </c>
      <c r="B825" s="72" t="s">
        <v>195</v>
      </c>
      <c r="C825" s="73" t="str">
        <f t="shared" si="12"/>
        <v>William Brown</v>
      </c>
    </row>
    <row r="826" spans="1:3" x14ac:dyDescent="0.3">
      <c r="A826" s="35" t="s">
        <v>1923</v>
      </c>
      <c r="B826" s="72" t="s">
        <v>72</v>
      </c>
      <c r="C826" s="73" t="str">
        <f t="shared" si="12"/>
        <v>Eric Freeman</v>
      </c>
    </row>
    <row r="827" spans="1:3" x14ac:dyDescent="0.3">
      <c r="A827" s="35" t="s">
        <v>1925</v>
      </c>
      <c r="B827" s="72" t="s">
        <v>57</v>
      </c>
      <c r="C827" s="73" t="str">
        <f t="shared" si="12"/>
        <v>Bradley Mcmillan</v>
      </c>
    </row>
    <row r="828" spans="1:3" x14ac:dyDescent="0.3">
      <c r="A828" s="35" t="s">
        <v>1927</v>
      </c>
      <c r="B828" s="72" t="s">
        <v>62</v>
      </c>
      <c r="C828" s="73" t="str">
        <f t="shared" si="12"/>
        <v>Susan Benton</v>
      </c>
    </row>
    <row r="829" spans="1:3" x14ac:dyDescent="0.3">
      <c r="A829" s="35" t="s">
        <v>1929</v>
      </c>
      <c r="B829" s="72" t="s">
        <v>95</v>
      </c>
      <c r="C829" s="73" t="str">
        <f t="shared" si="12"/>
        <v>Michael Sanchez</v>
      </c>
    </row>
    <row r="830" spans="1:3" x14ac:dyDescent="0.3">
      <c r="A830" s="35" t="s">
        <v>1931</v>
      </c>
      <c r="B830" s="72" t="s">
        <v>37</v>
      </c>
      <c r="C830" s="73" t="str">
        <f t="shared" si="12"/>
        <v>James Parker</v>
      </c>
    </row>
    <row r="831" spans="1:3" x14ac:dyDescent="0.3">
      <c r="A831" s="35" t="s">
        <v>1933</v>
      </c>
      <c r="B831" s="72" t="s">
        <v>62</v>
      </c>
      <c r="C831" s="73" t="str">
        <f t="shared" si="12"/>
        <v>Rachel Cook</v>
      </c>
    </row>
    <row r="832" spans="1:3" x14ac:dyDescent="0.3">
      <c r="A832" s="35" t="s">
        <v>1935</v>
      </c>
      <c r="B832" s="72" t="s">
        <v>95</v>
      </c>
      <c r="C832" s="73" t="str">
        <f t="shared" si="12"/>
        <v>Shawn Zimmerman</v>
      </c>
    </row>
    <row r="833" spans="1:3" x14ac:dyDescent="0.3">
      <c r="A833" s="35" t="s">
        <v>1937</v>
      </c>
      <c r="B833" s="72" t="s">
        <v>139</v>
      </c>
      <c r="C833" s="73" t="str">
        <f t="shared" si="12"/>
        <v>Ashley Harris</v>
      </c>
    </row>
    <row r="834" spans="1:3" x14ac:dyDescent="0.3">
      <c r="A834" s="35" t="s">
        <v>1939</v>
      </c>
      <c r="B834" s="72" t="s">
        <v>42</v>
      </c>
      <c r="C834" s="73" t="str">
        <f t="shared" si="12"/>
        <v>Amanda Gonzalez</v>
      </c>
    </row>
    <row r="835" spans="1:3" x14ac:dyDescent="0.3">
      <c r="A835" s="35" t="s">
        <v>1941</v>
      </c>
      <c r="B835" s="72" t="s">
        <v>30</v>
      </c>
      <c r="C835" s="73" t="str">
        <f t="shared" si="12"/>
        <v>James Odonnell</v>
      </c>
    </row>
    <row r="836" spans="1:3" x14ac:dyDescent="0.3">
      <c r="A836" s="35" t="s">
        <v>1943</v>
      </c>
      <c r="B836" s="72" t="s">
        <v>42</v>
      </c>
      <c r="C836" s="73" t="str">
        <f t="shared" ref="C836:C899" si="13">HYPERLINK(B836,A836)</f>
        <v>Gail Hunt</v>
      </c>
    </row>
    <row r="837" spans="1:3" x14ac:dyDescent="0.3">
      <c r="A837" s="35" t="s">
        <v>1945</v>
      </c>
      <c r="B837" s="72" t="s">
        <v>49</v>
      </c>
      <c r="C837" s="73" t="str">
        <f t="shared" si="13"/>
        <v>Jessica Davis</v>
      </c>
    </row>
    <row r="838" spans="1:3" x14ac:dyDescent="0.3">
      <c r="A838" s="35" t="s">
        <v>1947</v>
      </c>
      <c r="B838" s="72" t="s">
        <v>49</v>
      </c>
      <c r="C838" s="73" t="str">
        <f t="shared" si="13"/>
        <v>Jose Curry</v>
      </c>
    </row>
    <row r="839" spans="1:3" x14ac:dyDescent="0.3">
      <c r="A839" s="35" t="s">
        <v>1949</v>
      </c>
      <c r="B839" s="72" t="s">
        <v>62</v>
      </c>
      <c r="C839" s="73" t="str">
        <f t="shared" si="13"/>
        <v>Lorraine Irwin</v>
      </c>
    </row>
    <row r="840" spans="1:3" x14ac:dyDescent="0.3">
      <c r="A840" s="35" t="s">
        <v>1951</v>
      </c>
      <c r="B840" s="72" t="s">
        <v>219</v>
      </c>
      <c r="C840" s="73" t="str">
        <f t="shared" si="13"/>
        <v>Tim Meyer</v>
      </c>
    </row>
    <row r="841" spans="1:3" x14ac:dyDescent="0.3">
      <c r="A841" s="35" t="s">
        <v>1953</v>
      </c>
      <c r="B841" s="72" t="s">
        <v>57</v>
      </c>
      <c r="C841" s="73" t="str">
        <f t="shared" si="13"/>
        <v>Tonya Erickson</v>
      </c>
    </row>
    <row r="842" spans="1:3" x14ac:dyDescent="0.3">
      <c r="A842" s="35" t="s">
        <v>1955</v>
      </c>
      <c r="B842" s="72" t="s">
        <v>49</v>
      </c>
      <c r="C842" s="73" t="str">
        <f t="shared" si="13"/>
        <v>Jessica Wheeler</v>
      </c>
    </row>
    <row r="843" spans="1:3" x14ac:dyDescent="0.3">
      <c r="A843" s="35" t="s">
        <v>1957</v>
      </c>
      <c r="B843" s="72" t="s">
        <v>144</v>
      </c>
      <c r="C843" s="73" t="str">
        <f t="shared" si="13"/>
        <v>Katherine Woods</v>
      </c>
    </row>
    <row r="844" spans="1:3" x14ac:dyDescent="0.3">
      <c r="A844" s="35" t="s">
        <v>1959</v>
      </c>
      <c r="B844" s="72" t="s">
        <v>139</v>
      </c>
      <c r="C844" s="73" t="str">
        <f t="shared" si="13"/>
        <v>Michelle Mcbride</v>
      </c>
    </row>
    <row r="845" spans="1:3" x14ac:dyDescent="0.3">
      <c r="A845" s="35" t="s">
        <v>1962</v>
      </c>
      <c r="B845" s="72" t="s">
        <v>62</v>
      </c>
      <c r="C845" s="73" t="str">
        <f t="shared" si="13"/>
        <v>Lori Rodriguez</v>
      </c>
    </row>
    <row r="846" spans="1:3" x14ac:dyDescent="0.3">
      <c r="A846" s="35" t="s">
        <v>1964</v>
      </c>
      <c r="B846" s="72" t="s">
        <v>62</v>
      </c>
      <c r="C846" s="73" t="str">
        <f t="shared" si="13"/>
        <v>Ellen Palmer</v>
      </c>
    </row>
    <row r="847" spans="1:3" x14ac:dyDescent="0.3">
      <c r="A847" s="35" t="s">
        <v>1966</v>
      </c>
      <c r="B847" s="72" t="s">
        <v>219</v>
      </c>
      <c r="C847" s="73" t="str">
        <f t="shared" si="13"/>
        <v>Diane Tran</v>
      </c>
    </row>
    <row r="848" spans="1:3" x14ac:dyDescent="0.3">
      <c r="A848" s="35" t="s">
        <v>1968</v>
      </c>
      <c r="B848" s="72" t="s">
        <v>72</v>
      </c>
      <c r="C848" s="73" t="str">
        <f t="shared" si="13"/>
        <v>Scott Morgan</v>
      </c>
    </row>
    <row r="849" spans="1:3" x14ac:dyDescent="0.3">
      <c r="A849" s="35" t="s">
        <v>1970</v>
      </c>
      <c r="B849" s="72" t="s">
        <v>49</v>
      </c>
      <c r="C849" s="73" t="str">
        <f t="shared" si="13"/>
        <v>Matthew Rivas</v>
      </c>
    </row>
    <row r="850" spans="1:3" x14ac:dyDescent="0.3">
      <c r="A850" s="35" t="s">
        <v>1972</v>
      </c>
      <c r="B850" s="72" t="s">
        <v>49</v>
      </c>
      <c r="C850" s="73" t="str">
        <f t="shared" si="13"/>
        <v>Christina Davidson</v>
      </c>
    </row>
    <row r="851" spans="1:3" x14ac:dyDescent="0.3">
      <c r="A851" s="35" t="s">
        <v>1974</v>
      </c>
      <c r="B851" s="72" t="s">
        <v>195</v>
      </c>
      <c r="C851" s="73" t="str">
        <f t="shared" si="13"/>
        <v>Carl Jackson</v>
      </c>
    </row>
    <row r="852" spans="1:3" x14ac:dyDescent="0.3">
      <c r="A852" s="35" t="s">
        <v>1976</v>
      </c>
      <c r="B852" s="72" t="s">
        <v>195</v>
      </c>
      <c r="C852" s="73" t="str">
        <f t="shared" si="13"/>
        <v>Chad Guzman</v>
      </c>
    </row>
    <row r="853" spans="1:3" x14ac:dyDescent="0.3">
      <c r="A853" s="35" t="s">
        <v>1978</v>
      </c>
      <c r="B853" s="72" t="s">
        <v>37</v>
      </c>
      <c r="C853" s="73" t="str">
        <f t="shared" si="13"/>
        <v>Bradley Jackson</v>
      </c>
    </row>
    <row r="854" spans="1:3" x14ac:dyDescent="0.3">
      <c r="A854" s="35" t="s">
        <v>1980</v>
      </c>
      <c r="B854" s="72" t="s">
        <v>42</v>
      </c>
      <c r="C854" s="73" t="str">
        <f t="shared" si="13"/>
        <v>Shawn Graves</v>
      </c>
    </row>
    <row r="855" spans="1:3" x14ac:dyDescent="0.3">
      <c r="A855" s="35" t="s">
        <v>1982</v>
      </c>
      <c r="B855" s="72" t="s">
        <v>168</v>
      </c>
      <c r="C855" s="73" t="str">
        <f t="shared" si="13"/>
        <v>James Lewis</v>
      </c>
    </row>
    <row r="856" spans="1:3" x14ac:dyDescent="0.3">
      <c r="A856" s="35" t="s">
        <v>1984</v>
      </c>
      <c r="B856" s="72" t="s">
        <v>62</v>
      </c>
      <c r="C856" s="73" t="str">
        <f t="shared" si="13"/>
        <v>Ryan Garcia</v>
      </c>
    </row>
    <row r="857" spans="1:3" x14ac:dyDescent="0.3">
      <c r="A857" s="35" t="s">
        <v>1986</v>
      </c>
      <c r="B857" s="72" t="s">
        <v>88</v>
      </c>
      <c r="C857" s="73" t="str">
        <f t="shared" si="13"/>
        <v>Charles Green</v>
      </c>
    </row>
    <row r="858" spans="1:3" x14ac:dyDescent="0.3">
      <c r="A858" s="35" t="s">
        <v>1988</v>
      </c>
      <c r="B858" s="72" t="s">
        <v>139</v>
      </c>
      <c r="C858" s="73" t="str">
        <f t="shared" si="13"/>
        <v>Jeffrey Hamilton</v>
      </c>
    </row>
    <row r="859" spans="1:3" x14ac:dyDescent="0.3">
      <c r="A859" s="35" t="s">
        <v>1990</v>
      </c>
      <c r="B859" s="72" t="s">
        <v>37</v>
      </c>
      <c r="C859" s="73" t="str">
        <f t="shared" si="13"/>
        <v>Joseph Thomas</v>
      </c>
    </row>
    <row r="860" spans="1:3" x14ac:dyDescent="0.3">
      <c r="A860" s="35" t="s">
        <v>1992</v>
      </c>
      <c r="B860" s="72" t="s">
        <v>57</v>
      </c>
      <c r="C860" s="73" t="str">
        <f t="shared" si="13"/>
        <v>Amber Mueller</v>
      </c>
    </row>
    <row r="861" spans="1:3" x14ac:dyDescent="0.3">
      <c r="A861" s="35" t="s">
        <v>1994</v>
      </c>
      <c r="B861" s="72" t="s">
        <v>144</v>
      </c>
      <c r="C861" s="73" t="str">
        <f t="shared" si="13"/>
        <v>Brenda Stevens</v>
      </c>
    </row>
    <row r="862" spans="1:3" x14ac:dyDescent="0.3">
      <c r="A862" s="35" t="s">
        <v>1996</v>
      </c>
      <c r="B862" s="72" t="s">
        <v>57</v>
      </c>
      <c r="C862" s="73" t="str">
        <f t="shared" si="13"/>
        <v>Howard Jackson</v>
      </c>
    </row>
    <row r="863" spans="1:3" x14ac:dyDescent="0.3">
      <c r="A863" s="35" t="s">
        <v>1998</v>
      </c>
      <c r="B863" s="72" t="s">
        <v>57</v>
      </c>
      <c r="C863" s="73" t="str">
        <f t="shared" si="13"/>
        <v>Victor Camacho</v>
      </c>
    </row>
    <row r="864" spans="1:3" x14ac:dyDescent="0.3">
      <c r="A864" s="35" t="s">
        <v>2000</v>
      </c>
      <c r="B864" s="72" t="s">
        <v>62</v>
      </c>
      <c r="C864" s="73" t="str">
        <f t="shared" si="13"/>
        <v>Anthony Hansen</v>
      </c>
    </row>
    <row r="865" spans="1:3" x14ac:dyDescent="0.3">
      <c r="A865" s="35" t="s">
        <v>2002</v>
      </c>
      <c r="B865" s="72" t="s">
        <v>88</v>
      </c>
      <c r="C865" s="73" t="str">
        <f t="shared" si="13"/>
        <v>Michael Holt</v>
      </c>
    </row>
    <row r="866" spans="1:3" x14ac:dyDescent="0.3">
      <c r="A866" s="35" t="s">
        <v>2004</v>
      </c>
      <c r="B866" s="72" t="s">
        <v>30</v>
      </c>
      <c r="C866" s="73" t="str">
        <f t="shared" si="13"/>
        <v>Patrick Johnson</v>
      </c>
    </row>
    <row r="867" spans="1:3" x14ac:dyDescent="0.3">
      <c r="A867" s="35" t="s">
        <v>2006</v>
      </c>
      <c r="B867" s="72" t="s">
        <v>49</v>
      </c>
      <c r="C867" s="73" t="str">
        <f t="shared" si="13"/>
        <v>Lisa Parker</v>
      </c>
    </row>
    <row r="868" spans="1:3" x14ac:dyDescent="0.3">
      <c r="A868" s="35" t="s">
        <v>2008</v>
      </c>
      <c r="B868" s="72" t="s">
        <v>62</v>
      </c>
      <c r="C868" s="73" t="str">
        <f t="shared" si="13"/>
        <v>Charles Flores</v>
      </c>
    </row>
    <row r="869" spans="1:3" x14ac:dyDescent="0.3">
      <c r="A869" s="35" t="s">
        <v>2010</v>
      </c>
      <c r="B869" s="72" t="s">
        <v>95</v>
      </c>
      <c r="C869" s="73" t="str">
        <f t="shared" si="13"/>
        <v>Alexis Bell</v>
      </c>
    </row>
    <row r="870" spans="1:3" x14ac:dyDescent="0.3">
      <c r="A870" s="35" t="s">
        <v>2012</v>
      </c>
      <c r="B870" s="72" t="s">
        <v>42</v>
      </c>
      <c r="C870" s="73" t="str">
        <f t="shared" si="13"/>
        <v>Holly Harris</v>
      </c>
    </row>
    <row r="871" spans="1:3" x14ac:dyDescent="0.3">
      <c r="A871" s="35" t="s">
        <v>2014</v>
      </c>
      <c r="B871" s="72" t="s">
        <v>30</v>
      </c>
      <c r="C871" s="73" t="str">
        <f t="shared" si="13"/>
        <v>Seth West</v>
      </c>
    </row>
    <row r="872" spans="1:3" x14ac:dyDescent="0.3">
      <c r="A872" s="35" t="s">
        <v>2016</v>
      </c>
      <c r="B872" s="72" t="s">
        <v>72</v>
      </c>
      <c r="C872" s="73" t="str">
        <f t="shared" si="13"/>
        <v>Brittany Arnold</v>
      </c>
    </row>
    <row r="873" spans="1:3" x14ac:dyDescent="0.3">
      <c r="A873" s="35" t="s">
        <v>2018</v>
      </c>
      <c r="B873" s="72" t="s">
        <v>72</v>
      </c>
      <c r="C873" s="73" t="str">
        <f t="shared" si="13"/>
        <v>Melissa Poole</v>
      </c>
    </row>
    <row r="874" spans="1:3" x14ac:dyDescent="0.3">
      <c r="A874" s="35" t="s">
        <v>2020</v>
      </c>
      <c r="B874" s="72" t="s">
        <v>95</v>
      </c>
      <c r="C874" s="73" t="str">
        <f t="shared" si="13"/>
        <v>Anthony Taylor</v>
      </c>
    </row>
    <row r="875" spans="1:3" x14ac:dyDescent="0.3">
      <c r="A875" s="35" t="s">
        <v>278</v>
      </c>
      <c r="B875" s="72" t="s">
        <v>42</v>
      </c>
      <c r="C875" s="73" t="str">
        <f t="shared" si="13"/>
        <v>Michael Rodriguez</v>
      </c>
    </row>
    <row r="876" spans="1:3" x14ac:dyDescent="0.3">
      <c r="A876" s="35" t="s">
        <v>374</v>
      </c>
      <c r="B876" s="72" t="s">
        <v>37</v>
      </c>
      <c r="C876" s="73" t="str">
        <f t="shared" si="13"/>
        <v>Nicole Rodriguez</v>
      </c>
    </row>
    <row r="877" spans="1:3" x14ac:dyDescent="0.3">
      <c r="A877" s="35" t="s">
        <v>2024</v>
      </c>
      <c r="B877" s="72" t="s">
        <v>144</v>
      </c>
      <c r="C877" s="73" t="str">
        <f t="shared" si="13"/>
        <v>Donald Murray</v>
      </c>
    </row>
    <row r="878" spans="1:3" x14ac:dyDescent="0.3">
      <c r="A878" s="35" t="s">
        <v>2026</v>
      </c>
      <c r="B878" s="72" t="s">
        <v>139</v>
      </c>
      <c r="C878" s="73" t="str">
        <f t="shared" si="13"/>
        <v>Amanda Dickerson</v>
      </c>
    </row>
    <row r="879" spans="1:3" x14ac:dyDescent="0.3">
      <c r="A879" s="35" t="s">
        <v>2028</v>
      </c>
      <c r="B879" s="72" t="s">
        <v>195</v>
      </c>
      <c r="C879" s="73" t="str">
        <f t="shared" si="13"/>
        <v>Ronald Ramsey</v>
      </c>
    </row>
    <row r="880" spans="1:3" x14ac:dyDescent="0.3">
      <c r="A880" s="35" t="s">
        <v>2030</v>
      </c>
      <c r="B880" s="72" t="s">
        <v>144</v>
      </c>
      <c r="C880" s="73" t="str">
        <f t="shared" si="13"/>
        <v>Anthony Wright</v>
      </c>
    </row>
    <row r="881" spans="1:3" x14ac:dyDescent="0.3">
      <c r="A881" s="35" t="s">
        <v>2032</v>
      </c>
      <c r="B881" s="72" t="s">
        <v>95</v>
      </c>
      <c r="C881" s="73" t="str">
        <f t="shared" si="13"/>
        <v>Nicole Morris</v>
      </c>
    </row>
    <row r="882" spans="1:3" x14ac:dyDescent="0.3">
      <c r="A882" s="35" t="s">
        <v>2034</v>
      </c>
      <c r="B882" s="72" t="s">
        <v>37</v>
      </c>
      <c r="C882" s="73" t="str">
        <f t="shared" si="13"/>
        <v>Derek Archer</v>
      </c>
    </row>
    <row r="883" spans="1:3" x14ac:dyDescent="0.3">
      <c r="A883" s="35" t="s">
        <v>2036</v>
      </c>
      <c r="B883" s="72" t="s">
        <v>144</v>
      </c>
      <c r="C883" s="73" t="str">
        <f t="shared" si="13"/>
        <v>Joseph Johnson</v>
      </c>
    </row>
    <row r="884" spans="1:3" x14ac:dyDescent="0.3">
      <c r="A884" s="35" t="s">
        <v>2038</v>
      </c>
      <c r="B884" s="72" t="s">
        <v>219</v>
      </c>
      <c r="C884" s="73" t="str">
        <f t="shared" si="13"/>
        <v>Robert Joyce</v>
      </c>
    </row>
    <row r="885" spans="1:3" x14ac:dyDescent="0.3">
      <c r="A885" s="35" t="s">
        <v>2040</v>
      </c>
      <c r="B885" s="72" t="s">
        <v>168</v>
      </c>
      <c r="C885" s="73" t="str">
        <f t="shared" si="13"/>
        <v>Amy Cochran</v>
      </c>
    </row>
    <row r="886" spans="1:3" x14ac:dyDescent="0.3">
      <c r="A886" s="35" t="s">
        <v>2042</v>
      </c>
      <c r="B886" s="72" t="s">
        <v>57</v>
      </c>
      <c r="C886" s="73" t="str">
        <f t="shared" si="13"/>
        <v>Michael Hayes</v>
      </c>
    </row>
    <row r="887" spans="1:3" x14ac:dyDescent="0.3">
      <c r="A887" s="35" t="s">
        <v>2044</v>
      </c>
      <c r="B887" s="72" t="s">
        <v>37</v>
      </c>
      <c r="C887" s="73" t="str">
        <f t="shared" si="13"/>
        <v>Erin Larson</v>
      </c>
    </row>
    <row r="888" spans="1:3" x14ac:dyDescent="0.3">
      <c r="A888" s="35" t="s">
        <v>2046</v>
      </c>
      <c r="B888" s="72" t="s">
        <v>144</v>
      </c>
      <c r="C888" s="73" t="str">
        <f t="shared" si="13"/>
        <v>Billy Smith</v>
      </c>
    </row>
    <row r="889" spans="1:3" x14ac:dyDescent="0.3">
      <c r="A889" s="35" t="s">
        <v>2048</v>
      </c>
      <c r="B889" s="72" t="s">
        <v>219</v>
      </c>
      <c r="C889" s="73" t="str">
        <f t="shared" si="13"/>
        <v>Savannah Warner</v>
      </c>
    </row>
    <row r="890" spans="1:3" x14ac:dyDescent="0.3">
      <c r="A890" s="35" t="s">
        <v>2050</v>
      </c>
      <c r="B890" s="72" t="s">
        <v>62</v>
      </c>
      <c r="C890" s="73" t="str">
        <f t="shared" si="13"/>
        <v>Christina Le</v>
      </c>
    </row>
    <row r="891" spans="1:3" x14ac:dyDescent="0.3">
      <c r="A891" s="35" t="s">
        <v>2052</v>
      </c>
      <c r="B891" s="72" t="s">
        <v>195</v>
      </c>
      <c r="C891" s="73" t="str">
        <f t="shared" si="13"/>
        <v>Kyle Mcgee</v>
      </c>
    </row>
    <row r="892" spans="1:3" x14ac:dyDescent="0.3">
      <c r="A892" s="35" t="s">
        <v>2054</v>
      </c>
      <c r="B892" s="72" t="s">
        <v>139</v>
      </c>
      <c r="C892" s="73" t="str">
        <f t="shared" si="13"/>
        <v>Tyler Kaufman</v>
      </c>
    </row>
    <row r="893" spans="1:3" x14ac:dyDescent="0.3">
      <c r="A893" s="35" t="s">
        <v>2056</v>
      </c>
      <c r="B893" s="72" t="s">
        <v>18</v>
      </c>
      <c r="C893" s="73" t="str">
        <f t="shared" si="13"/>
        <v>Daniel Lewis</v>
      </c>
    </row>
    <row r="894" spans="1:3" x14ac:dyDescent="0.3">
      <c r="A894" s="35" t="s">
        <v>2058</v>
      </c>
      <c r="B894" s="72" t="s">
        <v>72</v>
      </c>
      <c r="C894" s="73" t="str">
        <f t="shared" si="13"/>
        <v>Kristy Mitchell</v>
      </c>
    </row>
    <row r="895" spans="1:3" x14ac:dyDescent="0.3">
      <c r="A895" s="35" t="s">
        <v>2060</v>
      </c>
      <c r="B895" s="72" t="s">
        <v>49</v>
      </c>
      <c r="C895" s="73" t="str">
        <f t="shared" si="13"/>
        <v>Christopher Alexander</v>
      </c>
    </row>
    <row r="896" spans="1:3" x14ac:dyDescent="0.3">
      <c r="A896" s="35" t="s">
        <v>2062</v>
      </c>
      <c r="B896" s="72" t="s">
        <v>95</v>
      </c>
      <c r="C896" s="73" t="str">
        <f t="shared" si="13"/>
        <v>David Henderson</v>
      </c>
    </row>
    <row r="897" spans="1:3" x14ac:dyDescent="0.3">
      <c r="A897" s="35" t="s">
        <v>2064</v>
      </c>
      <c r="B897" s="72" t="s">
        <v>37</v>
      </c>
      <c r="C897" s="73" t="str">
        <f t="shared" si="13"/>
        <v>Brandon Rivers</v>
      </c>
    </row>
    <row r="898" spans="1:3" x14ac:dyDescent="0.3">
      <c r="A898" s="35" t="s">
        <v>2066</v>
      </c>
      <c r="B898" s="72" t="s">
        <v>49</v>
      </c>
      <c r="C898" s="73" t="str">
        <f t="shared" si="13"/>
        <v>Samantha Mendoza</v>
      </c>
    </row>
    <row r="899" spans="1:3" x14ac:dyDescent="0.3">
      <c r="A899" s="35" t="s">
        <v>2068</v>
      </c>
      <c r="B899" s="72" t="s">
        <v>49</v>
      </c>
      <c r="C899" s="73" t="str">
        <f t="shared" si="13"/>
        <v>Marcus Sanders</v>
      </c>
    </row>
    <row r="900" spans="1:3" x14ac:dyDescent="0.3">
      <c r="A900" s="35" t="s">
        <v>2070</v>
      </c>
      <c r="B900" s="72" t="s">
        <v>95</v>
      </c>
      <c r="C900" s="73" t="str">
        <f t="shared" ref="C900:C963" si="14">HYPERLINK(B900,A900)</f>
        <v>Lisa Miller</v>
      </c>
    </row>
    <row r="901" spans="1:3" x14ac:dyDescent="0.3">
      <c r="A901" s="35" t="s">
        <v>2072</v>
      </c>
      <c r="B901" s="72" t="s">
        <v>62</v>
      </c>
      <c r="C901" s="73" t="str">
        <f t="shared" si="14"/>
        <v>Laura Park</v>
      </c>
    </row>
    <row r="902" spans="1:3" x14ac:dyDescent="0.3">
      <c r="A902" s="35" t="s">
        <v>2074</v>
      </c>
      <c r="B902" s="72" t="s">
        <v>144</v>
      </c>
      <c r="C902" s="73" t="str">
        <f t="shared" si="14"/>
        <v>Amy Compton</v>
      </c>
    </row>
    <row r="903" spans="1:3" x14ac:dyDescent="0.3">
      <c r="A903" s="35" t="s">
        <v>2076</v>
      </c>
      <c r="B903" s="72" t="s">
        <v>144</v>
      </c>
      <c r="C903" s="73" t="str">
        <f t="shared" si="14"/>
        <v>Amber Rodriguez</v>
      </c>
    </row>
    <row r="904" spans="1:3" x14ac:dyDescent="0.3">
      <c r="A904" s="35" t="s">
        <v>2078</v>
      </c>
      <c r="B904" s="72" t="s">
        <v>49</v>
      </c>
      <c r="C904" s="73" t="str">
        <f t="shared" si="14"/>
        <v>Caitlyn Cole</v>
      </c>
    </row>
    <row r="905" spans="1:3" x14ac:dyDescent="0.3">
      <c r="A905" s="35" t="s">
        <v>2080</v>
      </c>
      <c r="B905" s="72" t="s">
        <v>30</v>
      </c>
      <c r="C905" s="73" t="str">
        <f t="shared" si="14"/>
        <v>Jeremy Drake</v>
      </c>
    </row>
    <row r="906" spans="1:3" x14ac:dyDescent="0.3">
      <c r="A906" s="35" t="s">
        <v>2082</v>
      </c>
      <c r="B906" s="72" t="s">
        <v>195</v>
      </c>
      <c r="C906" s="73" t="str">
        <f t="shared" si="14"/>
        <v>Nicole Newton</v>
      </c>
    </row>
    <row r="907" spans="1:3" x14ac:dyDescent="0.3">
      <c r="A907" s="35" t="s">
        <v>2084</v>
      </c>
      <c r="B907" s="72" t="s">
        <v>144</v>
      </c>
      <c r="C907" s="73" t="str">
        <f t="shared" si="14"/>
        <v>Adam White</v>
      </c>
    </row>
    <row r="908" spans="1:3" x14ac:dyDescent="0.3">
      <c r="A908" s="35" t="s">
        <v>2086</v>
      </c>
      <c r="B908" s="72" t="s">
        <v>62</v>
      </c>
      <c r="C908" s="73" t="str">
        <f t="shared" si="14"/>
        <v>Sarah Anderson</v>
      </c>
    </row>
    <row r="909" spans="1:3" x14ac:dyDescent="0.3">
      <c r="A909" s="35" t="s">
        <v>2089</v>
      </c>
      <c r="B909" s="72" t="s">
        <v>144</v>
      </c>
      <c r="C909" s="73" t="str">
        <f t="shared" si="14"/>
        <v>Jesse Williams</v>
      </c>
    </row>
    <row r="910" spans="1:3" x14ac:dyDescent="0.3">
      <c r="A910" s="35" t="s">
        <v>2091</v>
      </c>
      <c r="B910" s="72" t="s">
        <v>30</v>
      </c>
      <c r="C910" s="73" t="str">
        <f t="shared" si="14"/>
        <v>Dr. Jennifer Washington DVM</v>
      </c>
    </row>
    <row r="911" spans="1:3" x14ac:dyDescent="0.3">
      <c r="A911" s="35" t="s">
        <v>2093</v>
      </c>
      <c r="B911" s="72" t="s">
        <v>88</v>
      </c>
      <c r="C911" s="73" t="str">
        <f t="shared" si="14"/>
        <v>Holly Davenport</v>
      </c>
    </row>
    <row r="912" spans="1:3" x14ac:dyDescent="0.3">
      <c r="A912" s="35" t="s">
        <v>2095</v>
      </c>
      <c r="B912" s="72" t="s">
        <v>88</v>
      </c>
      <c r="C912" s="73" t="str">
        <f t="shared" si="14"/>
        <v>Daniel Shelton</v>
      </c>
    </row>
    <row r="913" spans="1:3" x14ac:dyDescent="0.3">
      <c r="A913" s="35" t="s">
        <v>2097</v>
      </c>
      <c r="B913" s="72" t="s">
        <v>195</v>
      </c>
      <c r="C913" s="73" t="str">
        <f t="shared" si="14"/>
        <v>Dr. Karen Avila</v>
      </c>
    </row>
    <row r="914" spans="1:3" x14ac:dyDescent="0.3">
      <c r="A914" s="35" t="s">
        <v>2099</v>
      </c>
      <c r="B914" s="72" t="s">
        <v>49</v>
      </c>
      <c r="C914" s="73" t="str">
        <f t="shared" si="14"/>
        <v>Dr. Andrew Conrad</v>
      </c>
    </row>
    <row r="915" spans="1:3" x14ac:dyDescent="0.3">
      <c r="A915" s="35" t="s">
        <v>2101</v>
      </c>
      <c r="B915" s="72" t="s">
        <v>139</v>
      </c>
      <c r="C915" s="73" t="str">
        <f t="shared" si="14"/>
        <v>Allen Evans</v>
      </c>
    </row>
    <row r="916" spans="1:3" x14ac:dyDescent="0.3">
      <c r="A916" s="35" t="s">
        <v>2103</v>
      </c>
      <c r="B916" s="72" t="s">
        <v>42</v>
      </c>
      <c r="C916" s="73" t="str">
        <f t="shared" si="14"/>
        <v>Joseph Burns</v>
      </c>
    </row>
    <row r="917" spans="1:3" x14ac:dyDescent="0.3">
      <c r="A917" s="35" t="s">
        <v>2105</v>
      </c>
      <c r="B917" s="72" t="s">
        <v>49</v>
      </c>
      <c r="C917" s="73" t="str">
        <f t="shared" si="14"/>
        <v>Anthony Dawson</v>
      </c>
    </row>
    <row r="918" spans="1:3" x14ac:dyDescent="0.3">
      <c r="A918" s="35" t="s">
        <v>2107</v>
      </c>
      <c r="B918" s="72" t="s">
        <v>195</v>
      </c>
      <c r="C918" s="73" t="str">
        <f t="shared" si="14"/>
        <v>Judy Allison</v>
      </c>
    </row>
    <row r="919" spans="1:3" x14ac:dyDescent="0.3">
      <c r="A919" s="35" t="s">
        <v>2109</v>
      </c>
      <c r="B919" s="72" t="s">
        <v>88</v>
      </c>
      <c r="C919" s="73" t="str">
        <f t="shared" si="14"/>
        <v>Tina Griffith</v>
      </c>
    </row>
    <row r="920" spans="1:3" x14ac:dyDescent="0.3">
      <c r="A920" s="35" t="s">
        <v>2112</v>
      </c>
      <c r="B920" s="72" t="s">
        <v>95</v>
      </c>
      <c r="C920" s="73" t="str">
        <f t="shared" si="14"/>
        <v>Carol Malone</v>
      </c>
    </row>
    <row r="921" spans="1:3" x14ac:dyDescent="0.3">
      <c r="A921" s="35" t="s">
        <v>2114</v>
      </c>
      <c r="B921" s="72" t="s">
        <v>219</v>
      </c>
      <c r="C921" s="73" t="str">
        <f t="shared" si="14"/>
        <v>Mary Arnold</v>
      </c>
    </row>
    <row r="922" spans="1:3" x14ac:dyDescent="0.3">
      <c r="A922" s="35" t="s">
        <v>2116</v>
      </c>
      <c r="B922" s="72" t="s">
        <v>168</v>
      </c>
      <c r="C922" s="73" t="str">
        <f t="shared" si="14"/>
        <v>Amanda Lambert</v>
      </c>
    </row>
    <row r="923" spans="1:3" x14ac:dyDescent="0.3">
      <c r="A923" s="35" t="s">
        <v>2118</v>
      </c>
      <c r="B923" s="72" t="s">
        <v>62</v>
      </c>
      <c r="C923" s="73" t="str">
        <f t="shared" si="14"/>
        <v>Tom Le</v>
      </c>
    </row>
    <row r="924" spans="1:3" x14ac:dyDescent="0.3">
      <c r="A924" s="35" t="s">
        <v>2120</v>
      </c>
      <c r="B924" s="72" t="s">
        <v>219</v>
      </c>
      <c r="C924" s="73" t="str">
        <f t="shared" si="14"/>
        <v>Gina Smith</v>
      </c>
    </row>
    <row r="925" spans="1:3" x14ac:dyDescent="0.3">
      <c r="A925" s="35" t="s">
        <v>2122</v>
      </c>
      <c r="B925" s="72" t="s">
        <v>30</v>
      </c>
      <c r="C925" s="73" t="str">
        <f t="shared" si="14"/>
        <v>Monica Wilson</v>
      </c>
    </row>
    <row r="926" spans="1:3" x14ac:dyDescent="0.3">
      <c r="A926" s="35" t="s">
        <v>2124</v>
      </c>
      <c r="B926" s="72" t="s">
        <v>95</v>
      </c>
      <c r="C926" s="73" t="str">
        <f t="shared" si="14"/>
        <v>Maxwell Miller</v>
      </c>
    </row>
    <row r="927" spans="1:3" x14ac:dyDescent="0.3">
      <c r="A927" s="35" t="s">
        <v>2126</v>
      </c>
      <c r="B927" s="72" t="s">
        <v>30</v>
      </c>
      <c r="C927" s="73" t="str">
        <f t="shared" si="14"/>
        <v>Jonathan Phillips DDS</v>
      </c>
    </row>
    <row r="928" spans="1:3" x14ac:dyDescent="0.3">
      <c r="A928" s="35" t="s">
        <v>2128</v>
      </c>
      <c r="B928" s="72" t="s">
        <v>168</v>
      </c>
      <c r="C928" s="73" t="str">
        <f t="shared" si="14"/>
        <v>Brandon Sanford</v>
      </c>
    </row>
    <row r="929" spans="1:3" x14ac:dyDescent="0.3">
      <c r="A929" s="35" t="s">
        <v>2130</v>
      </c>
      <c r="B929" s="72" t="s">
        <v>139</v>
      </c>
      <c r="C929" s="73" t="str">
        <f t="shared" si="14"/>
        <v>Felicia Smith</v>
      </c>
    </row>
    <row r="930" spans="1:3" x14ac:dyDescent="0.3">
      <c r="A930" s="35" t="s">
        <v>2132</v>
      </c>
      <c r="B930" s="72" t="s">
        <v>42</v>
      </c>
      <c r="C930" s="73" t="str">
        <f t="shared" si="14"/>
        <v>Sean Barnett</v>
      </c>
    </row>
    <row r="931" spans="1:3" x14ac:dyDescent="0.3">
      <c r="A931" s="35" t="s">
        <v>2134</v>
      </c>
      <c r="B931" s="72" t="s">
        <v>88</v>
      </c>
      <c r="C931" s="73" t="str">
        <f t="shared" si="14"/>
        <v>Laura Holt</v>
      </c>
    </row>
    <row r="932" spans="1:3" x14ac:dyDescent="0.3">
      <c r="A932" s="35" t="s">
        <v>2136</v>
      </c>
      <c r="B932" s="72" t="s">
        <v>88</v>
      </c>
      <c r="C932" s="73" t="str">
        <f t="shared" si="14"/>
        <v>Julie Miller</v>
      </c>
    </row>
    <row r="933" spans="1:3" x14ac:dyDescent="0.3">
      <c r="A933" s="35" t="s">
        <v>2138</v>
      </c>
      <c r="B933" s="72" t="s">
        <v>49</v>
      </c>
      <c r="C933" s="73" t="str">
        <f t="shared" si="14"/>
        <v>Jason Kim</v>
      </c>
    </row>
    <row r="934" spans="1:3" x14ac:dyDescent="0.3">
      <c r="A934" s="35" t="s">
        <v>2140</v>
      </c>
      <c r="B934" s="72" t="s">
        <v>42</v>
      </c>
      <c r="C934" s="73" t="str">
        <f t="shared" si="14"/>
        <v>Jennifer Evans</v>
      </c>
    </row>
    <row r="935" spans="1:3" x14ac:dyDescent="0.3">
      <c r="A935" s="35" t="s">
        <v>2142</v>
      </c>
      <c r="B935" s="72" t="s">
        <v>30</v>
      </c>
      <c r="C935" s="73" t="str">
        <f t="shared" si="14"/>
        <v>Kathryn Taylor</v>
      </c>
    </row>
    <row r="936" spans="1:3" x14ac:dyDescent="0.3">
      <c r="A936" s="35" t="s">
        <v>2144</v>
      </c>
      <c r="B936" s="72" t="s">
        <v>219</v>
      </c>
      <c r="C936" s="73" t="str">
        <f t="shared" si="14"/>
        <v>Amy Perez</v>
      </c>
    </row>
    <row r="937" spans="1:3" x14ac:dyDescent="0.3">
      <c r="A937" s="35" t="s">
        <v>2146</v>
      </c>
      <c r="B937" s="72" t="s">
        <v>88</v>
      </c>
      <c r="C937" s="73" t="str">
        <f t="shared" si="14"/>
        <v>Vincent Hicks</v>
      </c>
    </row>
    <row r="938" spans="1:3" x14ac:dyDescent="0.3">
      <c r="A938" s="35" t="s">
        <v>2148</v>
      </c>
      <c r="B938" s="72" t="s">
        <v>139</v>
      </c>
      <c r="C938" s="73" t="str">
        <f t="shared" si="14"/>
        <v>Ashley Patel</v>
      </c>
    </row>
    <row r="939" spans="1:3" x14ac:dyDescent="0.3">
      <c r="A939" s="35" t="s">
        <v>2150</v>
      </c>
      <c r="B939" s="72" t="s">
        <v>49</v>
      </c>
      <c r="C939" s="73" t="str">
        <f t="shared" si="14"/>
        <v>Ashley Brown</v>
      </c>
    </row>
    <row r="940" spans="1:3" x14ac:dyDescent="0.3">
      <c r="A940" s="35" t="s">
        <v>2152</v>
      </c>
      <c r="B940" s="72" t="s">
        <v>30</v>
      </c>
      <c r="C940" s="73" t="str">
        <f t="shared" si="14"/>
        <v>Peggy Daniels</v>
      </c>
    </row>
    <row r="941" spans="1:3" x14ac:dyDescent="0.3">
      <c r="A941" s="35" t="s">
        <v>2154</v>
      </c>
      <c r="B941" s="72" t="s">
        <v>18</v>
      </c>
      <c r="C941" s="73" t="str">
        <f t="shared" si="14"/>
        <v>Monique Rodriguez</v>
      </c>
    </row>
    <row r="942" spans="1:3" x14ac:dyDescent="0.3">
      <c r="A942" s="35" t="s">
        <v>2156</v>
      </c>
      <c r="B942" s="72" t="s">
        <v>88</v>
      </c>
      <c r="C942" s="73" t="str">
        <f t="shared" si="14"/>
        <v>Dawn Randall</v>
      </c>
    </row>
    <row r="943" spans="1:3" x14ac:dyDescent="0.3">
      <c r="A943" s="35" t="s">
        <v>2159</v>
      </c>
      <c r="B943" s="72" t="s">
        <v>219</v>
      </c>
      <c r="C943" s="73" t="str">
        <f t="shared" si="14"/>
        <v>Elizabeth Glass</v>
      </c>
    </row>
    <row r="944" spans="1:3" x14ac:dyDescent="0.3">
      <c r="A944" s="35" t="s">
        <v>2161</v>
      </c>
      <c r="B944" s="72" t="s">
        <v>57</v>
      </c>
      <c r="C944" s="73" t="str">
        <f t="shared" si="14"/>
        <v>Timothy Owens</v>
      </c>
    </row>
    <row r="945" spans="1:3" x14ac:dyDescent="0.3">
      <c r="A945" s="35" t="s">
        <v>2163</v>
      </c>
      <c r="B945" s="72" t="s">
        <v>139</v>
      </c>
      <c r="C945" s="73" t="str">
        <f t="shared" si="14"/>
        <v>Jennifer Luna</v>
      </c>
    </row>
    <row r="946" spans="1:3" x14ac:dyDescent="0.3">
      <c r="A946" s="35" t="s">
        <v>2165</v>
      </c>
      <c r="B946" s="72" t="s">
        <v>18</v>
      </c>
      <c r="C946" s="73" t="str">
        <f t="shared" si="14"/>
        <v>Alexander Johnson DVM</v>
      </c>
    </row>
    <row r="947" spans="1:3" x14ac:dyDescent="0.3">
      <c r="A947" s="35" t="s">
        <v>2167</v>
      </c>
      <c r="B947" s="72" t="s">
        <v>18</v>
      </c>
      <c r="C947" s="73" t="str">
        <f t="shared" si="14"/>
        <v>Justin Wilkerson</v>
      </c>
    </row>
    <row r="948" spans="1:3" x14ac:dyDescent="0.3">
      <c r="A948" s="35" t="s">
        <v>2169</v>
      </c>
      <c r="B948" s="72" t="s">
        <v>168</v>
      </c>
      <c r="C948" s="73" t="str">
        <f t="shared" si="14"/>
        <v>Anna Garza</v>
      </c>
    </row>
    <row r="949" spans="1:3" x14ac:dyDescent="0.3">
      <c r="A949" s="35" t="s">
        <v>2171</v>
      </c>
      <c r="B949" s="72" t="s">
        <v>139</v>
      </c>
      <c r="C949" s="73" t="str">
        <f t="shared" si="14"/>
        <v>Dr. Sean Allen</v>
      </c>
    </row>
    <row r="950" spans="1:3" x14ac:dyDescent="0.3">
      <c r="A950" s="35" t="s">
        <v>2173</v>
      </c>
      <c r="B950" s="72" t="s">
        <v>62</v>
      </c>
      <c r="C950" s="73" t="str">
        <f t="shared" si="14"/>
        <v>Jim Glover</v>
      </c>
    </row>
    <row r="951" spans="1:3" x14ac:dyDescent="0.3">
      <c r="A951" s="35" t="s">
        <v>2175</v>
      </c>
      <c r="B951" s="72" t="s">
        <v>62</v>
      </c>
      <c r="C951" s="73" t="str">
        <f t="shared" si="14"/>
        <v>Stacy Meyer</v>
      </c>
    </row>
    <row r="952" spans="1:3" x14ac:dyDescent="0.3">
      <c r="A952" s="35" t="s">
        <v>2177</v>
      </c>
      <c r="B952" s="72" t="s">
        <v>95</v>
      </c>
      <c r="C952" s="73" t="str">
        <f t="shared" si="14"/>
        <v>Ashley Mitchell</v>
      </c>
    </row>
    <row r="953" spans="1:3" x14ac:dyDescent="0.3">
      <c r="A953" s="35" t="s">
        <v>2179</v>
      </c>
      <c r="B953" s="72" t="s">
        <v>168</v>
      </c>
      <c r="C953" s="73" t="str">
        <f t="shared" si="14"/>
        <v>Mark Davis</v>
      </c>
    </row>
    <row r="954" spans="1:3" x14ac:dyDescent="0.3">
      <c r="A954" s="35" t="s">
        <v>2181</v>
      </c>
      <c r="B954" s="72" t="s">
        <v>144</v>
      </c>
      <c r="C954" s="73" t="str">
        <f t="shared" si="14"/>
        <v>Heather Townsend</v>
      </c>
    </row>
    <row r="955" spans="1:3" x14ac:dyDescent="0.3">
      <c r="A955" s="35" t="s">
        <v>2183</v>
      </c>
      <c r="B955" s="72" t="s">
        <v>168</v>
      </c>
      <c r="C955" s="73" t="str">
        <f t="shared" si="14"/>
        <v>Jesus Chan</v>
      </c>
    </row>
    <row r="956" spans="1:3" x14ac:dyDescent="0.3">
      <c r="A956" s="35" t="s">
        <v>2185</v>
      </c>
      <c r="B956" s="72" t="s">
        <v>57</v>
      </c>
      <c r="C956" s="73" t="str">
        <f t="shared" si="14"/>
        <v>Henry Williamson</v>
      </c>
    </row>
    <row r="957" spans="1:3" x14ac:dyDescent="0.3">
      <c r="A957" s="35" t="s">
        <v>2187</v>
      </c>
      <c r="B957" s="72" t="s">
        <v>95</v>
      </c>
      <c r="C957" s="73" t="str">
        <f t="shared" si="14"/>
        <v>Antonio Rios</v>
      </c>
    </row>
    <row r="958" spans="1:3" x14ac:dyDescent="0.3">
      <c r="A958" s="35" t="s">
        <v>2189</v>
      </c>
      <c r="B958" s="72" t="s">
        <v>30</v>
      </c>
      <c r="C958" s="73" t="str">
        <f t="shared" si="14"/>
        <v>Andrew Long</v>
      </c>
    </row>
    <row r="959" spans="1:3" x14ac:dyDescent="0.3">
      <c r="A959" s="35" t="s">
        <v>2191</v>
      </c>
      <c r="B959" s="72" t="s">
        <v>139</v>
      </c>
      <c r="C959" s="73" t="str">
        <f t="shared" si="14"/>
        <v>Chelsea Hampton</v>
      </c>
    </row>
    <row r="960" spans="1:3" x14ac:dyDescent="0.3">
      <c r="A960" s="35" t="s">
        <v>2193</v>
      </c>
      <c r="B960" s="72" t="s">
        <v>57</v>
      </c>
      <c r="C960" s="73" t="str">
        <f t="shared" si="14"/>
        <v>Briana Sellers</v>
      </c>
    </row>
    <row r="961" spans="1:3" x14ac:dyDescent="0.3">
      <c r="A961" s="35" t="s">
        <v>2195</v>
      </c>
      <c r="B961" s="72" t="s">
        <v>168</v>
      </c>
      <c r="C961" s="73" t="str">
        <f t="shared" si="14"/>
        <v>Calvin Gould</v>
      </c>
    </row>
    <row r="962" spans="1:3" x14ac:dyDescent="0.3">
      <c r="A962" s="35" t="s">
        <v>2197</v>
      </c>
      <c r="B962" s="72" t="s">
        <v>18</v>
      </c>
      <c r="C962" s="73" t="str">
        <f t="shared" si="14"/>
        <v>Amanda Whitehead</v>
      </c>
    </row>
    <row r="963" spans="1:3" x14ac:dyDescent="0.3">
      <c r="A963" s="35" t="s">
        <v>2199</v>
      </c>
      <c r="B963" s="72" t="s">
        <v>219</v>
      </c>
      <c r="C963" s="73" t="str">
        <f t="shared" si="14"/>
        <v>Gabriela Cook</v>
      </c>
    </row>
    <row r="964" spans="1:3" x14ac:dyDescent="0.3">
      <c r="A964" s="35" t="s">
        <v>2201</v>
      </c>
      <c r="B964" s="72" t="s">
        <v>62</v>
      </c>
      <c r="C964" s="73" t="str">
        <f t="shared" ref="C964:C1002" si="15">HYPERLINK(B964,A964)</f>
        <v>Heather Copeland</v>
      </c>
    </row>
    <row r="965" spans="1:3" x14ac:dyDescent="0.3">
      <c r="A965" s="35" t="s">
        <v>2203</v>
      </c>
      <c r="B965" s="72" t="s">
        <v>42</v>
      </c>
      <c r="C965" s="73" t="str">
        <f t="shared" si="15"/>
        <v>Kelly Anderson</v>
      </c>
    </row>
    <row r="966" spans="1:3" x14ac:dyDescent="0.3">
      <c r="A966" s="35" t="s">
        <v>2205</v>
      </c>
      <c r="B966" s="72" t="s">
        <v>57</v>
      </c>
      <c r="C966" s="73" t="str">
        <f t="shared" si="15"/>
        <v>Tammy Duncan</v>
      </c>
    </row>
    <row r="967" spans="1:3" x14ac:dyDescent="0.3">
      <c r="A967" s="35" t="s">
        <v>2207</v>
      </c>
      <c r="B967" s="72" t="s">
        <v>49</v>
      </c>
      <c r="C967" s="73" t="str">
        <f t="shared" si="15"/>
        <v>Shawna Smith</v>
      </c>
    </row>
    <row r="968" spans="1:3" x14ac:dyDescent="0.3">
      <c r="A968" s="35" t="s">
        <v>2209</v>
      </c>
      <c r="B968" s="72" t="s">
        <v>95</v>
      </c>
      <c r="C968" s="73" t="str">
        <f t="shared" si="15"/>
        <v>Jane Rodriguez</v>
      </c>
    </row>
    <row r="969" spans="1:3" x14ac:dyDescent="0.3">
      <c r="A969" s="35" t="s">
        <v>2211</v>
      </c>
      <c r="B969" s="72" t="s">
        <v>168</v>
      </c>
      <c r="C969" s="73" t="str">
        <f t="shared" si="15"/>
        <v>Thomas Shepard</v>
      </c>
    </row>
    <row r="970" spans="1:3" x14ac:dyDescent="0.3">
      <c r="A970" s="35" t="s">
        <v>2213</v>
      </c>
      <c r="B970" s="72" t="s">
        <v>62</v>
      </c>
      <c r="C970" s="73" t="str">
        <f t="shared" si="15"/>
        <v>Joshua Combs</v>
      </c>
    </row>
    <row r="971" spans="1:3" x14ac:dyDescent="0.3">
      <c r="A971" s="35" t="s">
        <v>2215</v>
      </c>
      <c r="B971" s="72" t="s">
        <v>72</v>
      </c>
      <c r="C971" s="73" t="str">
        <f t="shared" si="15"/>
        <v>Brenda Dean</v>
      </c>
    </row>
    <row r="972" spans="1:3" x14ac:dyDescent="0.3">
      <c r="A972" s="35" t="s">
        <v>2217</v>
      </c>
      <c r="B972" s="72" t="s">
        <v>88</v>
      </c>
      <c r="C972" s="73" t="str">
        <f t="shared" si="15"/>
        <v>Erin Salas</v>
      </c>
    </row>
    <row r="973" spans="1:3" x14ac:dyDescent="0.3">
      <c r="A973" s="35" t="s">
        <v>2219</v>
      </c>
      <c r="B973" s="72" t="s">
        <v>195</v>
      </c>
      <c r="C973" s="73" t="str">
        <f t="shared" si="15"/>
        <v>Charles Gonzalez</v>
      </c>
    </row>
    <row r="974" spans="1:3" x14ac:dyDescent="0.3">
      <c r="A974" s="35" t="s">
        <v>2221</v>
      </c>
      <c r="B974" s="72" t="s">
        <v>42</v>
      </c>
      <c r="C974" s="73" t="str">
        <f t="shared" si="15"/>
        <v>Nicole Cabrera</v>
      </c>
    </row>
    <row r="975" spans="1:3" x14ac:dyDescent="0.3">
      <c r="A975" s="35" t="s">
        <v>2223</v>
      </c>
      <c r="B975" s="72" t="s">
        <v>139</v>
      </c>
      <c r="C975" s="73" t="str">
        <f t="shared" si="15"/>
        <v>Dr. Matthew Perkins</v>
      </c>
    </row>
    <row r="976" spans="1:3" x14ac:dyDescent="0.3">
      <c r="A976" s="35" t="s">
        <v>2225</v>
      </c>
      <c r="B976" s="72" t="s">
        <v>18</v>
      </c>
      <c r="C976" s="73" t="str">
        <f t="shared" si="15"/>
        <v>Jennifer Hall</v>
      </c>
    </row>
    <row r="977" spans="1:3" x14ac:dyDescent="0.3">
      <c r="A977" s="35" t="s">
        <v>2227</v>
      </c>
      <c r="B977" s="72" t="s">
        <v>30</v>
      </c>
      <c r="C977" s="73" t="str">
        <f t="shared" si="15"/>
        <v>Johnny Lewis</v>
      </c>
    </row>
    <row r="978" spans="1:3" x14ac:dyDescent="0.3">
      <c r="A978" s="35" t="s">
        <v>2229</v>
      </c>
      <c r="B978" s="72" t="s">
        <v>18</v>
      </c>
      <c r="C978" s="73" t="str">
        <f t="shared" si="15"/>
        <v>Francisco Morales</v>
      </c>
    </row>
    <row r="979" spans="1:3" x14ac:dyDescent="0.3">
      <c r="A979" s="35" t="s">
        <v>2231</v>
      </c>
      <c r="B979" s="72" t="s">
        <v>168</v>
      </c>
      <c r="C979" s="73" t="str">
        <f t="shared" si="15"/>
        <v>John Gomez</v>
      </c>
    </row>
    <row r="980" spans="1:3" x14ac:dyDescent="0.3">
      <c r="A980" s="35" t="s">
        <v>2233</v>
      </c>
      <c r="B980" s="72" t="s">
        <v>168</v>
      </c>
      <c r="C980" s="73" t="str">
        <f t="shared" si="15"/>
        <v>Krista Nash</v>
      </c>
    </row>
    <row r="981" spans="1:3" x14ac:dyDescent="0.3">
      <c r="A981" s="35" t="s">
        <v>2235</v>
      </c>
      <c r="B981" s="72" t="s">
        <v>95</v>
      </c>
      <c r="C981" s="73" t="str">
        <f t="shared" si="15"/>
        <v>Karen Lloyd</v>
      </c>
    </row>
    <row r="982" spans="1:3" x14ac:dyDescent="0.3">
      <c r="A982" s="35" t="s">
        <v>2237</v>
      </c>
      <c r="B982" s="72" t="s">
        <v>49</v>
      </c>
      <c r="C982" s="73" t="str">
        <f t="shared" si="15"/>
        <v>Kathleen Melton</v>
      </c>
    </row>
    <row r="983" spans="1:3" x14ac:dyDescent="0.3">
      <c r="A983" s="35" t="s">
        <v>2239</v>
      </c>
      <c r="B983" s="72" t="s">
        <v>195</v>
      </c>
      <c r="C983" s="73" t="str">
        <f t="shared" si="15"/>
        <v>Carl Parker</v>
      </c>
    </row>
    <row r="984" spans="1:3" x14ac:dyDescent="0.3">
      <c r="A984" s="35" t="s">
        <v>2241</v>
      </c>
      <c r="B984" s="72" t="s">
        <v>168</v>
      </c>
      <c r="C984" s="73" t="str">
        <f t="shared" si="15"/>
        <v>Grant Hernandez</v>
      </c>
    </row>
    <row r="985" spans="1:3" x14ac:dyDescent="0.3">
      <c r="A985" s="35" t="s">
        <v>2243</v>
      </c>
      <c r="B985" s="72" t="s">
        <v>30</v>
      </c>
      <c r="C985" s="73" t="str">
        <f t="shared" si="15"/>
        <v>Jill Humphrey</v>
      </c>
    </row>
    <row r="986" spans="1:3" x14ac:dyDescent="0.3">
      <c r="A986" s="35" t="s">
        <v>2245</v>
      </c>
      <c r="B986" s="72" t="s">
        <v>49</v>
      </c>
      <c r="C986" s="73" t="str">
        <f t="shared" si="15"/>
        <v>Teresa Carpenter</v>
      </c>
    </row>
    <row r="987" spans="1:3" x14ac:dyDescent="0.3">
      <c r="A987" s="35" t="s">
        <v>2247</v>
      </c>
      <c r="B987" s="72" t="s">
        <v>57</v>
      </c>
      <c r="C987" s="73" t="str">
        <f t="shared" si="15"/>
        <v>Adam Nguyen</v>
      </c>
    </row>
    <row r="988" spans="1:3" x14ac:dyDescent="0.3">
      <c r="A988" s="35" t="s">
        <v>2249</v>
      </c>
      <c r="B988" s="72" t="s">
        <v>72</v>
      </c>
      <c r="C988" s="73" t="str">
        <f t="shared" si="15"/>
        <v>Judy Scott</v>
      </c>
    </row>
    <row r="989" spans="1:3" x14ac:dyDescent="0.3">
      <c r="A989" s="35" t="s">
        <v>2251</v>
      </c>
      <c r="B989" s="72" t="s">
        <v>72</v>
      </c>
      <c r="C989" s="73" t="str">
        <f t="shared" si="15"/>
        <v>Donna Perez</v>
      </c>
    </row>
    <row r="990" spans="1:3" x14ac:dyDescent="0.3">
      <c r="A990" s="35" t="s">
        <v>2253</v>
      </c>
      <c r="B990" s="72" t="s">
        <v>49</v>
      </c>
      <c r="C990" s="73" t="str">
        <f t="shared" si="15"/>
        <v>Roger Davis</v>
      </c>
    </row>
    <row r="991" spans="1:3" x14ac:dyDescent="0.3">
      <c r="A991" s="35" t="s">
        <v>2255</v>
      </c>
      <c r="B991" s="72" t="s">
        <v>195</v>
      </c>
      <c r="C991" s="73" t="str">
        <f t="shared" si="15"/>
        <v>Aaron Wood</v>
      </c>
    </row>
    <row r="992" spans="1:3" x14ac:dyDescent="0.3">
      <c r="A992" s="35" t="s">
        <v>2257</v>
      </c>
      <c r="B992" s="72" t="s">
        <v>139</v>
      </c>
      <c r="C992" s="73" t="str">
        <f t="shared" si="15"/>
        <v>Jeremiah Hernandez</v>
      </c>
    </row>
    <row r="993" spans="1:3" x14ac:dyDescent="0.3">
      <c r="A993" s="35" t="s">
        <v>2259</v>
      </c>
      <c r="B993" s="72" t="s">
        <v>18</v>
      </c>
      <c r="C993" s="73" t="str">
        <f t="shared" si="15"/>
        <v>Julie Long</v>
      </c>
    </row>
    <row r="994" spans="1:3" x14ac:dyDescent="0.3">
      <c r="A994" s="35" t="s">
        <v>2261</v>
      </c>
      <c r="B994" s="72" t="s">
        <v>195</v>
      </c>
      <c r="C994" s="73" t="str">
        <f t="shared" si="15"/>
        <v>Michelle Willis</v>
      </c>
    </row>
    <row r="995" spans="1:3" x14ac:dyDescent="0.3">
      <c r="A995" s="35" t="s">
        <v>2263</v>
      </c>
      <c r="B995" s="72" t="s">
        <v>88</v>
      </c>
      <c r="C995" s="73" t="str">
        <f t="shared" si="15"/>
        <v>Jacqueline Bell</v>
      </c>
    </row>
    <row r="996" spans="1:3" x14ac:dyDescent="0.3">
      <c r="A996" s="35" t="s">
        <v>2265</v>
      </c>
      <c r="B996" s="72" t="s">
        <v>18</v>
      </c>
      <c r="C996" s="73" t="str">
        <f t="shared" si="15"/>
        <v>Shane Riley</v>
      </c>
    </row>
    <row r="997" spans="1:3" x14ac:dyDescent="0.3">
      <c r="A997" s="35" t="s">
        <v>2267</v>
      </c>
      <c r="B997" s="72" t="s">
        <v>168</v>
      </c>
      <c r="C997" s="73" t="str">
        <f t="shared" si="15"/>
        <v>Ricky Kelly</v>
      </c>
    </row>
    <row r="998" spans="1:3" x14ac:dyDescent="0.3">
      <c r="A998" s="35" t="s">
        <v>2269</v>
      </c>
      <c r="B998" s="72" t="s">
        <v>72</v>
      </c>
      <c r="C998" s="73" t="str">
        <f t="shared" si="15"/>
        <v>Melissa Garcia</v>
      </c>
    </row>
    <row r="999" spans="1:3" x14ac:dyDescent="0.3">
      <c r="A999" s="35" t="s">
        <v>2271</v>
      </c>
      <c r="B999" s="72" t="s">
        <v>18</v>
      </c>
      <c r="C999" s="73" t="str">
        <f t="shared" si="15"/>
        <v>Tamara Navarro</v>
      </c>
    </row>
    <row r="1000" spans="1:3" x14ac:dyDescent="0.3">
      <c r="A1000" s="35" t="s">
        <v>2273</v>
      </c>
      <c r="B1000" s="72" t="s">
        <v>30</v>
      </c>
      <c r="C1000" s="73" t="str">
        <f t="shared" si="15"/>
        <v>Stephanie Bailey</v>
      </c>
    </row>
    <row r="1001" spans="1:3" x14ac:dyDescent="0.3">
      <c r="A1001" s="35" t="s">
        <v>2275</v>
      </c>
      <c r="B1001" s="72" t="s">
        <v>88</v>
      </c>
      <c r="C1001" s="73" t="str">
        <f t="shared" si="15"/>
        <v>Jonathon Cantu</v>
      </c>
    </row>
    <row r="1002" spans="1:3" x14ac:dyDescent="0.3">
      <c r="A1002" s="35" t="s">
        <v>2277</v>
      </c>
      <c r="B1002" s="72" t="s">
        <v>88</v>
      </c>
      <c r="C1002" s="73" t="str">
        <f t="shared" si="15"/>
        <v>Matthew Bradley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 SALES DATA.</vt:lpstr>
      <vt:lpstr>Unique Details</vt:lpstr>
      <vt:lpstr>Findings</vt:lpstr>
      <vt:lpstr>Custom</vt:lpstr>
      <vt:lpstr>South</vt:lpstr>
      <vt:lpstr>North</vt:lpstr>
      <vt:lpstr>West</vt:lpstr>
      <vt:lpstr>East</vt:lpstr>
      <vt:lpstr>Yearly,Monthly,Daily</vt:lpstr>
      <vt:lpstr>HyperLink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Ansa V Shiju</cp:lastModifiedBy>
  <dcterms:created xsi:type="dcterms:W3CDTF">2026-05-22T08:54:09Z</dcterms:created>
  <dcterms:modified xsi:type="dcterms:W3CDTF">2026-05-27T17:05:22Z</dcterms:modified>
</cp:coreProperties>
</file>